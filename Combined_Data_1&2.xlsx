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8A84663C-C1A6-4C00-BDBA-1534B48F66D4}" xr6:coauthVersionLast="47" xr6:coauthVersionMax="47" xr10:uidLastSave="{00000000-0000-0000-0000-000000000000}"/>
  <bookViews>
    <workbookView xWindow="-110" yWindow="-110" windowWidth="19420" windowHeight="10300" activeTab="2" xr2:uid="{3238260B-EDD6-4B5D-BA33-1A31A40E5F25}"/>
  </bookViews>
  <sheets>
    <sheet name="Combined_Data" sheetId="4" r:id="rId1"/>
    <sheet name="Derived_Data" sheetId="6" r:id="rId2"/>
    <sheet name="Pivot_Table" sheetId="19" r:id="rId3"/>
    <sheet name="DashBoard" sheetId="22" r:id="rId4"/>
  </sheets>
  <definedNames>
    <definedName name="ExternalData_2" localSheetId="0" hidden="1">'Combined_Data'!$A$1:$O$611</definedName>
    <definedName name="Slicer_Demand_Level">#N/A</definedName>
    <definedName name="Slicer_Weathersit">#N/A</definedName>
    <definedName name="Slicer_Weekday">#N/A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mbined_Data_106f96b8-0502-43a0-b071-bf4e66174ca8" name="Combined_Data" connection="Query - Combin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G2" i="6"/>
  <c r="F2" i="6"/>
  <c r="E2" i="6"/>
  <c r="K3" i="6"/>
  <c r="L3" i="6" s="1"/>
  <c r="K4" i="6"/>
  <c r="L4" i="6" s="1"/>
  <c r="K5" i="6"/>
  <c r="L5" i="6" s="1"/>
  <c r="K6" i="6"/>
  <c r="L6" i="6" s="1"/>
  <c r="K7" i="6"/>
  <c r="L7" i="6" s="1"/>
  <c r="K8" i="6"/>
  <c r="L8" i="6" s="1"/>
  <c r="K9" i="6"/>
  <c r="L9" i="6" s="1"/>
  <c r="K10" i="6"/>
  <c r="L10" i="6" s="1"/>
  <c r="K11" i="6"/>
  <c r="L11" i="6" s="1"/>
  <c r="K12" i="6"/>
  <c r="L12" i="6" s="1"/>
  <c r="K13" i="6"/>
  <c r="L13" i="6" s="1"/>
  <c r="K14" i="6"/>
  <c r="L14" i="6" s="1"/>
  <c r="K15" i="6"/>
  <c r="L15" i="6" s="1"/>
  <c r="K16" i="6"/>
  <c r="L16" i="6" s="1"/>
  <c r="K17" i="6"/>
  <c r="L17" i="6" s="1"/>
  <c r="K18" i="6"/>
  <c r="L18" i="6" s="1"/>
  <c r="K19" i="6"/>
  <c r="L19" i="6" s="1"/>
  <c r="K20" i="6"/>
  <c r="L20" i="6" s="1"/>
  <c r="K21" i="6"/>
  <c r="L21" i="6" s="1"/>
  <c r="K22" i="6"/>
  <c r="L22" i="6" s="1"/>
  <c r="K23" i="6"/>
  <c r="L23" i="6" s="1"/>
  <c r="K24" i="6"/>
  <c r="L24" i="6" s="1"/>
  <c r="K25" i="6"/>
  <c r="L25" i="6" s="1"/>
  <c r="K26" i="6"/>
  <c r="L26" i="6" s="1"/>
  <c r="K27" i="6"/>
  <c r="L27" i="6" s="1"/>
  <c r="K28" i="6"/>
  <c r="L28" i="6" s="1"/>
  <c r="K29" i="6"/>
  <c r="L29" i="6" s="1"/>
  <c r="K30" i="6"/>
  <c r="L30" i="6" s="1"/>
  <c r="K31" i="6"/>
  <c r="L31" i="6" s="1"/>
  <c r="K32" i="6"/>
  <c r="L32" i="6" s="1"/>
  <c r="K33" i="6"/>
  <c r="L33" i="6" s="1"/>
  <c r="K34" i="6"/>
  <c r="L34" i="6" s="1"/>
  <c r="K35" i="6"/>
  <c r="L35" i="6" s="1"/>
  <c r="K36" i="6"/>
  <c r="L36" i="6" s="1"/>
  <c r="K37" i="6"/>
  <c r="L37" i="6" s="1"/>
  <c r="K38" i="6"/>
  <c r="L38" i="6" s="1"/>
  <c r="K39" i="6"/>
  <c r="L39" i="6" s="1"/>
  <c r="K40" i="6"/>
  <c r="L40" i="6" s="1"/>
  <c r="K41" i="6"/>
  <c r="L41" i="6" s="1"/>
  <c r="K42" i="6"/>
  <c r="L42" i="6" s="1"/>
  <c r="K43" i="6"/>
  <c r="L43" i="6" s="1"/>
  <c r="K44" i="6"/>
  <c r="L44" i="6" s="1"/>
  <c r="K45" i="6"/>
  <c r="L45" i="6" s="1"/>
  <c r="K46" i="6"/>
  <c r="L46" i="6" s="1"/>
  <c r="K47" i="6"/>
  <c r="L47" i="6" s="1"/>
  <c r="K48" i="6"/>
  <c r="L48" i="6" s="1"/>
  <c r="K49" i="6"/>
  <c r="L49" i="6" s="1"/>
  <c r="K50" i="6"/>
  <c r="L50" i="6" s="1"/>
  <c r="K51" i="6"/>
  <c r="L51" i="6" s="1"/>
  <c r="K52" i="6"/>
  <c r="L52" i="6" s="1"/>
  <c r="K53" i="6"/>
  <c r="L53" i="6" s="1"/>
  <c r="K54" i="6"/>
  <c r="L54" i="6" s="1"/>
  <c r="K55" i="6"/>
  <c r="L55" i="6" s="1"/>
  <c r="K56" i="6"/>
  <c r="L56" i="6" s="1"/>
  <c r="K57" i="6"/>
  <c r="L57" i="6" s="1"/>
  <c r="K58" i="6"/>
  <c r="L58" i="6" s="1"/>
  <c r="K59" i="6"/>
  <c r="L59" i="6" s="1"/>
  <c r="K60" i="6"/>
  <c r="L60" i="6" s="1"/>
  <c r="K61" i="6"/>
  <c r="L61" i="6" s="1"/>
  <c r="K62" i="6"/>
  <c r="L62" i="6" s="1"/>
  <c r="K63" i="6"/>
  <c r="L63" i="6" s="1"/>
  <c r="K64" i="6"/>
  <c r="L64" i="6" s="1"/>
  <c r="K65" i="6"/>
  <c r="L65" i="6" s="1"/>
  <c r="K66" i="6"/>
  <c r="L66" i="6" s="1"/>
  <c r="K67" i="6"/>
  <c r="L67" i="6" s="1"/>
  <c r="K68" i="6"/>
  <c r="L68" i="6" s="1"/>
  <c r="K69" i="6"/>
  <c r="L69" i="6" s="1"/>
  <c r="K70" i="6"/>
  <c r="L70" i="6" s="1"/>
  <c r="K71" i="6"/>
  <c r="L71" i="6" s="1"/>
  <c r="K72" i="6"/>
  <c r="L72" i="6" s="1"/>
  <c r="K73" i="6"/>
  <c r="L73" i="6" s="1"/>
  <c r="K74" i="6"/>
  <c r="L74" i="6" s="1"/>
  <c r="K75" i="6"/>
  <c r="L75" i="6" s="1"/>
  <c r="K76" i="6"/>
  <c r="L76" i="6" s="1"/>
  <c r="K77" i="6"/>
  <c r="L77" i="6" s="1"/>
  <c r="K78" i="6"/>
  <c r="L78" i="6" s="1"/>
  <c r="K79" i="6"/>
  <c r="L79" i="6" s="1"/>
  <c r="K80" i="6"/>
  <c r="L80" i="6" s="1"/>
  <c r="K81" i="6"/>
  <c r="L81" i="6" s="1"/>
  <c r="K82" i="6"/>
  <c r="L82" i="6" s="1"/>
  <c r="K83" i="6"/>
  <c r="L83" i="6" s="1"/>
  <c r="K84" i="6"/>
  <c r="L84" i="6" s="1"/>
  <c r="K85" i="6"/>
  <c r="L85" i="6" s="1"/>
  <c r="K86" i="6"/>
  <c r="L86" i="6" s="1"/>
  <c r="K87" i="6"/>
  <c r="L87" i="6" s="1"/>
  <c r="K88" i="6"/>
  <c r="L88" i="6" s="1"/>
  <c r="K89" i="6"/>
  <c r="L89" i="6" s="1"/>
  <c r="K90" i="6"/>
  <c r="L90" i="6" s="1"/>
  <c r="K91" i="6"/>
  <c r="L91" i="6" s="1"/>
  <c r="K92" i="6"/>
  <c r="L92" i="6" s="1"/>
  <c r="K93" i="6"/>
  <c r="L93" i="6" s="1"/>
  <c r="K94" i="6"/>
  <c r="L94" i="6" s="1"/>
  <c r="K95" i="6"/>
  <c r="L95" i="6" s="1"/>
  <c r="K96" i="6"/>
  <c r="L96" i="6" s="1"/>
  <c r="K97" i="6"/>
  <c r="L97" i="6" s="1"/>
  <c r="K98" i="6"/>
  <c r="L98" i="6" s="1"/>
  <c r="K99" i="6"/>
  <c r="L99" i="6" s="1"/>
  <c r="K100" i="6"/>
  <c r="L100" i="6" s="1"/>
  <c r="K101" i="6"/>
  <c r="L101" i="6" s="1"/>
  <c r="K102" i="6"/>
  <c r="L102" i="6" s="1"/>
  <c r="K103" i="6"/>
  <c r="L103" i="6" s="1"/>
  <c r="K104" i="6"/>
  <c r="L104" i="6" s="1"/>
  <c r="K105" i="6"/>
  <c r="L105" i="6" s="1"/>
  <c r="K106" i="6"/>
  <c r="L106" i="6" s="1"/>
  <c r="K107" i="6"/>
  <c r="L107" i="6" s="1"/>
  <c r="K108" i="6"/>
  <c r="L108" i="6" s="1"/>
  <c r="K109" i="6"/>
  <c r="L109" i="6" s="1"/>
  <c r="K110" i="6"/>
  <c r="L110" i="6" s="1"/>
  <c r="K111" i="6"/>
  <c r="L111" i="6" s="1"/>
  <c r="K112" i="6"/>
  <c r="L112" i="6" s="1"/>
  <c r="K113" i="6"/>
  <c r="L113" i="6" s="1"/>
  <c r="K114" i="6"/>
  <c r="L114" i="6" s="1"/>
  <c r="K115" i="6"/>
  <c r="L115" i="6" s="1"/>
  <c r="K116" i="6"/>
  <c r="L116" i="6" s="1"/>
  <c r="K117" i="6"/>
  <c r="L117" i="6" s="1"/>
  <c r="K118" i="6"/>
  <c r="L118" i="6" s="1"/>
  <c r="K119" i="6"/>
  <c r="L119" i="6" s="1"/>
  <c r="K120" i="6"/>
  <c r="L120" i="6" s="1"/>
  <c r="K121" i="6"/>
  <c r="L121" i="6" s="1"/>
  <c r="K122" i="6"/>
  <c r="L122" i="6" s="1"/>
  <c r="K123" i="6"/>
  <c r="L123" i="6" s="1"/>
  <c r="K124" i="6"/>
  <c r="L124" i="6" s="1"/>
  <c r="K125" i="6"/>
  <c r="L125" i="6" s="1"/>
  <c r="K126" i="6"/>
  <c r="L126" i="6" s="1"/>
  <c r="K127" i="6"/>
  <c r="L127" i="6" s="1"/>
  <c r="K128" i="6"/>
  <c r="L128" i="6" s="1"/>
  <c r="K129" i="6"/>
  <c r="L129" i="6" s="1"/>
  <c r="K130" i="6"/>
  <c r="L130" i="6" s="1"/>
  <c r="K131" i="6"/>
  <c r="L131" i="6" s="1"/>
  <c r="K132" i="6"/>
  <c r="L132" i="6" s="1"/>
  <c r="K133" i="6"/>
  <c r="L133" i="6" s="1"/>
  <c r="K134" i="6"/>
  <c r="L134" i="6" s="1"/>
  <c r="K135" i="6"/>
  <c r="L135" i="6" s="1"/>
  <c r="K136" i="6"/>
  <c r="L136" i="6" s="1"/>
  <c r="K137" i="6"/>
  <c r="L137" i="6" s="1"/>
  <c r="K138" i="6"/>
  <c r="L138" i="6" s="1"/>
  <c r="K139" i="6"/>
  <c r="L139" i="6" s="1"/>
  <c r="K140" i="6"/>
  <c r="L140" i="6" s="1"/>
  <c r="K141" i="6"/>
  <c r="L141" i="6" s="1"/>
  <c r="K142" i="6"/>
  <c r="L142" i="6" s="1"/>
  <c r="K143" i="6"/>
  <c r="L143" i="6" s="1"/>
  <c r="K144" i="6"/>
  <c r="L144" i="6" s="1"/>
  <c r="K145" i="6"/>
  <c r="L145" i="6" s="1"/>
  <c r="K146" i="6"/>
  <c r="L146" i="6" s="1"/>
  <c r="K147" i="6"/>
  <c r="L147" i="6" s="1"/>
  <c r="K148" i="6"/>
  <c r="L148" i="6" s="1"/>
  <c r="K149" i="6"/>
  <c r="L149" i="6" s="1"/>
  <c r="K150" i="6"/>
  <c r="L150" i="6" s="1"/>
  <c r="K151" i="6"/>
  <c r="L151" i="6" s="1"/>
  <c r="K152" i="6"/>
  <c r="L152" i="6" s="1"/>
  <c r="K153" i="6"/>
  <c r="L153" i="6" s="1"/>
  <c r="K154" i="6"/>
  <c r="L154" i="6" s="1"/>
  <c r="K155" i="6"/>
  <c r="L155" i="6" s="1"/>
  <c r="K156" i="6"/>
  <c r="L156" i="6" s="1"/>
  <c r="K157" i="6"/>
  <c r="L157" i="6" s="1"/>
  <c r="K158" i="6"/>
  <c r="L158" i="6" s="1"/>
  <c r="K159" i="6"/>
  <c r="L159" i="6" s="1"/>
  <c r="K160" i="6"/>
  <c r="L160" i="6" s="1"/>
  <c r="K161" i="6"/>
  <c r="L161" i="6" s="1"/>
  <c r="K162" i="6"/>
  <c r="L162" i="6" s="1"/>
  <c r="K163" i="6"/>
  <c r="L163" i="6" s="1"/>
  <c r="K164" i="6"/>
  <c r="L164" i="6" s="1"/>
  <c r="K165" i="6"/>
  <c r="L165" i="6" s="1"/>
  <c r="K166" i="6"/>
  <c r="L166" i="6" s="1"/>
  <c r="K167" i="6"/>
  <c r="L167" i="6" s="1"/>
  <c r="K168" i="6"/>
  <c r="L168" i="6" s="1"/>
  <c r="K169" i="6"/>
  <c r="L169" i="6" s="1"/>
  <c r="K170" i="6"/>
  <c r="L170" i="6" s="1"/>
  <c r="K171" i="6"/>
  <c r="L171" i="6" s="1"/>
  <c r="K172" i="6"/>
  <c r="L172" i="6" s="1"/>
  <c r="K173" i="6"/>
  <c r="L173" i="6" s="1"/>
  <c r="K174" i="6"/>
  <c r="L174" i="6" s="1"/>
  <c r="K175" i="6"/>
  <c r="L175" i="6" s="1"/>
  <c r="K176" i="6"/>
  <c r="L176" i="6" s="1"/>
  <c r="K177" i="6"/>
  <c r="L177" i="6" s="1"/>
  <c r="K178" i="6"/>
  <c r="L178" i="6" s="1"/>
  <c r="K179" i="6"/>
  <c r="L179" i="6" s="1"/>
  <c r="K180" i="6"/>
  <c r="L180" i="6" s="1"/>
  <c r="K181" i="6"/>
  <c r="L181" i="6" s="1"/>
  <c r="K182" i="6"/>
  <c r="L182" i="6" s="1"/>
  <c r="K183" i="6"/>
  <c r="L183" i="6" s="1"/>
  <c r="K184" i="6"/>
  <c r="L184" i="6" s="1"/>
  <c r="K185" i="6"/>
  <c r="L185" i="6" s="1"/>
  <c r="K186" i="6"/>
  <c r="L186" i="6" s="1"/>
  <c r="K187" i="6"/>
  <c r="L187" i="6" s="1"/>
  <c r="K188" i="6"/>
  <c r="L188" i="6" s="1"/>
  <c r="K189" i="6"/>
  <c r="L189" i="6" s="1"/>
  <c r="K190" i="6"/>
  <c r="L190" i="6" s="1"/>
  <c r="K191" i="6"/>
  <c r="L191" i="6" s="1"/>
  <c r="K192" i="6"/>
  <c r="L192" i="6" s="1"/>
  <c r="K193" i="6"/>
  <c r="L193" i="6" s="1"/>
  <c r="K194" i="6"/>
  <c r="L194" i="6" s="1"/>
  <c r="K195" i="6"/>
  <c r="L195" i="6" s="1"/>
  <c r="K196" i="6"/>
  <c r="L196" i="6" s="1"/>
  <c r="K197" i="6"/>
  <c r="L197" i="6" s="1"/>
  <c r="K198" i="6"/>
  <c r="L198" i="6" s="1"/>
  <c r="K199" i="6"/>
  <c r="L199" i="6" s="1"/>
  <c r="K200" i="6"/>
  <c r="L200" i="6" s="1"/>
  <c r="K201" i="6"/>
  <c r="L201" i="6" s="1"/>
  <c r="K202" i="6"/>
  <c r="L202" i="6" s="1"/>
  <c r="K203" i="6"/>
  <c r="L203" i="6" s="1"/>
  <c r="K204" i="6"/>
  <c r="L204" i="6" s="1"/>
  <c r="K205" i="6"/>
  <c r="L205" i="6" s="1"/>
  <c r="K206" i="6"/>
  <c r="L206" i="6" s="1"/>
  <c r="K207" i="6"/>
  <c r="L207" i="6" s="1"/>
  <c r="K208" i="6"/>
  <c r="L208" i="6" s="1"/>
  <c r="K209" i="6"/>
  <c r="L209" i="6" s="1"/>
  <c r="K210" i="6"/>
  <c r="L210" i="6" s="1"/>
  <c r="K211" i="6"/>
  <c r="L211" i="6" s="1"/>
  <c r="K212" i="6"/>
  <c r="L212" i="6" s="1"/>
  <c r="K213" i="6"/>
  <c r="L213" i="6" s="1"/>
  <c r="K214" i="6"/>
  <c r="L214" i="6" s="1"/>
  <c r="K215" i="6"/>
  <c r="L215" i="6" s="1"/>
  <c r="K216" i="6"/>
  <c r="L216" i="6" s="1"/>
  <c r="K217" i="6"/>
  <c r="L217" i="6" s="1"/>
  <c r="K218" i="6"/>
  <c r="L218" i="6" s="1"/>
  <c r="K219" i="6"/>
  <c r="L219" i="6" s="1"/>
  <c r="K220" i="6"/>
  <c r="L220" i="6" s="1"/>
  <c r="K221" i="6"/>
  <c r="L221" i="6" s="1"/>
  <c r="K222" i="6"/>
  <c r="L222" i="6" s="1"/>
  <c r="K223" i="6"/>
  <c r="L223" i="6" s="1"/>
  <c r="K224" i="6"/>
  <c r="L224" i="6" s="1"/>
  <c r="K225" i="6"/>
  <c r="L225" i="6" s="1"/>
  <c r="K226" i="6"/>
  <c r="L226" i="6" s="1"/>
  <c r="K227" i="6"/>
  <c r="L227" i="6" s="1"/>
  <c r="K228" i="6"/>
  <c r="L228" i="6" s="1"/>
  <c r="K229" i="6"/>
  <c r="L229" i="6" s="1"/>
  <c r="K230" i="6"/>
  <c r="L230" i="6" s="1"/>
  <c r="K231" i="6"/>
  <c r="L231" i="6" s="1"/>
  <c r="K232" i="6"/>
  <c r="L232" i="6" s="1"/>
  <c r="K233" i="6"/>
  <c r="L233" i="6" s="1"/>
  <c r="K234" i="6"/>
  <c r="L234" i="6" s="1"/>
  <c r="K235" i="6"/>
  <c r="L235" i="6" s="1"/>
  <c r="K236" i="6"/>
  <c r="L236" i="6" s="1"/>
  <c r="K237" i="6"/>
  <c r="L237" i="6" s="1"/>
  <c r="K238" i="6"/>
  <c r="L238" i="6" s="1"/>
  <c r="K239" i="6"/>
  <c r="L239" i="6" s="1"/>
  <c r="K240" i="6"/>
  <c r="L240" i="6" s="1"/>
  <c r="K241" i="6"/>
  <c r="L241" i="6" s="1"/>
  <c r="K242" i="6"/>
  <c r="L242" i="6" s="1"/>
  <c r="K243" i="6"/>
  <c r="L243" i="6" s="1"/>
  <c r="K244" i="6"/>
  <c r="L244" i="6" s="1"/>
  <c r="K245" i="6"/>
  <c r="L245" i="6" s="1"/>
  <c r="K246" i="6"/>
  <c r="L246" i="6" s="1"/>
  <c r="K247" i="6"/>
  <c r="L247" i="6" s="1"/>
  <c r="K248" i="6"/>
  <c r="L248" i="6" s="1"/>
  <c r="K249" i="6"/>
  <c r="L249" i="6" s="1"/>
  <c r="K250" i="6"/>
  <c r="L250" i="6" s="1"/>
  <c r="K251" i="6"/>
  <c r="L251" i="6" s="1"/>
  <c r="K252" i="6"/>
  <c r="L252" i="6" s="1"/>
  <c r="K253" i="6"/>
  <c r="L253" i="6" s="1"/>
  <c r="K254" i="6"/>
  <c r="L254" i="6" s="1"/>
  <c r="K255" i="6"/>
  <c r="L255" i="6" s="1"/>
  <c r="K256" i="6"/>
  <c r="L256" i="6" s="1"/>
  <c r="K257" i="6"/>
  <c r="L257" i="6" s="1"/>
  <c r="K258" i="6"/>
  <c r="L258" i="6" s="1"/>
  <c r="K259" i="6"/>
  <c r="L259" i="6" s="1"/>
  <c r="K260" i="6"/>
  <c r="L260" i="6" s="1"/>
  <c r="K261" i="6"/>
  <c r="L261" i="6" s="1"/>
  <c r="K262" i="6"/>
  <c r="L262" i="6" s="1"/>
  <c r="K263" i="6"/>
  <c r="L263" i="6" s="1"/>
  <c r="K264" i="6"/>
  <c r="L264" i="6" s="1"/>
  <c r="K265" i="6"/>
  <c r="L265" i="6" s="1"/>
  <c r="K266" i="6"/>
  <c r="L266" i="6" s="1"/>
  <c r="K267" i="6"/>
  <c r="L267" i="6" s="1"/>
  <c r="K268" i="6"/>
  <c r="L268" i="6" s="1"/>
  <c r="K269" i="6"/>
  <c r="L269" i="6" s="1"/>
  <c r="K270" i="6"/>
  <c r="L270" i="6" s="1"/>
  <c r="K271" i="6"/>
  <c r="L271" i="6" s="1"/>
  <c r="K272" i="6"/>
  <c r="L272" i="6" s="1"/>
  <c r="K273" i="6"/>
  <c r="L273" i="6" s="1"/>
  <c r="K274" i="6"/>
  <c r="L274" i="6" s="1"/>
  <c r="K275" i="6"/>
  <c r="L275" i="6" s="1"/>
  <c r="K276" i="6"/>
  <c r="L276" i="6" s="1"/>
  <c r="K277" i="6"/>
  <c r="L277" i="6" s="1"/>
  <c r="K278" i="6"/>
  <c r="L278" i="6" s="1"/>
  <c r="K279" i="6"/>
  <c r="L279" i="6" s="1"/>
  <c r="K280" i="6"/>
  <c r="L280" i="6" s="1"/>
  <c r="K281" i="6"/>
  <c r="L281" i="6" s="1"/>
  <c r="K282" i="6"/>
  <c r="L282" i="6" s="1"/>
  <c r="K283" i="6"/>
  <c r="L283" i="6" s="1"/>
  <c r="K284" i="6"/>
  <c r="L284" i="6" s="1"/>
  <c r="K285" i="6"/>
  <c r="L285" i="6" s="1"/>
  <c r="K286" i="6"/>
  <c r="L286" i="6" s="1"/>
  <c r="K287" i="6"/>
  <c r="L287" i="6" s="1"/>
  <c r="K288" i="6"/>
  <c r="L288" i="6" s="1"/>
  <c r="K289" i="6"/>
  <c r="L289" i="6" s="1"/>
  <c r="K290" i="6"/>
  <c r="L290" i="6" s="1"/>
  <c r="K291" i="6"/>
  <c r="L291" i="6" s="1"/>
  <c r="K292" i="6"/>
  <c r="L292" i="6" s="1"/>
  <c r="K293" i="6"/>
  <c r="L293" i="6" s="1"/>
  <c r="K294" i="6"/>
  <c r="L294" i="6" s="1"/>
  <c r="K295" i="6"/>
  <c r="L295" i="6" s="1"/>
  <c r="K296" i="6"/>
  <c r="L296" i="6" s="1"/>
  <c r="K297" i="6"/>
  <c r="L297" i="6" s="1"/>
  <c r="K298" i="6"/>
  <c r="L298" i="6" s="1"/>
  <c r="K299" i="6"/>
  <c r="L299" i="6" s="1"/>
  <c r="K300" i="6"/>
  <c r="L300" i="6" s="1"/>
  <c r="K301" i="6"/>
  <c r="L301" i="6" s="1"/>
  <c r="K302" i="6"/>
  <c r="L302" i="6" s="1"/>
  <c r="K303" i="6"/>
  <c r="L303" i="6" s="1"/>
  <c r="K304" i="6"/>
  <c r="L304" i="6" s="1"/>
  <c r="K305" i="6"/>
  <c r="L305" i="6" s="1"/>
  <c r="K306" i="6"/>
  <c r="L306" i="6" s="1"/>
  <c r="K307" i="6"/>
  <c r="L307" i="6" s="1"/>
  <c r="K308" i="6"/>
  <c r="L308" i="6" s="1"/>
  <c r="K309" i="6"/>
  <c r="L309" i="6" s="1"/>
  <c r="K310" i="6"/>
  <c r="L310" i="6" s="1"/>
  <c r="K311" i="6"/>
  <c r="L311" i="6" s="1"/>
  <c r="K312" i="6"/>
  <c r="L312" i="6" s="1"/>
  <c r="K313" i="6"/>
  <c r="L313" i="6" s="1"/>
  <c r="K314" i="6"/>
  <c r="L314" i="6" s="1"/>
  <c r="K315" i="6"/>
  <c r="L315" i="6" s="1"/>
  <c r="K316" i="6"/>
  <c r="L316" i="6" s="1"/>
  <c r="K317" i="6"/>
  <c r="L317" i="6" s="1"/>
  <c r="K318" i="6"/>
  <c r="L318" i="6" s="1"/>
  <c r="K319" i="6"/>
  <c r="L319" i="6" s="1"/>
  <c r="K320" i="6"/>
  <c r="L320" i="6" s="1"/>
  <c r="K321" i="6"/>
  <c r="L321" i="6" s="1"/>
  <c r="K322" i="6"/>
  <c r="L322" i="6" s="1"/>
  <c r="K323" i="6"/>
  <c r="L323" i="6" s="1"/>
  <c r="K324" i="6"/>
  <c r="L324" i="6" s="1"/>
  <c r="K325" i="6"/>
  <c r="L325" i="6" s="1"/>
  <c r="K326" i="6"/>
  <c r="L326" i="6" s="1"/>
  <c r="K327" i="6"/>
  <c r="L327" i="6" s="1"/>
  <c r="K328" i="6"/>
  <c r="L328" i="6" s="1"/>
  <c r="K329" i="6"/>
  <c r="L329" i="6" s="1"/>
  <c r="K330" i="6"/>
  <c r="L330" i="6" s="1"/>
  <c r="K331" i="6"/>
  <c r="L331" i="6" s="1"/>
  <c r="K332" i="6"/>
  <c r="L332" i="6" s="1"/>
  <c r="K333" i="6"/>
  <c r="L333" i="6" s="1"/>
  <c r="K334" i="6"/>
  <c r="L334" i="6" s="1"/>
  <c r="K335" i="6"/>
  <c r="L335" i="6" s="1"/>
  <c r="K336" i="6"/>
  <c r="L336" i="6" s="1"/>
  <c r="K337" i="6"/>
  <c r="L337" i="6" s="1"/>
  <c r="K338" i="6"/>
  <c r="L338" i="6" s="1"/>
  <c r="K339" i="6"/>
  <c r="L339" i="6" s="1"/>
  <c r="K340" i="6"/>
  <c r="L340" i="6" s="1"/>
  <c r="K341" i="6"/>
  <c r="L341" i="6" s="1"/>
  <c r="K342" i="6"/>
  <c r="L342" i="6" s="1"/>
  <c r="K343" i="6"/>
  <c r="L343" i="6" s="1"/>
  <c r="K344" i="6"/>
  <c r="L344" i="6" s="1"/>
  <c r="K345" i="6"/>
  <c r="L345" i="6" s="1"/>
  <c r="K346" i="6"/>
  <c r="L346" i="6" s="1"/>
  <c r="K347" i="6"/>
  <c r="L347" i="6" s="1"/>
  <c r="K348" i="6"/>
  <c r="L348" i="6" s="1"/>
  <c r="K349" i="6"/>
  <c r="L349" i="6" s="1"/>
  <c r="K350" i="6"/>
  <c r="L350" i="6" s="1"/>
  <c r="K351" i="6"/>
  <c r="L351" i="6" s="1"/>
  <c r="K352" i="6"/>
  <c r="L352" i="6" s="1"/>
  <c r="K353" i="6"/>
  <c r="L353" i="6" s="1"/>
  <c r="K354" i="6"/>
  <c r="L354" i="6" s="1"/>
  <c r="K355" i="6"/>
  <c r="L355" i="6" s="1"/>
  <c r="K356" i="6"/>
  <c r="L356" i="6" s="1"/>
  <c r="K357" i="6"/>
  <c r="L357" i="6" s="1"/>
  <c r="K358" i="6"/>
  <c r="L358" i="6" s="1"/>
  <c r="K359" i="6"/>
  <c r="L359" i="6" s="1"/>
  <c r="K360" i="6"/>
  <c r="L360" i="6" s="1"/>
  <c r="K361" i="6"/>
  <c r="L361" i="6" s="1"/>
  <c r="K362" i="6"/>
  <c r="L362" i="6" s="1"/>
  <c r="K363" i="6"/>
  <c r="L363" i="6" s="1"/>
  <c r="K364" i="6"/>
  <c r="L364" i="6" s="1"/>
  <c r="K365" i="6"/>
  <c r="L365" i="6" s="1"/>
  <c r="K366" i="6"/>
  <c r="L366" i="6" s="1"/>
  <c r="K367" i="6"/>
  <c r="L367" i="6" s="1"/>
  <c r="K368" i="6"/>
  <c r="L368" i="6" s="1"/>
  <c r="K369" i="6"/>
  <c r="L369" i="6" s="1"/>
  <c r="K370" i="6"/>
  <c r="L370" i="6" s="1"/>
  <c r="K371" i="6"/>
  <c r="L371" i="6" s="1"/>
  <c r="K372" i="6"/>
  <c r="L372" i="6" s="1"/>
  <c r="K373" i="6"/>
  <c r="L373" i="6" s="1"/>
  <c r="K374" i="6"/>
  <c r="L374" i="6" s="1"/>
  <c r="K375" i="6"/>
  <c r="L375" i="6" s="1"/>
  <c r="K376" i="6"/>
  <c r="L376" i="6" s="1"/>
  <c r="K377" i="6"/>
  <c r="L377" i="6" s="1"/>
  <c r="K378" i="6"/>
  <c r="L378" i="6" s="1"/>
  <c r="K379" i="6"/>
  <c r="L379" i="6" s="1"/>
  <c r="K380" i="6"/>
  <c r="L380" i="6" s="1"/>
  <c r="K381" i="6"/>
  <c r="L381" i="6" s="1"/>
  <c r="K382" i="6"/>
  <c r="L382" i="6" s="1"/>
  <c r="K383" i="6"/>
  <c r="L383" i="6" s="1"/>
  <c r="K384" i="6"/>
  <c r="L384" i="6" s="1"/>
  <c r="K385" i="6"/>
  <c r="L385" i="6" s="1"/>
  <c r="K386" i="6"/>
  <c r="L386" i="6" s="1"/>
  <c r="K387" i="6"/>
  <c r="L387" i="6" s="1"/>
  <c r="K388" i="6"/>
  <c r="L388" i="6" s="1"/>
  <c r="K389" i="6"/>
  <c r="L389" i="6" s="1"/>
  <c r="K390" i="6"/>
  <c r="L390" i="6" s="1"/>
  <c r="K391" i="6"/>
  <c r="L391" i="6" s="1"/>
  <c r="K392" i="6"/>
  <c r="L392" i="6" s="1"/>
  <c r="K393" i="6"/>
  <c r="L393" i="6" s="1"/>
  <c r="K394" i="6"/>
  <c r="L394" i="6" s="1"/>
  <c r="K395" i="6"/>
  <c r="L395" i="6" s="1"/>
  <c r="K396" i="6"/>
  <c r="L396" i="6" s="1"/>
  <c r="K397" i="6"/>
  <c r="L397" i="6" s="1"/>
  <c r="K398" i="6"/>
  <c r="L398" i="6" s="1"/>
  <c r="K399" i="6"/>
  <c r="L399" i="6" s="1"/>
  <c r="K400" i="6"/>
  <c r="L400" i="6" s="1"/>
  <c r="K401" i="6"/>
  <c r="L401" i="6" s="1"/>
  <c r="K402" i="6"/>
  <c r="L402" i="6" s="1"/>
  <c r="K403" i="6"/>
  <c r="L403" i="6" s="1"/>
  <c r="K404" i="6"/>
  <c r="L404" i="6" s="1"/>
  <c r="K405" i="6"/>
  <c r="L405" i="6" s="1"/>
  <c r="K406" i="6"/>
  <c r="L406" i="6" s="1"/>
  <c r="K407" i="6"/>
  <c r="L407" i="6" s="1"/>
  <c r="K408" i="6"/>
  <c r="L408" i="6" s="1"/>
  <c r="K409" i="6"/>
  <c r="L409" i="6" s="1"/>
  <c r="K410" i="6"/>
  <c r="L410" i="6" s="1"/>
  <c r="K411" i="6"/>
  <c r="L411" i="6" s="1"/>
  <c r="K412" i="6"/>
  <c r="L412" i="6" s="1"/>
  <c r="K413" i="6"/>
  <c r="L413" i="6" s="1"/>
  <c r="K414" i="6"/>
  <c r="L414" i="6" s="1"/>
  <c r="K415" i="6"/>
  <c r="L415" i="6" s="1"/>
  <c r="K416" i="6"/>
  <c r="L416" i="6" s="1"/>
  <c r="K417" i="6"/>
  <c r="L417" i="6" s="1"/>
  <c r="K418" i="6"/>
  <c r="L418" i="6" s="1"/>
  <c r="K419" i="6"/>
  <c r="L419" i="6" s="1"/>
  <c r="K420" i="6"/>
  <c r="L420" i="6" s="1"/>
  <c r="K421" i="6"/>
  <c r="L421" i="6" s="1"/>
  <c r="K422" i="6"/>
  <c r="L422" i="6" s="1"/>
  <c r="K423" i="6"/>
  <c r="L423" i="6" s="1"/>
  <c r="K424" i="6"/>
  <c r="L424" i="6" s="1"/>
  <c r="K425" i="6"/>
  <c r="L425" i="6" s="1"/>
  <c r="K426" i="6"/>
  <c r="L426" i="6" s="1"/>
  <c r="K427" i="6"/>
  <c r="L427" i="6" s="1"/>
  <c r="K428" i="6"/>
  <c r="L428" i="6" s="1"/>
  <c r="K429" i="6"/>
  <c r="L429" i="6" s="1"/>
  <c r="K430" i="6"/>
  <c r="L430" i="6" s="1"/>
  <c r="K431" i="6"/>
  <c r="L431" i="6" s="1"/>
  <c r="K432" i="6"/>
  <c r="L432" i="6" s="1"/>
  <c r="K433" i="6"/>
  <c r="L433" i="6" s="1"/>
  <c r="K434" i="6"/>
  <c r="L434" i="6" s="1"/>
  <c r="K435" i="6"/>
  <c r="L435" i="6" s="1"/>
  <c r="K436" i="6"/>
  <c r="L436" i="6" s="1"/>
  <c r="K437" i="6"/>
  <c r="L437" i="6" s="1"/>
  <c r="K438" i="6"/>
  <c r="L438" i="6" s="1"/>
  <c r="K439" i="6"/>
  <c r="L439" i="6" s="1"/>
  <c r="K440" i="6"/>
  <c r="L440" i="6" s="1"/>
  <c r="K441" i="6"/>
  <c r="L441" i="6" s="1"/>
  <c r="K442" i="6"/>
  <c r="L442" i="6" s="1"/>
  <c r="K443" i="6"/>
  <c r="L443" i="6" s="1"/>
  <c r="K444" i="6"/>
  <c r="L444" i="6" s="1"/>
  <c r="K445" i="6"/>
  <c r="L445" i="6" s="1"/>
  <c r="K446" i="6"/>
  <c r="L446" i="6" s="1"/>
  <c r="K447" i="6"/>
  <c r="L447" i="6" s="1"/>
  <c r="K448" i="6"/>
  <c r="L448" i="6" s="1"/>
  <c r="K449" i="6"/>
  <c r="L449" i="6" s="1"/>
  <c r="K450" i="6"/>
  <c r="L450" i="6" s="1"/>
  <c r="K451" i="6"/>
  <c r="L451" i="6" s="1"/>
  <c r="K452" i="6"/>
  <c r="L452" i="6" s="1"/>
  <c r="K453" i="6"/>
  <c r="L453" i="6" s="1"/>
  <c r="K454" i="6"/>
  <c r="L454" i="6" s="1"/>
  <c r="K455" i="6"/>
  <c r="L455" i="6" s="1"/>
  <c r="K456" i="6"/>
  <c r="L456" i="6" s="1"/>
  <c r="K457" i="6"/>
  <c r="L457" i="6" s="1"/>
  <c r="K458" i="6"/>
  <c r="L458" i="6" s="1"/>
  <c r="K459" i="6"/>
  <c r="L459" i="6" s="1"/>
  <c r="K460" i="6"/>
  <c r="L460" i="6" s="1"/>
  <c r="K461" i="6"/>
  <c r="L461" i="6" s="1"/>
  <c r="K462" i="6"/>
  <c r="L462" i="6" s="1"/>
  <c r="K463" i="6"/>
  <c r="L463" i="6" s="1"/>
  <c r="K464" i="6"/>
  <c r="L464" i="6" s="1"/>
  <c r="K465" i="6"/>
  <c r="L465" i="6" s="1"/>
  <c r="K466" i="6"/>
  <c r="L466" i="6" s="1"/>
  <c r="K467" i="6"/>
  <c r="L467" i="6" s="1"/>
  <c r="K468" i="6"/>
  <c r="L468" i="6" s="1"/>
  <c r="K469" i="6"/>
  <c r="L469" i="6" s="1"/>
  <c r="K470" i="6"/>
  <c r="L470" i="6" s="1"/>
  <c r="K471" i="6"/>
  <c r="L471" i="6" s="1"/>
  <c r="K472" i="6"/>
  <c r="L472" i="6" s="1"/>
  <c r="K473" i="6"/>
  <c r="L473" i="6" s="1"/>
  <c r="K474" i="6"/>
  <c r="L474" i="6" s="1"/>
  <c r="K475" i="6"/>
  <c r="L475" i="6" s="1"/>
  <c r="K476" i="6"/>
  <c r="L476" i="6" s="1"/>
  <c r="K477" i="6"/>
  <c r="L477" i="6" s="1"/>
  <c r="K478" i="6"/>
  <c r="L478" i="6" s="1"/>
  <c r="K479" i="6"/>
  <c r="L479" i="6" s="1"/>
  <c r="K480" i="6"/>
  <c r="L480" i="6" s="1"/>
  <c r="K481" i="6"/>
  <c r="L481" i="6" s="1"/>
  <c r="K482" i="6"/>
  <c r="L482" i="6" s="1"/>
  <c r="K483" i="6"/>
  <c r="L483" i="6" s="1"/>
  <c r="K484" i="6"/>
  <c r="L484" i="6" s="1"/>
  <c r="K485" i="6"/>
  <c r="L485" i="6" s="1"/>
  <c r="K486" i="6"/>
  <c r="L486" i="6" s="1"/>
  <c r="K487" i="6"/>
  <c r="L487" i="6" s="1"/>
  <c r="K488" i="6"/>
  <c r="L488" i="6" s="1"/>
  <c r="K489" i="6"/>
  <c r="L489" i="6" s="1"/>
  <c r="K490" i="6"/>
  <c r="L490" i="6" s="1"/>
  <c r="K491" i="6"/>
  <c r="L491" i="6" s="1"/>
  <c r="K492" i="6"/>
  <c r="L492" i="6" s="1"/>
  <c r="K493" i="6"/>
  <c r="L493" i="6" s="1"/>
  <c r="K494" i="6"/>
  <c r="L494" i="6" s="1"/>
  <c r="K495" i="6"/>
  <c r="L495" i="6" s="1"/>
  <c r="K496" i="6"/>
  <c r="L496" i="6" s="1"/>
  <c r="K497" i="6"/>
  <c r="L497" i="6" s="1"/>
  <c r="K498" i="6"/>
  <c r="L498" i="6" s="1"/>
  <c r="K499" i="6"/>
  <c r="L499" i="6" s="1"/>
  <c r="K500" i="6"/>
  <c r="L500" i="6" s="1"/>
  <c r="K501" i="6"/>
  <c r="L501" i="6" s="1"/>
  <c r="K502" i="6"/>
  <c r="L502" i="6" s="1"/>
  <c r="K503" i="6"/>
  <c r="L503" i="6" s="1"/>
  <c r="K504" i="6"/>
  <c r="L504" i="6" s="1"/>
  <c r="K505" i="6"/>
  <c r="L505" i="6" s="1"/>
  <c r="K506" i="6"/>
  <c r="L506" i="6" s="1"/>
  <c r="K507" i="6"/>
  <c r="L507" i="6" s="1"/>
  <c r="K508" i="6"/>
  <c r="L508" i="6" s="1"/>
  <c r="K509" i="6"/>
  <c r="L509" i="6" s="1"/>
  <c r="K510" i="6"/>
  <c r="L510" i="6" s="1"/>
  <c r="K511" i="6"/>
  <c r="L511" i="6" s="1"/>
  <c r="K512" i="6"/>
  <c r="L512" i="6" s="1"/>
  <c r="K513" i="6"/>
  <c r="L513" i="6" s="1"/>
  <c r="K514" i="6"/>
  <c r="L514" i="6" s="1"/>
  <c r="K515" i="6"/>
  <c r="L515" i="6" s="1"/>
  <c r="K516" i="6"/>
  <c r="L516" i="6" s="1"/>
  <c r="K517" i="6"/>
  <c r="L517" i="6" s="1"/>
  <c r="K518" i="6"/>
  <c r="L518" i="6" s="1"/>
  <c r="K519" i="6"/>
  <c r="L519" i="6" s="1"/>
  <c r="K520" i="6"/>
  <c r="L520" i="6" s="1"/>
  <c r="K521" i="6"/>
  <c r="L521" i="6" s="1"/>
  <c r="K522" i="6"/>
  <c r="L522" i="6" s="1"/>
  <c r="K523" i="6"/>
  <c r="L523" i="6" s="1"/>
  <c r="K524" i="6"/>
  <c r="L524" i="6" s="1"/>
  <c r="K525" i="6"/>
  <c r="L525" i="6" s="1"/>
  <c r="K526" i="6"/>
  <c r="L526" i="6" s="1"/>
  <c r="K527" i="6"/>
  <c r="L527" i="6" s="1"/>
  <c r="K528" i="6"/>
  <c r="L528" i="6" s="1"/>
  <c r="K529" i="6"/>
  <c r="L529" i="6" s="1"/>
  <c r="K530" i="6"/>
  <c r="L530" i="6" s="1"/>
  <c r="K531" i="6"/>
  <c r="L531" i="6" s="1"/>
  <c r="K532" i="6"/>
  <c r="L532" i="6" s="1"/>
  <c r="K533" i="6"/>
  <c r="L533" i="6" s="1"/>
  <c r="K534" i="6"/>
  <c r="L534" i="6" s="1"/>
  <c r="K535" i="6"/>
  <c r="L535" i="6" s="1"/>
  <c r="K536" i="6"/>
  <c r="L536" i="6" s="1"/>
  <c r="K537" i="6"/>
  <c r="L537" i="6" s="1"/>
  <c r="K538" i="6"/>
  <c r="L538" i="6" s="1"/>
  <c r="K539" i="6"/>
  <c r="L539" i="6" s="1"/>
  <c r="K540" i="6"/>
  <c r="L540" i="6" s="1"/>
  <c r="K541" i="6"/>
  <c r="L541" i="6" s="1"/>
  <c r="K542" i="6"/>
  <c r="L542" i="6" s="1"/>
  <c r="K543" i="6"/>
  <c r="L543" i="6" s="1"/>
  <c r="K544" i="6"/>
  <c r="L544" i="6" s="1"/>
  <c r="K545" i="6"/>
  <c r="L545" i="6" s="1"/>
  <c r="K546" i="6"/>
  <c r="L546" i="6" s="1"/>
  <c r="K547" i="6"/>
  <c r="L547" i="6" s="1"/>
  <c r="K548" i="6"/>
  <c r="L548" i="6" s="1"/>
  <c r="K549" i="6"/>
  <c r="L549" i="6" s="1"/>
  <c r="K550" i="6"/>
  <c r="L550" i="6" s="1"/>
  <c r="K551" i="6"/>
  <c r="L551" i="6" s="1"/>
  <c r="K552" i="6"/>
  <c r="L552" i="6" s="1"/>
  <c r="K553" i="6"/>
  <c r="L553" i="6" s="1"/>
  <c r="K554" i="6"/>
  <c r="L554" i="6" s="1"/>
  <c r="K555" i="6"/>
  <c r="L555" i="6" s="1"/>
  <c r="K556" i="6"/>
  <c r="L556" i="6" s="1"/>
  <c r="K557" i="6"/>
  <c r="L557" i="6" s="1"/>
  <c r="K558" i="6"/>
  <c r="L558" i="6" s="1"/>
  <c r="K559" i="6"/>
  <c r="L559" i="6" s="1"/>
  <c r="K560" i="6"/>
  <c r="L560" i="6" s="1"/>
  <c r="K561" i="6"/>
  <c r="L561" i="6" s="1"/>
  <c r="K562" i="6"/>
  <c r="L562" i="6" s="1"/>
  <c r="K563" i="6"/>
  <c r="L563" i="6" s="1"/>
  <c r="K564" i="6"/>
  <c r="L564" i="6" s="1"/>
  <c r="K565" i="6"/>
  <c r="L565" i="6" s="1"/>
  <c r="K566" i="6"/>
  <c r="L566" i="6" s="1"/>
  <c r="K567" i="6"/>
  <c r="L567" i="6" s="1"/>
  <c r="K568" i="6"/>
  <c r="L568" i="6" s="1"/>
  <c r="K569" i="6"/>
  <c r="L569" i="6" s="1"/>
  <c r="K570" i="6"/>
  <c r="L570" i="6" s="1"/>
  <c r="K571" i="6"/>
  <c r="L571" i="6" s="1"/>
  <c r="K572" i="6"/>
  <c r="L572" i="6" s="1"/>
  <c r="K573" i="6"/>
  <c r="L573" i="6" s="1"/>
  <c r="K574" i="6"/>
  <c r="L574" i="6" s="1"/>
  <c r="K575" i="6"/>
  <c r="L575" i="6" s="1"/>
  <c r="K576" i="6"/>
  <c r="L576" i="6" s="1"/>
  <c r="K577" i="6"/>
  <c r="L577" i="6" s="1"/>
  <c r="K578" i="6"/>
  <c r="L578" i="6" s="1"/>
  <c r="K579" i="6"/>
  <c r="L579" i="6" s="1"/>
  <c r="K580" i="6"/>
  <c r="L580" i="6" s="1"/>
  <c r="K581" i="6"/>
  <c r="L581" i="6" s="1"/>
  <c r="K582" i="6"/>
  <c r="L582" i="6" s="1"/>
  <c r="K583" i="6"/>
  <c r="L583" i="6" s="1"/>
  <c r="K584" i="6"/>
  <c r="L584" i="6" s="1"/>
  <c r="K585" i="6"/>
  <c r="L585" i="6" s="1"/>
  <c r="K586" i="6"/>
  <c r="L586" i="6" s="1"/>
  <c r="K587" i="6"/>
  <c r="L587" i="6" s="1"/>
  <c r="K588" i="6"/>
  <c r="L588" i="6" s="1"/>
  <c r="K589" i="6"/>
  <c r="L589" i="6" s="1"/>
  <c r="K590" i="6"/>
  <c r="L590" i="6" s="1"/>
  <c r="K591" i="6"/>
  <c r="L591" i="6" s="1"/>
  <c r="K592" i="6"/>
  <c r="L592" i="6" s="1"/>
  <c r="K593" i="6"/>
  <c r="L593" i="6" s="1"/>
  <c r="K594" i="6"/>
  <c r="L594" i="6" s="1"/>
  <c r="K595" i="6"/>
  <c r="L595" i="6" s="1"/>
  <c r="K596" i="6"/>
  <c r="L596" i="6" s="1"/>
  <c r="K597" i="6"/>
  <c r="L597" i="6" s="1"/>
  <c r="K598" i="6"/>
  <c r="L598" i="6" s="1"/>
  <c r="K599" i="6"/>
  <c r="L599" i="6" s="1"/>
  <c r="K600" i="6"/>
  <c r="L600" i="6" s="1"/>
  <c r="K601" i="6"/>
  <c r="L601" i="6" s="1"/>
  <c r="K602" i="6"/>
  <c r="L602" i="6" s="1"/>
  <c r="K603" i="6"/>
  <c r="L603" i="6" s="1"/>
  <c r="K604" i="6"/>
  <c r="L604" i="6" s="1"/>
  <c r="K605" i="6"/>
  <c r="L605" i="6" s="1"/>
  <c r="K606" i="6"/>
  <c r="L606" i="6" s="1"/>
  <c r="K607" i="6"/>
  <c r="L607" i="6" s="1"/>
  <c r="K608" i="6"/>
  <c r="L608" i="6" s="1"/>
  <c r="K609" i="6"/>
  <c r="L609" i="6" s="1"/>
  <c r="K610" i="6"/>
  <c r="L610" i="6" s="1"/>
  <c r="K611" i="6"/>
  <c r="L611" i="6" s="1"/>
  <c r="K2" i="6"/>
  <c r="L2" i="6" s="1"/>
  <c r="D3" i="6"/>
  <c r="I3" i="6" s="1"/>
  <c r="D4" i="6"/>
  <c r="I4" i="6" s="1"/>
  <c r="D5" i="6"/>
  <c r="I5" i="6" s="1"/>
  <c r="D6" i="6"/>
  <c r="I6" i="6" s="1"/>
  <c r="D7" i="6"/>
  <c r="I7" i="6" s="1"/>
  <c r="D8" i="6"/>
  <c r="I8" i="6" s="1"/>
  <c r="D9" i="6"/>
  <c r="I9" i="6" s="1"/>
  <c r="D10" i="6"/>
  <c r="I10" i="6" s="1"/>
  <c r="D11" i="6"/>
  <c r="I11" i="6" s="1"/>
  <c r="D12" i="6"/>
  <c r="I12" i="6" s="1"/>
  <c r="D13" i="6"/>
  <c r="I13" i="6" s="1"/>
  <c r="D14" i="6"/>
  <c r="I14" i="6" s="1"/>
  <c r="D15" i="6"/>
  <c r="I15" i="6" s="1"/>
  <c r="D16" i="6"/>
  <c r="I16" i="6" s="1"/>
  <c r="D17" i="6"/>
  <c r="I17" i="6" s="1"/>
  <c r="D18" i="6"/>
  <c r="I18" i="6" s="1"/>
  <c r="D19" i="6"/>
  <c r="I19" i="6" s="1"/>
  <c r="D20" i="6"/>
  <c r="I20" i="6" s="1"/>
  <c r="D21" i="6"/>
  <c r="I21" i="6" s="1"/>
  <c r="D22" i="6"/>
  <c r="I22" i="6" s="1"/>
  <c r="D23" i="6"/>
  <c r="I23" i="6" s="1"/>
  <c r="D24" i="6"/>
  <c r="I24" i="6" s="1"/>
  <c r="D25" i="6"/>
  <c r="I25" i="6" s="1"/>
  <c r="D26" i="6"/>
  <c r="I26" i="6" s="1"/>
  <c r="D27" i="6"/>
  <c r="I27" i="6" s="1"/>
  <c r="D28" i="6"/>
  <c r="I28" i="6" s="1"/>
  <c r="D29" i="6"/>
  <c r="I29" i="6" s="1"/>
  <c r="D30" i="6"/>
  <c r="I30" i="6" s="1"/>
  <c r="D31" i="6"/>
  <c r="I31" i="6" s="1"/>
  <c r="D32" i="6"/>
  <c r="I32" i="6" s="1"/>
  <c r="D33" i="6"/>
  <c r="I33" i="6" s="1"/>
  <c r="D34" i="6"/>
  <c r="I34" i="6" s="1"/>
  <c r="D35" i="6"/>
  <c r="I35" i="6" s="1"/>
  <c r="D36" i="6"/>
  <c r="I36" i="6" s="1"/>
  <c r="D37" i="6"/>
  <c r="I37" i="6" s="1"/>
  <c r="D38" i="6"/>
  <c r="I38" i="6" s="1"/>
  <c r="D39" i="6"/>
  <c r="I39" i="6" s="1"/>
  <c r="D40" i="6"/>
  <c r="I40" i="6" s="1"/>
  <c r="D41" i="6"/>
  <c r="I41" i="6" s="1"/>
  <c r="D42" i="6"/>
  <c r="I42" i="6" s="1"/>
  <c r="D43" i="6"/>
  <c r="I43" i="6" s="1"/>
  <c r="D44" i="6"/>
  <c r="I44" i="6" s="1"/>
  <c r="D45" i="6"/>
  <c r="I45" i="6" s="1"/>
  <c r="D46" i="6"/>
  <c r="I46" i="6" s="1"/>
  <c r="D47" i="6"/>
  <c r="I47" i="6" s="1"/>
  <c r="D48" i="6"/>
  <c r="I48" i="6" s="1"/>
  <c r="D49" i="6"/>
  <c r="I49" i="6" s="1"/>
  <c r="D50" i="6"/>
  <c r="I50" i="6" s="1"/>
  <c r="D51" i="6"/>
  <c r="I51" i="6" s="1"/>
  <c r="D52" i="6"/>
  <c r="I52" i="6" s="1"/>
  <c r="D53" i="6"/>
  <c r="I53" i="6" s="1"/>
  <c r="D54" i="6"/>
  <c r="I54" i="6" s="1"/>
  <c r="D55" i="6"/>
  <c r="I55" i="6" s="1"/>
  <c r="D56" i="6"/>
  <c r="I56" i="6" s="1"/>
  <c r="D57" i="6"/>
  <c r="I57" i="6" s="1"/>
  <c r="D58" i="6"/>
  <c r="I58" i="6" s="1"/>
  <c r="D59" i="6"/>
  <c r="I59" i="6" s="1"/>
  <c r="D60" i="6"/>
  <c r="I60" i="6" s="1"/>
  <c r="D61" i="6"/>
  <c r="I61" i="6" s="1"/>
  <c r="D62" i="6"/>
  <c r="I62" i="6" s="1"/>
  <c r="D63" i="6"/>
  <c r="I63" i="6" s="1"/>
  <c r="D64" i="6"/>
  <c r="I64" i="6" s="1"/>
  <c r="D65" i="6"/>
  <c r="I65" i="6" s="1"/>
  <c r="D66" i="6"/>
  <c r="I66" i="6" s="1"/>
  <c r="D67" i="6"/>
  <c r="I67" i="6" s="1"/>
  <c r="D68" i="6"/>
  <c r="I68" i="6" s="1"/>
  <c r="D69" i="6"/>
  <c r="I69" i="6" s="1"/>
  <c r="D70" i="6"/>
  <c r="I70" i="6" s="1"/>
  <c r="D71" i="6"/>
  <c r="I71" i="6" s="1"/>
  <c r="D72" i="6"/>
  <c r="I72" i="6" s="1"/>
  <c r="D73" i="6"/>
  <c r="I73" i="6" s="1"/>
  <c r="D74" i="6"/>
  <c r="I74" i="6" s="1"/>
  <c r="D75" i="6"/>
  <c r="I75" i="6" s="1"/>
  <c r="D76" i="6"/>
  <c r="I76" i="6" s="1"/>
  <c r="D77" i="6"/>
  <c r="I77" i="6" s="1"/>
  <c r="D78" i="6"/>
  <c r="I78" i="6" s="1"/>
  <c r="D79" i="6"/>
  <c r="I79" i="6" s="1"/>
  <c r="D80" i="6"/>
  <c r="I80" i="6" s="1"/>
  <c r="D81" i="6"/>
  <c r="I81" i="6" s="1"/>
  <c r="D82" i="6"/>
  <c r="I82" i="6" s="1"/>
  <c r="D83" i="6"/>
  <c r="I83" i="6" s="1"/>
  <c r="D84" i="6"/>
  <c r="I84" i="6" s="1"/>
  <c r="D85" i="6"/>
  <c r="I85" i="6" s="1"/>
  <c r="D86" i="6"/>
  <c r="I86" i="6" s="1"/>
  <c r="D87" i="6"/>
  <c r="I87" i="6" s="1"/>
  <c r="D88" i="6"/>
  <c r="I88" i="6" s="1"/>
  <c r="D89" i="6"/>
  <c r="I89" i="6" s="1"/>
  <c r="D90" i="6"/>
  <c r="I90" i="6" s="1"/>
  <c r="D91" i="6"/>
  <c r="I91" i="6" s="1"/>
  <c r="D92" i="6"/>
  <c r="I92" i="6" s="1"/>
  <c r="D93" i="6"/>
  <c r="I93" i="6" s="1"/>
  <c r="D94" i="6"/>
  <c r="I94" i="6" s="1"/>
  <c r="D95" i="6"/>
  <c r="I95" i="6" s="1"/>
  <c r="D96" i="6"/>
  <c r="I96" i="6" s="1"/>
  <c r="D97" i="6"/>
  <c r="I97" i="6" s="1"/>
  <c r="D98" i="6"/>
  <c r="I98" i="6" s="1"/>
  <c r="D99" i="6"/>
  <c r="I99" i="6" s="1"/>
  <c r="D100" i="6"/>
  <c r="I100" i="6" s="1"/>
  <c r="D101" i="6"/>
  <c r="I101" i="6" s="1"/>
  <c r="D102" i="6"/>
  <c r="I102" i="6" s="1"/>
  <c r="D103" i="6"/>
  <c r="I103" i="6" s="1"/>
  <c r="D104" i="6"/>
  <c r="I104" i="6" s="1"/>
  <c r="D105" i="6"/>
  <c r="I105" i="6" s="1"/>
  <c r="D106" i="6"/>
  <c r="I106" i="6" s="1"/>
  <c r="D107" i="6"/>
  <c r="I107" i="6" s="1"/>
  <c r="D108" i="6"/>
  <c r="I108" i="6" s="1"/>
  <c r="D109" i="6"/>
  <c r="I109" i="6" s="1"/>
  <c r="D110" i="6"/>
  <c r="I110" i="6" s="1"/>
  <c r="D111" i="6"/>
  <c r="I111" i="6" s="1"/>
  <c r="D112" i="6"/>
  <c r="I112" i="6" s="1"/>
  <c r="D113" i="6"/>
  <c r="I113" i="6" s="1"/>
  <c r="D114" i="6"/>
  <c r="I114" i="6" s="1"/>
  <c r="D115" i="6"/>
  <c r="I115" i="6" s="1"/>
  <c r="D116" i="6"/>
  <c r="I116" i="6" s="1"/>
  <c r="D117" i="6"/>
  <c r="I117" i="6" s="1"/>
  <c r="D118" i="6"/>
  <c r="I118" i="6" s="1"/>
  <c r="D119" i="6"/>
  <c r="I119" i="6" s="1"/>
  <c r="D120" i="6"/>
  <c r="I120" i="6" s="1"/>
  <c r="D121" i="6"/>
  <c r="I121" i="6" s="1"/>
  <c r="D122" i="6"/>
  <c r="I122" i="6" s="1"/>
  <c r="D123" i="6"/>
  <c r="I123" i="6" s="1"/>
  <c r="D124" i="6"/>
  <c r="I124" i="6" s="1"/>
  <c r="D125" i="6"/>
  <c r="I125" i="6" s="1"/>
  <c r="D126" i="6"/>
  <c r="I126" i="6" s="1"/>
  <c r="D127" i="6"/>
  <c r="I127" i="6" s="1"/>
  <c r="D128" i="6"/>
  <c r="I128" i="6" s="1"/>
  <c r="D129" i="6"/>
  <c r="I129" i="6" s="1"/>
  <c r="D130" i="6"/>
  <c r="I130" i="6" s="1"/>
  <c r="D131" i="6"/>
  <c r="I131" i="6" s="1"/>
  <c r="D132" i="6"/>
  <c r="I132" i="6" s="1"/>
  <c r="D133" i="6"/>
  <c r="I133" i="6" s="1"/>
  <c r="D134" i="6"/>
  <c r="I134" i="6" s="1"/>
  <c r="D135" i="6"/>
  <c r="I135" i="6" s="1"/>
  <c r="D136" i="6"/>
  <c r="I136" i="6" s="1"/>
  <c r="D137" i="6"/>
  <c r="I137" i="6" s="1"/>
  <c r="D138" i="6"/>
  <c r="I138" i="6" s="1"/>
  <c r="D139" i="6"/>
  <c r="I139" i="6" s="1"/>
  <c r="D140" i="6"/>
  <c r="I140" i="6" s="1"/>
  <c r="D141" i="6"/>
  <c r="I141" i="6" s="1"/>
  <c r="D142" i="6"/>
  <c r="I142" i="6" s="1"/>
  <c r="D143" i="6"/>
  <c r="I143" i="6" s="1"/>
  <c r="D144" i="6"/>
  <c r="I144" i="6" s="1"/>
  <c r="D145" i="6"/>
  <c r="I145" i="6" s="1"/>
  <c r="D146" i="6"/>
  <c r="I146" i="6" s="1"/>
  <c r="D147" i="6"/>
  <c r="I147" i="6" s="1"/>
  <c r="D148" i="6"/>
  <c r="I148" i="6" s="1"/>
  <c r="D149" i="6"/>
  <c r="I149" i="6" s="1"/>
  <c r="D150" i="6"/>
  <c r="I150" i="6" s="1"/>
  <c r="D151" i="6"/>
  <c r="I151" i="6" s="1"/>
  <c r="D152" i="6"/>
  <c r="I152" i="6" s="1"/>
  <c r="D153" i="6"/>
  <c r="I153" i="6" s="1"/>
  <c r="D154" i="6"/>
  <c r="I154" i="6" s="1"/>
  <c r="D155" i="6"/>
  <c r="I155" i="6" s="1"/>
  <c r="D156" i="6"/>
  <c r="I156" i="6" s="1"/>
  <c r="D157" i="6"/>
  <c r="I157" i="6" s="1"/>
  <c r="D158" i="6"/>
  <c r="I158" i="6" s="1"/>
  <c r="D159" i="6"/>
  <c r="I159" i="6" s="1"/>
  <c r="D160" i="6"/>
  <c r="I160" i="6" s="1"/>
  <c r="D161" i="6"/>
  <c r="I161" i="6" s="1"/>
  <c r="D162" i="6"/>
  <c r="I162" i="6" s="1"/>
  <c r="D163" i="6"/>
  <c r="I163" i="6" s="1"/>
  <c r="D164" i="6"/>
  <c r="I164" i="6" s="1"/>
  <c r="D165" i="6"/>
  <c r="I165" i="6" s="1"/>
  <c r="D166" i="6"/>
  <c r="I166" i="6" s="1"/>
  <c r="D167" i="6"/>
  <c r="I167" i="6" s="1"/>
  <c r="D168" i="6"/>
  <c r="I168" i="6" s="1"/>
  <c r="D169" i="6"/>
  <c r="I169" i="6" s="1"/>
  <c r="D170" i="6"/>
  <c r="I170" i="6" s="1"/>
  <c r="D171" i="6"/>
  <c r="I171" i="6" s="1"/>
  <c r="D172" i="6"/>
  <c r="I172" i="6" s="1"/>
  <c r="D173" i="6"/>
  <c r="I173" i="6" s="1"/>
  <c r="D174" i="6"/>
  <c r="I174" i="6" s="1"/>
  <c r="D175" i="6"/>
  <c r="I175" i="6" s="1"/>
  <c r="D176" i="6"/>
  <c r="I176" i="6" s="1"/>
  <c r="D177" i="6"/>
  <c r="I177" i="6" s="1"/>
  <c r="D178" i="6"/>
  <c r="I178" i="6" s="1"/>
  <c r="D179" i="6"/>
  <c r="I179" i="6" s="1"/>
  <c r="D180" i="6"/>
  <c r="I180" i="6" s="1"/>
  <c r="D181" i="6"/>
  <c r="I181" i="6" s="1"/>
  <c r="D182" i="6"/>
  <c r="I182" i="6" s="1"/>
  <c r="D183" i="6"/>
  <c r="I183" i="6" s="1"/>
  <c r="D184" i="6"/>
  <c r="I184" i="6" s="1"/>
  <c r="D185" i="6"/>
  <c r="I185" i="6" s="1"/>
  <c r="D186" i="6"/>
  <c r="I186" i="6" s="1"/>
  <c r="D187" i="6"/>
  <c r="I187" i="6" s="1"/>
  <c r="D188" i="6"/>
  <c r="I188" i="6" s="1"/>
  <c r="D189" i="6"/>
  <c r="I189" i="6" s="1"/>
  <c r="D190" i="6"/>
  <c r="I190" i="6" s="1"/>
  <c r="D191" i="6"/>
  <c r="I191" i="6" s="1"/>
  <c r="D192" i="6"/>
  <c r="I192" i="6" s="1"/>
  <c r="D193" i="6"/>
  <c r="I193" i="6" s="1"/>
  <c r="D194" i="6"/>
  <c r="I194" i="6" s="1"/>
  <c r="D195" i="6"/>
  <c r="I195" i="6" s="1"/>
  <c r="D196" i="6"/>
  <c r="I196" i="6" s="1"/>
  <c r="D197" i="6"/>
  <c r="I197" i="6" s="1"/>
  <c r="D198" i="6"/>
  <c r="I198" i="6" s="1"/>
  <c r="D199" i="6"/>
  <c r="I199" i="6" s="1"/>
  <c r="D200" i="6"/>
  <c r="I200" i="6" s="1"/>
  <c r="D201" i="6"/>
  <c r="I201" i="6" s="1"/>
  <c r="D202" i="6"/>
  <c r="I202" i="6" s="1"/>
  <c r="D203" i="6"/>
  <c r="I203" i="6" s="1"/>
  <c r="D204" i="6"/>
  <c r="I204" i="6" s="1"/>
  <c r="D205" i="6"/>
  <c r="I205" i="6" s="1"/>
  <c r="D206" i="6"/>
  <c r="I206" i="6" s="1"/>
  <c r="D207" i="6"/>
  <c r="I207" i="6" s="1"/>
  <c r="D208" i="6"/>
  <c r="I208" i="6" s="1"/>
  <c r="D209" i="6"/>
  <c r="I209" i="6" s="1"/>
  <c r="D210" i="6"/>
  <c r="I210" i="6" s="1"/>
  <c r="D211" i="6"/>
  <c r="I211" i="6" s="1"/>
  <c r="D212" i="6"/>
  <c r="I212" i="6" s="1"/>
  <c r="D213" i="6"/>
  <c r="I213" i="6" s="1"/>
  <c r="D214" i="6"/>
  <c r="I214" i="6" s="1"/>
  <c r="D215" i="6"/>
  <c r="I215" i="6" s="1"/>
  <c r="D216" i="6"/>
  <c r="I216" i="6" s="1"/>
  <c r="D217" i="6"/>
  <c r="I217" i="6" s="1"/>
  <c r="D218" i="6"/>
  <c r="I218" i="6" s="1"/>
  <c r="D219" i="6"/>
  <c r="I219" i="6" s="1"/>
  <c r="D220" i="6"/>
  <c r="I220" i="6" s="1"/>
  <c r="D221" i="6"/>
  <c r="I221" i="6" s="1"/>
  <c r="D222" i="6"/>
  <c r="I222" i="6" s="1"/>
  <c r="D223" i="6"/>
  <c r="I223" i="6" s="1"/>
  <c r="D224" i="6"/>
  <c r="I224" i="6" s="1"/>
  <c r="D225" i="6"/>
  <c r="I225" i="6" s="1"/>
  <c r="D226" i="6"/>
  <c r="I226" i="6" s="1"/>
  <c r="D227" i="6"/>
  <c r="I227" i="6" s="1"/>
  <c r="D228" i="6"/>
  <c r="I228" i="6" s="1"/>
  <c r="D229" i="6"/>
  <c r="I229" i="6" s="1"/>
  <c r="D230" i="6"/>
  <c r="I230" i="6" s="1"/>
  <c r="D231" i="6"/>
  <c r="I231" i="6" s="1"/>
  <c r="D232" i="6"/>
  <c r="I232" i="6" s="1"/>
  <c r="D233" i="6"/>
  <c r="I233" i="6" s="1"/>
  <c r="D234" i="6"/>
  <c r="I234" i="6" s="1"/>
  <c r="D235" i="6"/>
  <c r="I235" i="6" s="1"/>
  <c r="D236" i="6"/>
  <c r="I236" i="6" s="1"/>
  <c r="D237" i="6"/>
  <c r="I237" i="6" s="1"/>
  <c r="D238" i="6"/>
  <c r="I238" i="6" s="1"/>
  <c r="D239" i="6"/>
  <c r="I239" i="6" s="1"/>
  <c r="D240" i="6"/>
  <c r="I240" i="6" s="1"/>
  <c r="D241" i="6"/>
  <c r="I241" i="6" s="1"/>
  <c r="D242" i="6"/>
  <c r="I242" i="6" s="1"/>
  <c r="D243" i="6"/>
  <c r="I243" i="6" s="1"/>
  <c r="D244" i="6"/>
  <c r="I244" i="6" s="1"/>
  <c r="D245" i="6"/>
  <c r="I245" i="6" s="1"/>
  <c r="D246" i="6"/>
  <c r="I246" i="6" s="1"/>
  <c r="D247" i="6"/>
  <c r="I247" i="6" s="1"/>
  <c r="D248" i="6"/>
  <c r="I248" i="6" s="1"/>
  <c r="D249" i="6"/>
  <c r="I249" i="6" s="1"/>
  <c r="D250" i="6"/>
  <c r="I250" i="6" s="1"/>
  <c r="D251" i="6"/>
  <c r="I251" i="6" s="1"/>
  <c r="D252" i="6"/>
  <c r="I252" i="6" s="1"/>
  <c r="D253" i="6"/>
  <c r="I253" i="6" s="1"/>
  <c r="D254" i="6"/>
  <c r="I254" i="6" s="1"/>
  <c r="D255" i="6"/>
  <c r="I255" i="6" s="1"/>
  <c r="D256" i="6"/>
  <c r="I256" i="6" s="1"/>
  <c r="D257" i="6"/>
  <c r="I257" i="6" s="1"/>
  <c r="D258" i="6"/>
  <c r="I258" i="6" s="1"/>
  <c r="D259" i="6"/>
  <c r="I259" i="6" s="1"/>
  <c r="D260" i="6"/>
  <c r="I260" i="6" s="1"/>
  <c r="D261" i="6"/>
  <c r="I261" i="6" s="1"/>
  <c r="D262" i="6"/>
  <c r="I262" i="6" s="1"/>
  <c r="D263" i="6"/>
  <c r="I263" i="6" s="1"/>
  <c r="D264" i="6"/>
  <c r="I264" i="6" s="1"/>
  <c r="D265" i="6"/>
  <c r="I265" i="6" s="1"/>
  <c r="D266" i="6"/>
  <c r="I266" i="6" s="1"/>
  <c r="D267" i="6"/>
  <c r="I267" i="6" s="1"/>
  <c r="D268" i="6"/>
  <c r="I268" i="6" s="1"/>
  <c r="D269" i="6"/>
  <c r="I269" i="6" s="1"/>
  <c r="D270" i="6"/>
  <c r="I270" i="6" s="1"/>
  <c r="D271" i="6"/>
  <c r="I271" i="6" s="1"/>
  <c r="D272" i="6"/>
  <c r="I272" i="6" s="1"/>
  <c r="D273" i="6"/>
  <c r="I273" i="6" s="1"/>
  <c r="D274" i="6"/>
  <c r="I274" i="6" s="1"/>
  <c r="D275" i="6"/>
  <c r="I275" i="6" s="1"/>
  <c r="D276" i="6"/>
  <c r="I276" i="6" s="1"/>
  <c r="D277" i="6"/>
  <c r="I277" i="6" s="1"/>
  <c r="D278" i="6"/>
  <c r="I278" i="6" s="1"/>
  <c r="D279" i="6"/>
  <c r="I279" i="6" s="1"/>
  <c r="D280" i="6"/>
  <c r="I280" i="6" s="1"/>
  <c r="D281" i="6"/>
  <c r="I281" i="6" s="1"/>
  <c r="D282" i="6"/>
  <c r="I282" i="6" s="1"/>
  <c r="D283" i="6"/>
  <c r="I283" i="6" s="1"/>
  <c r="D284" i="6"/>
  <c r="I284" i="6" s="1"/>
  <c r="D285" i="6"/>
  <c r="I285" i="6" s="1"/>
  <c r="D286" i="6"/>
  <c r="I286" i="6" s="1"/>
  <c r="D287" i="6"/>
  <c r="I287" i="6" s="1"/>
  <c r="D288" i="6"/>
  <c r="I288" i="6" s="1"/>
  <c r="D289" i="6"/>
  <c r="I289" i="6" s="1"/>
  <c r="D290" i="6"/>
  <c r="I290" i="6" s="1"/>
  <c r="D291" i="6"/>
  <c r="I291" i="6" s="1"/>
  <c r="D292" i="6"/>
  <c r="I292" i="6" s="1"/>
  <c r="D293" i="6"/>
  <c r="I293" i="6" s="1"/>
  <c r="D294" i="6"/>
  <c r="I294" i="6" s="1"/>
  <c r="D295" i="6"/>
  <c r="I295" i="6" s="1"/>
  <c r="D296" i="6"/>
  <c r="I296" i="6" s="1"/>
  <c r="D297" i="6"/>
  <c r="I297" i="6" s="1"/>
  <c r="D298" i="6"/>
  <c r="I298" i="6" s="1"/>
  <c r="D299" i="6"/>
  <c r="I299" i="6" s="1"/>
  <c r="D300" i="6"/>
  <c r="I300" i="6" s="1"/>
  <c r="D301" i="6"/>
  <c r="I301" i="6" s="1"/>
  <c r="D302" i="6"/>
  <c r="I302" i="6" s="1"/>
  <c r="D303" i="6"/>
  <c r="I303" i="6" s="1"/>
  <c r="D304" i="6"/>
  <c r="I304" i="6" s="1"/>
  <c r="D305" i="6"/>
  <c r="I305" i="6" s="1"/>
  <c r="D306" i="6"/>
  <c r="I306" i="6" s="1"/>
  <c r="D307" i="6"/>
  <c r="I307" i="6" s="1"/>
  <c r="D308" i="6"/>
  <c r="I308" i="6" s="1"/>
  <c r="D309" i="6"/>
  <c r="I309" i="6" s="1"/>
  <c r="D310" i="6"/>
  <c r="I310" i="6" s="1"/>
  <c r="D311" i="6"/>
  <c r="I311" i="6" s="1"/>
  <c r="D312" i="6"/>
  <c r="I312" i="6" s="1"/>
  <c r="D313" i="6"/>
  <c r="I313" i="6" s="1"/>
  <c r="D314" i="6"/>
  <c r="I314" i="6" s="1"/>
  <c r="D315" i="6"/>
  <c r="I315" i="6" s="1"/>
  <c r="D316" i="6"/>
  <c r="I316" i="6" s="1"/>
  <c r="D317" i="6"/>
  <c r="I317" i="6" s="1"/>
  <c r="D318" i="6"/>
  <c r="I318" i="6" s="1"/>
  <c r="D319" i="6"/>
  <c r="I319" i="6" s="1"/>
  <c r="D320" i="6"/>
  <c r="I320" i="6" s="1"/>
  <c r="D321" i="6"/>
  <c r="I321" i="6" s="1"/>
  <c r="D322" i="6"/>
  <c r="I322" i="6" s="1"/>
  <c r="D323" i="6"/>
  <c r="I323" i="6" s="1"/>
  <c r="D324" i="6"/>
  <c r="I324" i="6" s="1"/>
  <c r="D325" i="6"/>
  <c r="I325" i="6" s="1"/>
  <c r="D326" i="6"/>
  <c r="I326" i="6" s="1"/>
  <c r="D327" i="6"/>
  <c r="I327" i="6" s="1"/>
  <c r="D328" i="6"/>
  <c r="I328" i="6" s="1"/>
  <c r="D329" i="6"/>
  <c r="I329" i="6" s="1"/>
  <c r="D330" i="6"/>
  <c r="I330" i="6" s="1"/>
  <c r="D331" i="6"/>
  <c r="I331" i="6" s="1"/>
  <c r="D332" i="6"/>
  <c r="I332" i="6" s="1"/>
  <c r="D333" i="6"/>
  <c r="I333" i="6" s="1"/>
  <c r="D334" i="6"/>
  <c r="I334" i="6" s="1"/>
  <c r="D335" i="6"/>
  <c r="I335" i="6" s="1"/>
  <c r="D336" i="6"/>
  <c r="I336" i="6" s="1"/>
  <c r="D337" i="6"/>
  <c r="I337" i="6" s="1"/>
  <c r="D338" i="6"/>
  <c r="I338" i="6" s="1"/>
  <c r="D339" i="6"/>
  <c r="I339" i="6" s="1"/>
  <c r="D340" i="6"/>
  <c r="I340" i="6" s="1"/>
  <c r="D341" i="6"/>
  <c r="I341" i="6" s="1"/>
  <c r="D342" i="6"/>
  <c r="I342" i="6" s="1"/>
  <c r="D343" i="6"/>
  <c r="I343" i="6" s="1"/>
  <c r="D344" i="6"/>
  <c r="I344" i="6" s="1"/>
  <c r="D345" i="6"/>
  <c r="I345" i="6" s="1"/>
  <c r="D346" i="6"/>
  <c r="I346" i="6" s="1"/>
  <c r="D347" i="6"/>
  <c r="I347" i="6" s="1"/>
  <c r="D348" i="6"/>
  <c r="I348" i="6" s="1"/>
  <c r="D349" i="6"/>
  <c r="I349" i="6" s="1"/>
  <c r="D350" i="6"/>
  <c r="I350" i="6" s="1"/>
  <c r="D351" i="6"/>
  <c r="I351" i="6" s="1"/>
  <c r="D352" i="6"/>
  <c r="I352" i="6" s="1"/>
  <c r="D353" i="6"/>
  <c r="I353" i="6" s="1"/>
  <c r="D354" i="6"/>
  <c r="I354" i="6" s="1"/>
  <c r="D355" i="6"/>
  <c r="I355" i="6" s="1"/>
  <c r="D356" i="6"/>
  <c r="I356" i="6" s="1"/>
  <c r="D357" i="6"/>
  <c r="I357" i="6" s="1"/>
  <c r="D358" i="6"/>
  <c r="I358" i="6" s="1"/>
  <c r="D359" i="6"/>
  <c r="I359" i="6" s="1"/>
  <c r="D360" i="6"/>
  <c r="I360" i="6" s="1"/>
  <c r="D361" i="6"/>
  <c r="I361" i="6" s="1"/>
  <c r="D362" i="6"/>
  <c r="I362" i="6" s="1"/>
  <c r="D363" i="6"/>
  <c r="I363" i="6" s="1"/>
  <c r="D364" i="6"/>
  <c r="I364" i="6" s="1"/>
  <c r="D365" i="6"/>
  <c r="I365" i="6" s="1"/>
  <c r="D366" i="6"/>
  <c r="I366" i="6" s="1"/>
  <c r="D367" i="6"/>
  <c r="I367" i="6" s="1"/>
  <c r="D368" i="6"/>
  <c r="I368" i="6" s="1"/>
  <c r="D369" i="6"/>
  <c r="I369" i="6" s="1"/>
  <c r="D370" i="6"/>
  <c r="I370" i="6" s="1"/>
  <c r="D371" i="6"/>
  <c r="I371" i="6" s="1"/>
  <c r="D372" i="6"/>
  <c r="I372" i="6" s="1"/>
  <c r="D373" i="6"/>
  <c r="I373" i="6" s="1"/>
  <c r="D374" i="6"/>
  <c r="I374" i="6" s="1"/>
  <c r="D375" i="6"/>
  <c r="I375" i="6" s="1"/>
  <c r="D376" i="6"/>
  <c r="I376" i="6" s="1"/>
  <c r="D377" i="6"/>
  <c r="I377" i="6" s="1"/>
  <c r="D378" i="6"/>
  <c r="I378" i="6" s="1"/>
  <c r="D379" i="6"/>
  <c r="I379" i="6" s="1"/>
  <c r="D380" i="6"/>
  <c r="I380" i="6" s="1"/>
  <c r="D381" i="6"/>
  <c r="I381" i="6" s="1"/>
  <c r="D382" i="6"/>
  <c r="I382" i="6" s="1"/>
  <c r="D383" i="6"/>
  <c r="I383" i="6" s="1"/>
  <c r="D384" i="6"/>
  <c r="I384" i="6" s="1"/>
  <c r="D385" i="6"/>
  <c r="I385" i="6" s="1"/>
  <c r="D386" i="6"/>
  <c r="I386" i="6" s="1"/>
  <c r="D387" i="6"/>
  <c r="I387" i="6" s="1"/>
  <c r="D388" i="6"/>
  <c r="I388" i="6" s="1"/>
  <c r="D389" i="6"/>
  <c r="I389" i="6" s="1"/>
  <c r="D390" i="6"/>
  <c r="I390" i="6" s="1"/>
  <c r="D391" i="6"/>
  <c r="I391" i="6" s="1"/>
  <c r="D392" i="6"/>
  <c r="I392" i="6" s="1"/>
  <c r="D393" i="6"/>
  <c r="I393" i="6" s="1"/>
  <c r="D394" i="6"/>
  <c r="I394" i="6" s="1"/>
  <c r="D395" i="6"/>
  <c r="I395" i="6" s="1"/>
  <c r="D396" i="6"/>
  <c r="I396" i="6" s="1"/>
  <c r="D397" i="6"/>
  <c r="I397" i="6" s="1"/>
  <c r="D398" i="6"/>
  <c r="I398" i="6" s="1"/>
  <c r="D399" i="6"/>
  <c r="I399" i="6" s="1"/>
  <c r="D400" i="6"/>
  <c r="I400" i="6" s="1"/>
  <c r="D401" i="6"/>
  <c r="I401" i="6" s="1"/>
  <c r="D402" i="6"/>
  <c r="I402" i="6" s="1"/>
  <c r="D403" i="6"/>
  <c r="I403" i="6" s="1"/>
  <c r="D404" i="6"/>
  <c r="I404" i="6" s="1"/>
  <c r="D405" i="6"/>
  <c r="I405" i="6" s="1"/>
  <c r="D406" i="6"/>
  <c r="I406" i="6" s="1"/>
  <c r="D407" i="6"/>
  <c r="I407" i="6" s="1"/>
  <c r="D408" i="6"/>
  <c r="I408" i="6" s="1"/>
  <c r="D409" i="6"/>
  <c r="I409" i="6" s="1"/>
  <c r="D410" i="6"/>
  <c r="I410" i="6" s="1"/>
  <c r="D411" i="6"/>
  <c r="I411" i="6" s="1"/>
  <c r="D412" i="6"/>
  <c r="I412" i="6" s="1"/>
  <c r="D413" i="6"/>
  <c r="I413" i="6" s="1"/>
  <c r="D414" i="6"/>
  <c r="I414" i="6" s="1"/>
  <c r="D415" i="6"/>
  <c r="I415" i="6" s="1"/>
  <c r="D416" i="6"/>
  <c r="I416" i="6" s="1"/>
  <c r="D417" i="6"/>
  <c r="I417" i="6" s="1"/>
  <c r="D418" i="6"/>
  <c r="I418" i="6" s="1"/>
  <c r="D419" i="6"/>
  <c r="I419" i="6" s="1"/>
  <c r="D420" i="6"/>
  <c r="I420" i="6" s="1"/>
  <c r="D421" i="6"/>
  <c r="I421" i="6" s="1"/>
  <c r="D422" i="6"/>
  <c r="I422" i="6" s="1"/>
  <c r="D423" i="6"/>
  <c r="I423" i="6" s="1"/>
  <c r="D424" i="6"/>
  <c r="I424" i="6" s="1"/>
  <c r="D425" i="6"/>
  <c r="I425" i="6" s="1"/>
  <c r="D426" i="6"/>
  <c r="I426" i="6" s="1"/>
  <c r="D427" i="6"/>
  <c r="I427" i="6" s="1"/>
  <c r="D428" i="6"/>
  <c r="I428" i="6" s="1"/>
  <c r="D429" i="6"/>
  <c r="I429" i="6" s="1"/>
  <c r="D430" i="6"/>
  <c r="I430" i="6" s="1"/>
  <c r="D431" i="6"/>
  <c r="I431" i="6" s="1"/>
  <c r="D432" i="6"/>
  <c r="I432" i="6" s="1"/>
  <c r="D433" i="6"/>
  <c r="I433" i="6" s="1"/>
  <c r="D434" i="6"/>
  <c r="I434" i="6" s="1"/>
  <c r="D435" i="6"/>
  <c r="I435" i="6" s="1"/>
  <c r="D436" i="6"/>
  <c r="I436" i="6" s="1"/>
  <c r="D437" i="6"/>
  <c r="I437" i="6" s="1"/>
  <c r="D438" i="6"/>
  <c r="I438" i="6" s="1"/>
  <c r="D439" i="6"/>
  <c r="I439" i="6" s="1"/>
  <c r="D440" i="6"/>
  <c r="I440" i="6" s="1"/>
  <c r="D441" i="6"/>
  <c r="I441" i="6" s="1"/>
  <c r="D442" i="6"/>
  <c r="I442" i="6" s="1"/>
  <c r="D443" i="6"/>
  <c r="I443" i="6" s="1"/>
  <c r="D444" i="6"/>
  <c r="I444" i="6" s="1"/>
  <c r="D445" i="6"/>
  <c r="I445" i="6" s="1"/>
  <c r="D446" i="6"/>
  <c r="I446" i="6" s="1"/>
  <c r="D447" i="6"/>
  <c r="I447" i="6" s="1"/>
  <c r="D448" i="6"/>
  <c r="I448" i="6" s="1"/>
  <c r="D449" i="6"/>
  <c r="I449" i="6" s="1"/>
  <c r="D450" i="6"/>
  <c r="I450" i="6" s="1"/>
  <c r="D451" i="6"/>
  <c r="I451" i="6" s="1"/>
  <c r="D452" i="6"/>
  <c r="I452" i="6" s="1"/>
  <c r="D453" i="6"/>
  <c r="I453" i="6" s="1"/>
  <c r="D454" i="6"/>
  <c r="I454" i="6" s="1"/>
  <c r="D455" i="6"/>
  <c r="I455" i="6" s="1"/>
  <c r="D456" i="6"/>
  <c r="I456" i="6" s="1"/>
  <c r="D457" i="6"/>
  <c r="I457" i="6" s="1"/>
  <c r="D458" i="6"/>
  <c r="I458" i="6" s="1"/>
  <c r="D459" i="6"/>
  <c r="I459" i="6" s="1"/>
  <c r="D460" i="6"/>
  <c r="I460" i="6" s="1"/>
  <c r="D461" i="6"/>
  <c r="I461" i="6" s="1"/>
  <c r="D462" i="6"/>
  <c r="I462" i="6" s="1"/>
  <c r="D463" i="6"/>
  <c r="I463" i="6" s="1"/>
  <c r="D464" i="6"/>
  <c r="I464" i="6" s="1"/>
  <c r="D465" i="6"/>
  <c r="I465" i="6" s="1"/>
  <c r="D466" i="6"/>
  <c r="I466" i="6" s="1"/>
  <c r="D467" i="6"/>
  <c r="I467" i="6" s="1"/>
  <c r="D468" i="6"/>
  <c r="I468" i="6" s="1"/>
  <c r="D469" i="6"/>
  <c r="I469" i="6" s="1"/>
  <c r="D470" i="6"/>
  <c r="I470" i="6" s="1"/>
  <c r="D471" i="6"/>
  <c r="I471" i="6" s="1"/>
  <c r="D472" i="6"/>
  <c r="I472" i="6" s="1"/>
  <c r="D473" i="6"/>
  <c r="I473" i="6" s="1"/>
  <c r="D474" i="6"/>
  <c r="I474" i="6" s="1"/>
  <c r="D475" i="6"/>
  <c r="I475" i="6" s="1"/>
  <c r="D476" i="6"/>
  <c r="I476" i="6" s="1"/>
  <c r="D477" i="6"/>
  <c r="I477" i="6" s="1"/>
  <c r="D478" i="6"/>
  <c r="I478" i="6" s="1"/>
  <c r="D479" i="6"/>
  <c r="I479" i="6" s="1"/>
  <c r="D480" i="6"/>
  <c r="I480" i="6" s="1"/>
  <c r="D481" i="6"/>
  <c r="I481" i="6" s="1"/>
  <c r="D482" i="6"/>
  <c r="I482" i="6" s="1"/>
  <c r="D483" i="6"/>
  <c r="I483" i="6" s="1"/>
  <c r="D484" i="6"/>
  <c r="I484" i="6" s="1"/>
  <c r="D485" i="6"/>
  <c r="I485" i="6" s="1"/>
  <c r="D486" i="6"/>
  <c r="I486" i="6" s="1"/>
  <c r="D487" i="6"/>
  <c r="I487" i="6" s="1"/>
  <c r="D488" i="6"/>
  <c r="I488" i="6" s="1"/>
  <c r="D489" i="6"/>
  <c r="I489" i="6" s="1"/>
  <c r="D490" i="6"/>
  <c r="I490" i="6" s="1"/>
  <c r="D491" i="6"/>
  <c r="I491" i="6" s="1"/>
  <c r="D492" i="6"/>
  <c r="I492" i="6" s="1"/>
  <c r="D493" i="6"/>
  <c r="I493" i="6" s="1"/>
  <c r="D494" i="6"/>
  <c r="I494" i="6" s="1"/>
  <c r="D495" i="6"/>
  <c r="I495" i="6" s="1"/>
  <c r="D496" i="6"/>
  <c r="I496" i="6" s="1"/>
  <c r="D497" i="6"/>
  <c r="I497" i="6" s="1"/>
  <c r="D498" i="6"/>
  <c r="I498" i="6" s="1"/>
  <c r="D499" i="6"/>
  <c r="I499" i="6" s="1"/>
  <c r="D500" i="6"/>
  <c r="I500" i="6" s="1"/>
  <c r="D501" i="6"/>
  <c r="I501" i="6" s="1"/>
  <c r="D502" i="6"/>
  <c r="I502" i="6" s="1"/>
  <c r="D503" i="6"/>
  <c r="I503" i="6" s="1"/>
  <c r="D504" i="6"/>
  <c r="I504" i="6" s="1"/>
  <c r="D505" i="6"/>
  <c r="I505" i="6" s="1"/>
  <c r="D506" i="6"/>
  <c r="I506" i="6" s="1"/>
  <c r="D507" i="6"/>
  <c r="I507" i="6" s="1"/>
  <c r="D508" i="6"/>
  <c r="I508" i="6" s="1"/>
  <c r="D509" i="6"/>
  <c r="I509" i="6" s="1"/>
  <c r="D510" i="6"/>
  <c r="I510" i="6" s="1"/>
  <c r="D511" i="6"/>
  <c r="I511" i="6" s="1"/>
  <c r="D512" i="6"/>
  <c r="I512" i="6" s="1"/>
  <c r="D513" i="6"/>
  <c r="I513" i="6" s="1"/>
  <c r="D514" i="6"/>
  <c r="I514" i="6" s="1"/>
  <c r="D515" i="6"/>
  <c r="I515" i="6" s="1"/>
  <c r="D516" i="6"/>
  <c r="I516" i="6" s="1"/>
  <c r="D517" i="6"/>
  <c r="I517" i="6" s="1"/>
  <c r="D518" i="6"/>
  <c r="I518" i="6" s="1"/>
  <c r="D519" i="6"/>
  <c r="I519" i="6" s="1"/>
  <c r="D520" i="6"/>
  <c r="I520" i="6" s="1"/>
  <c r="D521" i="6"/>
  <c r="I521" i="6" s="1"/>
  <c r="D522" i="6"/>
  <c r="I522" i="6" s="1"/>
  <c r="D523" i="6"/>
  <c r="I523" i="6" s="1"/>
  <c r="D524" i="6"/>
  <c r="I524" i="6" s="1"/>
  <c r="D525" i="6"/>
  <c r="I525" i="6" s="1"/>
  <c r="D526" i="6"/>
  <c r="I526" i="6" s="1"/>
  <c r="D527" i="6"/>
  <c r="I527" i="6" s="1"/>
  <c r="D528" i="6"/>
  <c r="I528" i="6" s="1"/>
  <c r="D529" i="6"/>
  <c r="I529" i="6" s="1"/>
  <c r="D530" i="6"/>
  <c r="I530" i="6" s="1"/>
  <c r="D531" i="6"/>
  <c r="I531" i="6" s="1"/>
  <c r="D532" i="6"/>
  <c r="I532" i="6" s="1"/>
  <c r="D533" i="6"/>
  <c r="I533" i="6" s="1"/>
  <c r="D534" i="6"/>
  <c r="I534" i="6" s="1"/>
  <c r="D535" i="6"/>
  <c r="I535" i="6" s="1"/>
  <c r="D536" i="6"/>
  <c r="I536" i="6" s="1"/>
  <c r="D537" i="6"/>
  <c r="I537" i="6" s="1"/>
  <c r="D538" i="6"/>
  <c r="I538" i="6" s="1"/>
  <c r="D539" i="6"/>
  <c r="I539" i="6" s="1"/>
  <c r="D540" i="6"/>
  <c r="I540" i="6" s="1"/>
  <c r="D541" i="6"/>
  <c r="I541" i="6" s="1"/>
  <c r="D542" i="6"/>
  <c r="I542" i="6" s="1"/>
  <c r="D543" i="6"/>
  <c r="I543" i="6" s="1"/>
  <c r="D544" i="6"/>
  <c r="I544" i="6" s="1"/>
  <c r="D545" i="6"/>
  <c r="I545" i="6" s="1"/>
  <c r="D546" i="6"/>
  <c r="I546" i="6" s="1"/>
  <c r="D547" i="6"/>
  <c r="I547" i="6" s="1"/>
  <c r="D548" i="6"/>
  <c r="I548" i="6" s="1"/>
  <c r="D549" i="6"/>
  <c r="I549" i="6" s="1"/>
  <c r="D550" i="6"/>
  <c r="I550" i="6" s="1"/>
  <c r="D551" i="6"/>
  <c r="I551" i="6" s="1"/>
  <c r="D552" i="6"/>
  <c r="I552" i="6" s="1"/>
  <c r="D553" i="6"/>
  <c r="I553" i="6" s="1"/>
  <c r="D554" i="6"/>
  <c r="I554" i="6" s="1"/>
  <c r="D555" i="6"/>
  <c r="I555" i="6" s="1"/>
  <c r="D556" i="6"/>
  <c r="I556" i="6" s="1"/>
  <c r="D557" i="6"/>
  <c r="I557" i="6" s="1"/>
  <c r="D558" i="6"/>
  <c r="I558" i="6" s="1"/>
  <c r="D559" i="6"/>
  <c r="I559" i="6" s="1"/>
  <c r="D560" i="6"/>
  <c r="I560" i="6" s="1"/>
  <c r="D561" i="6"/>
  <c r="I561" i="6" s="1"/>
  <c r="D562" i="6"/>
  <c r="I562" i="6" s="1"/>
  <c r="D563" i="6"/>
  <c r="I563" i="6" s="1"/>
  <c r="D564" i="6"/>
  <c r="I564" i="6" s="1"/>
  <c r="D565" i="6"/>
  <c r="I565" i="6" s="1"/>
  <c r="D566" i="6"/>
  <c r="I566" i="6" s="1"/>
  <c r="D567" i="6"/>
  <c r="I567" i="6" s="1"/>
  <c r="D568" i="6"/>
  <c r="I568" i="6" s="1"/>
  <c r="D569" i="6"/>
  <c r="I569" i="6" s="1"/>
  <c r="D570" i="6"/>
  <c r="I570" i="6" s="1"/>
  <c r="D571" i="6"/>
  <c r="I571" i="6" s="1"/>
  <c r="D572" i="6"/>
  <c r="I572" i="6" s="1"/>
  <c r="D573" i="6"/>
  <c r="I573" i="6" s="1"/>
  <c r="D574" i="6"/>
  <c r="I574" i="6" s="1"/>
  <c r="D575" i="6"/>
  <c r="I575" i="6" s="1"/>
  <c r="D576" i="6"/>
  <c r="I576" i="6" s="1"/>
  <c r="D577" i="6"/>
  <c r="I577" i="6" s="1"/>
  <c r="D578" i="6"/>
  <c r="I578" i="6" s="1"/>
  <c r="D579" i="6"/>
  <c r="I579" i="6" s="1"/>
  <c r="D580" i="6"/>
  <c r="I580" i="6" s="1"/>
  <c r="D581" i="6"/>
  <c r="I581" i="6" s="1"/>
  <c r="D582" i="6"/>
  <c r="I582" i="6" s="1"/>
  <c r="D583" i="6"/>
  <c r="I583" i="6" s="1"/>
  <c r="D584" i="6"/>
  <c r="I584" i="6" s="1"/>
  <c r="D585" i="6"/>
  <c r="I585" i="6" s="1"/>
  <c r="D586" i="6"/>
  <c r="I586" i="6" s="1"/>
  <c r="D587" i="6"/>
  <c r="I587" i="6" s="1"/>
  <c r="D588" i="6"/>
  <c r="I588" i="6" s="1"/>
  <c r="D589" i="6"/>
  <c r="I589" i="6" s="1"/>
  <c r="D590" i="6"/>
  <c r="I590" i="6" s="1"/>
  <c r="D591" i="6"/>
  <c r="I591" i="6" s="1"/>
  <c r="D592" i="6"/>
  <c r="I592" i="6" s="1"/>
  <c r="D593" i="6"/>
  <c r="I593" i="6" s="1"/>
  <c r="D594" i="6"/>
  <c r="I594" i="6" s="1"/>
  <c r="D595" i="6"/>
  <c r="I595" i="6" s="1"/>
  <c r="D596" i="6"/>
  <c r="I596" i="6" s="1"/>
  <c r="D597" i="6"/>
  <c r="I597" i="6" s="1"/>
  <c r="D598" i="6"/>
  <c r="I598" i="6" s="1"/>
  <c r="D599" i="6"/>
  <c r="I599" i="6" s="1"/>
  <c r="D600" i="6"/>
  <c r="I600" i="6" s="1"/>
  <c r="D601" i="6"/>
  <c r="I601" i="6" s="1"/>
  <c r="D602" i="6"/>
  <c r="I602" i="6" s="1"/>
  <c r="D603" i="6"/>
  <c r="I603" i="6" s="1"/>
  <c r="D604" i="6"/>
  <c r="I604" i="6" s="1"/>
  <c r="D605" i="6"/>
  <c r="I605" i="6" s="1"/>
  <c r="D606" i="6"/>
  <c r="I606" i="6" s="1"/>
  <c r="D607" i="6"/>
  <c r="I607" i="6" s="1"/>
  <c r="D608" i="6"/>
  <c r="I608" i="6" s="1"/>
  <c r="D609" i="6"/>
  <c r="I609" i="6" s="1"/>
  <c r="D610" i="6"/>
  <c r="I610" i="6" s="1"/>
  <c r="D611" i="6"/>
  <c r="I611" i="6" s="1"/>
  <c r="D2" i="6"/>
  <c r="I2" i="6" s="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E3" i="6"/>
  <c r="J3" i="6" s="1"/>
  <c r="E4" i="6"/>
  <c r="J4" i="6" s="1"/>
  <c r="E5" i="6"/>
  <c r="J5" i="6" s="1"/>
  <c r="E6" i="6"/>
  <c r="J6" i="6" s="1"/>
  <c r="E7" i="6"/>
  <c r="J7" i="6" s="1"/>
  <c r="E8" i="6"/>
  <c r="J8" i="6" s="1"/>
  <c r="E9" i="6"/>
  <c r="J9" i="6" s="1"/>
  <c r="E10" i="6"/>
  <c r="J10" i="6" s="1"/>
  <c r="E11" i="6"/>
  <c r="J11" i="6" s="1"/>
  <c r="E12" i="6"/>
  <c r="J12" i="6" s="1"/>
  <c r="E13" i="6"/>
  <c r="J13" i="6" s="1"/>
  <c r="E14" i="6"/>
  <c r="J14" i="6" s="1"/>
  <c r="E15" i="6"/>
  <c r="J15" i="6" s="1"/>
  <c r="E16" i="6"/>
  <c r="J16" i="6" s="1"/>
  <c r="E17" i="6"/>
  <c r="J17" i="6" s="1"/>
  <c r="E18" i="6"/>
  <c r="J18" i="6" s="1"/>
  <c r="E19" i="6"/>
  <c r="J19" i="6" s="1"/>
  <c r="E20" i="6"/>
  <c r="J20" i="6" s="1"/>
  <c r="E21" i="6"/>
  <c r="J21" i="6" s="1"/>
  <c r="E22" i="6"/>
  <c r="J22" i="6" s="1"/>
  <c r="E23" i="6"/>
  <c r="J23" i="6" s="1"/>
  <c r="E24" i="6"/>
  <c r="J24" i="6" s="1"/>
  <c r="E25" i="6"/>
  <c r="J25" i="6" s="1"/>
  <c r="E26" i="6"/>
  <c r="J26" i="6" s="1"/>
  <c r="E27" i="6"/>
  <c r="J27" i="6" s="1"/>
  <c r="E28" i="6"/>
  <c r="J28" i="6" s="1"/>
  <c r="E29" i="6"/>
  <c r="J29" i="6" s="1"/>
  <c r="E30" i="6"/>
  <c r="J30" i="6" s="1"/>
  <c r="E31" i="6"/>
  <c r="J31" i="6" s="1"/>
  <c r="E32" i="6"/>
  <c r="J32" i="6" s="1"/>
  <c r="E33" i="6"/>
  <c r="J33" i="6" s="1"/>
  <c r="E34" i="6"/>
  <c r="J34" i="6" s="1"/>
  <c r="E35" i="6"/>
  <c r="J35" i="6" s="1"/>
  <c r="E36" i="6"/>
  <c r="J36" i="6" s="1"/>
  <c r="E37" i="6"/>
  <c r="J37" i="6" s="1"/>
  <c r="E38" i="6"/>
  <c r="J38" i="6" s="1"/>
  <c r="E39" i="6"/>
  <c r="J39" i="6" s="1"/>
  <c r="E40" i="6"/>
  <c r="J40" i="6" s="1"/>
  <c r="E41" i="6"/>
  <c r="J41" i="6" s="1"/>
  <c r="E42" i="6"/>
  <c r="J42" i="6" s="1"/>
  <c r="E43" i="6"/>
  <c r="J43" i="6" s="1"/>
  <c r="E44" i="6"/>
  <c r="J44" i="6" s="1"/>
  <c r="E45" i="6"/>
  <c r="J45" i="6" s="1"/>
  <c r="E46" i="6"/>
  <c r="J46" i="6" s="1"/>
  <c r="E47" i="6"/>
  <c r="J47" i="6" s="1"/>
  <c r="E48" i="6"/>
  <c r="J48" i="6" s="1"/>
  <c r="E49" i="6"/>
  <c r="J49" i="6" s="1"/>
  <c r="E50" i="6"/>
  <c r="J50" i="6" s="1"/>
  <c r="E51" i="6"/>
  <c r="J51" i="6" s="1"/>
  <c r="E52" i="6"/>
  <c r="J52" i="6" s="1"/>
  <c r="E53" i="6"/>
  <c r="J53" i="6" s="1"/>
  <c r="E54" i="6"/>
  <c r="J54" i="6" s="1"/>
  <c r="E55" i="6"/>
  <c r="J55" i="6" s="1"/>
  <c r="E56" i="6"/>
  <c r="J56" i="6" s="1"/>
  <c r="E57" i="6"/>
  <c r="J57" i="6" s="1"/>
  <c r="E58" i="6"/>
  <c r="J58" i="6" s="1"/>
  <c r="E59" i="6"/>
  <c r="J59" i="6" s="1"/>
  <c r="E60" i="6"/>
  <c r="J60" i="6" s="1"/>
  <c r="E61" i="6"/>
  <c r="J61" i="6" s="1"/>
  <c r="E62" i="6"/>
  <c r="J62" i="6" s="1"/>
  <c r="E63" i="6"/>
  <c r="J63" i="6" s="1"/>
  <c r="E64" i="6"/>
  <c r="J64" i="6" s="1"/>
  <c r="E65" i="6"/>
  <c r="J65" i="6" s="1"/>
  <c r="E66" i="6"/>
  <c r="J66" i="6" s="1"/>
  <c r="E67" i="6"/>
  <c r="J67" i="6" s="1"/>
  <c r="E68" i="6"/>
  <c r="J68" i="6" s="1"/>
  <c r="E69" i="6"/>
  <c r="J69" i="6" s="1"/>
  <c r="E70" i="6"/>
  <c r="J70" i="6" s="1"/>
  <c r="E71" i="6"/>
  <c r="J71" i="6" s="1"/>
  <c r="E72" i="6"/>
  <c r="J72" i="6" s="1"/>
  <c r="E73" i="6"/>
  <c r="J73" i="6" s="1"/>
  <c r="E74" i="6"/>
  <c r="J74" i="6" s="1"/>
  <c r="E75" i="6"/>
  <c r="J75" i="6" s="1"/>
  <c r="E76" i="6"/>
  <c r="J76" i="6" s="1"/>
  <c r="E77" i="6"/>
  <c r="J77" i="6" s="1"/>
  <c r="E78" i="6"/>
  <c r="J78" i="6" s="1"/>
  <c r="E79" i="6"/>
  <c r="J79" i="6" s="1"/>
  <c r="E80" i="6"/>
  <c r="J80" i="6" s="1"/>
  <c r="E81" i="6"/>
  <c r="J81" i="6" s="1"/>
  <c r="E82" i="6"/>
  <c r="J82" i="6" s="1"/>
  <c r="E83" i="6"/>
  <c r="J83" i="6" s="1"/>
  <c r="E84" i="6"/>
  <c r="J84" i="6" s="1"/>
  <c r="E85" i="6"/>
  <c r="J85" i="6" s="1"/>
  <c r="E86" i="6"/>
  <c r="J86" i="6" s="1"/>
  <c r="E87" i="6"/>
  <c r="J87" i="6" s="1"/>
  <c r="E88" i="6"/>
  <c r="J88" i="6" s="1"/>
  <c r="E89" i="6"/>
  <c r="J89" i="6" s="1"/>
  <c r="E90" i="6"/>
  <c r="J90" i="6" s="1"/>
  <c r="E91" i="6"/>
  <c r="J91" i="6" s="1"/>
  <c r="E92" i="6"/>
  <c r="J92" i="6" s="1"/>
  <c r="E93" i="6"/>
  <c r="J93" i="6" s="1"/>
  <c r="E94" i="6"/>
  <c r="J94" i="6" s="1"/>
  <c r="E95" i="6"/>
  <c r="J95" i="6" s="1"/>
  <c r="E96" i="6"/>
  <c r="J96" i="6" s="1"/>
  <c r="E97" i="6"/>
  <c r="J97" i="6" s="1"/>
  <c r="E98" i="6"/>
  <c r="J98" i="6" s="1"/>
  <c r="E99" i="6"/>
  <c r="J99" i="6" s="1"/>
  <c r="E100" i="6"/>
  <c r="J100" i="6" s="1"/>
  <c r="E101" i="6"/>
  <c r="J101" i="6" s="1"/>
  <c r="E102" i="6"/>
  <c r="J102" i="6" s="1"/>
  <c r="E103" i="6"/>
  <c r="J103" i="6" s="1"/>
  <c r="E104" i="6"/>
  <c r="J104" i="6" s="1"/>
  <c r="E105" i="6"/>
  <c r="J105" i="6" s="1"/>
  <c r="E106" i="6"/>
  <c r="J106" i="6" s="1"/>
  <c r="E107" i="6"/>
  <c r="J107" i="6" s="1"/>
  <c r="E108" i="6"/>
  <c r="J108" i="6" s="1"/>
  <c r="E109" i="6"/>
  <c r="J109" i="6" s="1"/>
  <c r="E110" i="6"/>
  <c r="J110" i="6" s="1"/>
  <c r="E111" i="6"/>
  <c r="J111" i="6" s="1"/>
  <c r="E112" i="6"/>
  <c r="J112" i="6" s="1"/>
  <c r="E113" i="6"/>
  <c r="J113" i="6" s="1"/>
  <c r="E114" i="6"/>
  <c r="J114" i="6" s="1"/>
  <c r="E115" i="6"/>
  <c r="J115" i="6" s="1"/>
  <c r="E116" i="6"/>
  <c r="J116" i="6" s="1"/>
  <c r="E117" i="6"/>
  <c r="J117" i="6" s="1"/>
  <c r="E118" i="6"/>
  <c r="J118" i="6" s="1"/>
  <c r="E119" i="6"/>
  <c r="J119" i="6" s="1"/>
  <c r="E120" i="6"/>
  <c r="J120" i="6" s="1"/>
  <c r="E121" i="6"/>
  <c r="J121" i="6" s="1"/>
  <c r="E122" i="6"/>
  <c r="J122" i="6" s="1"/>
  <c r="E123" i="6"/>
  <c r="J123" i="6" s="1"/>
  <c r="E124" i="6"/>
  <c r="J124" i="6" s="1"/>
  <c r="E125" i="6"/>
  <c r="J125" i="6" s="1"/>
  <c r="E126" i="6"/>
  <c r="J126" i="6" s="1"/>
  <c r="E127" i="6"/>
  <c r="J127" i="6" s="1"/>
  <c r="E128" i="6"/>
  <c r="J128" i="6" s="1"/>
  <c r="E129" i="6"/>
  <c r="J129" i="6" s="1"/>
  <c r="E130" i="6"/>
  <c r="J130" i="6" s="1"/>
  <c r="E131" i="6"/>
  <c r="J131" i="6" s="1"/>
  <c r="E132" i="6"/>
  <c r="J132" i="6" s="1"/>
  <c r="E133" i="6"/>
  <c r="J133" i="6" s="1"/>
  <c r="E134" i="6"/>
  <c r="J134" i="6" s="1"/>
  <c r="E135" i="6"/>
  <c r="J135" i="6" s="1"/>
  <c r="E136" i="6"/>
  <c r="J136" i="6" s="1"/>
  <c r="E137" i="6"/>
  <c r="J137" i="6" s="1"/>
  <c r="E138" i="6"/>
  <c r="J138" i="6" s="1"/>
  <c r="E139" i="6"/>
  <c r="J139" i="6" s="1"/>
  <c r="E140" i="6"/>
  <c r="J140" i="6" s="1"/>
  <c r="E141" i="6"/>
  <c r="J141" i="6" s="1"/>
  <c r="E142" i="6"/>
  <c r="J142" i="6" s="1"/>
  <c r="E143" i="6"/>
  <c r="J143" i="6" s="1"/>
  <c r="E144" i="6"/>
  <c r="J144" i="6" s="1"/>
  <c r="E145" i="6"/>
  <c r="J145" i="6" s="1"/>
  <c r="E146" i="6"/>
  <c r="J146" i="6" s="1"/>
  <c r="E147" i="6"/>
  <c r="J147" i="6" s="1"/>
  <c r="E148" i="6"/>
  <c r="J148" i="6" s="1"/>
  <c r="E149" i="6"/>
  <c r="J149" i="6" s="1"/>
  <c r="E150" i="6"/>
  <c r="J150" i="6" s="1"/>
  <c r="E151" i="6"/>
  <c r="J151" i="6" s="1"/>
  <c r="E152" i="6"/>
  <c r="J152" i="6" s="1"/>
  <c r="E153" i="6"/>
  <c r="J153" i="6" s="1"/>
  <c r="E154" i="6"/>
  <c r="J154" i="6" s="1"/>
  <c r="E155" i="6"/>
  <c r="J155" i="6" s="1"/>
  <c r="E156" i="6"/>
  <c r="J156" i="6" s="1"/>
  <c r="E157" i="6"/>
  <c r="J157" i="6" s="1"/>
  <c r="E158" i="6"/>
  <c r="J158" i="6" s="1"/>
  <c r="E159" i="6"/>
  <c r="J159" i="6" s="1"/>
  <c r="E160" i="6"/>
  <c r="J160" i="6" s="1"/>
  <c r="E161" i="6"/>
  <c r="J161" i="6" s="1"/>
  <c r="E162" i="6"/>
  <c r="J162" i="6" s="1"/>
  <c r="E163" i="6"/>
  <c r="J163" i="6" s="1"/>
  <c r="E164" i="6"/>
  <c r="J164" i="6" s="1"/>
  <c r="E165" i="6"/>
  <c r="J165" i="6" s="1"/>
  <c r="E166" i="6"/>
  <c r="J166" i="6" s="1"/>
  <c r="E167" i="6"/>
  <c r="J167" i="6" s="1"/>
  <c r="E168" i="6"/>
  <c r="J168" i="6" s="1"/>
  <c r="E169" i="6"/>
  <c r="J169" i="6" s="1"/>
  <c r="E170" i="6"/>
  <c r="J170" i="6" s="1"/>
  <c r="E171" i="6"/>
  <c r="J171" i="6" s="1"/>
  <c r="E172" i="6"/>
  <c r="J172" i="6" s="1"/>
  <c r="E173" i="6"/>
  <c r="J173" i="6" s="1"/>
  <c r="E174" i="6"/>
  <c r="J174" i="6" s="1"/>
  <c r="E175" i="6"/>
  <c r="J175" i="6" s="1"/>
  <c r="E176" i="6"/>
  <c r="J176" i="6" s="1"/>
  <c r="E177" i="6"/>
  <c r="J177" i="6" s="1"/>
  <c r="E178" i="6"/>
  <c r="J178" i="6" s="1"/>
  <c r="E179" i="6"/>
  <c r="J179" i="6" s="1"/>
  <c r="E180" i="6"/>
  <c r="J180" i="6" s="1"/>
  <c r="E181" i="6"/>
  <c r="J181" i="6" s="1"/>
  <c r="E182" i="6"/>
  <c r="J182" i="6" s="1"/>
  <c r="E183" i="6"/>
  <c r="J183" i="6" s="1"/>
  <c r="E184" i="6"/>
  <c r="J184" i="6" s="1"/>
  <c r="E185" i="6"/>
  <c r="J185" i="6" s="1"/>
  <c r="E186" i="6"/>
  <c r="J186" i="6" s="1"/>
  <c r="E187" i="6"/>
  <c r="J187" i="6" s="1"/>
  <c r="E188" i="6"/>
  <c r="J188" i="6" s="1"/>
  <c r="E189" i="6"/>
  <c r="J189" i="6" s="1"/>
  <c r="E190" i="6"/>
  <c r="J190" i="6" s="1"/>
  <c r="E191" i="6"/>
  <c r="J191" i="6" s="1"/>
  <c r="E192" i="6"/>
  <c r="J192" i="6" s="1"/>
  <c r="E193" i="6"/>
  <c r="J193" i="6" s="1"/>
  <c r="E194" i="6"/>
  <c r="J194" i="6" s="1"/>
  <c r="E195" i="6"/>
  <c r="J195" i="6" s="1"/>
  <c r="E196" i="6"/>
  <c r="J196" i="6" s="1"/>
  <c r="E197" i="6"/>
  <c r="J197" i="6" s="1"/>
  <c r="E198" i="6"/>
  <c r="J198" i="6" s="1"/>
  <c r="E199" i="6"/>
  <c r="J199" i="6" s="1"/>
  <c r="E200" i="6"/>
  <c r="J200" i="6" s="1"/>
  <c r="E201" i="6"/>
  <c r="J201" i="6" s="1"/>
  <c r="E202" i="6"/>
  <c r="J202" i="6" s="1"/>
  <c r="E203" i="6"/>
  <c r="J203" i="6" s="1"/>
  <c r="E204" i="6"/>
  <c r="J204" i="6" s="1"/>
  <c r="E205" i="6"/>
  <c r="J205" i="6" s="1"/>
  <c r="E206" i="6"/>
  <c r="J206" i="6" s="1"/>
  <c r="E207" i="6"/>
  <c r="J207" i="6" s="1"/>
  <c r="E208" i="6"/>
  <c r="J208" i="6" s="1"/>
  <c r="E209" i="6"/>
  <c r="J209" i="6" s="1"/>
  <c r="E210" i="6"/>
  <c r="J210" i="6" s="1"/>
  <c r="E211" i="6"/>
  <c r="J211" i="6" s="1"/>
  <c r="E212" i="6"/>
  <c r="J212" i="6" s="1"/>
  <c r="E213" i="6"/>
  <c r="J213" i="6" s="1"/>
  <c r="E214" i="6"/>
  <c r="J214" i="6" s="1"/>
  <c r="E215" i="6"/>
  <c r="J215" i="6" s="1"/>
  <c r="E216" i="6"/>
  <c r="J216" i="6" s="1"/>
  <c r="E217" i="6"/>
  <c r="J217" i="6" s="1"/>
  <c r="E218" i="6"/>
  <c r="J218" i="6" s="1"/>
  <c r="E219" i="6"/>
  <c r="J219" i="6" s="1"/>
  <c r="E220" i="6"/>
  <c r="J220" i="6" s="1"/>
  <c r="E221" i="6"/>
  <c r="J221" i="6" s="1"/>
  <c r="E222" i="6"/>
  <c r="J222" i="6" s="1"/>
  <c r="E223" i="6"/>
  <c r="J223" i="6" s="1"/>
  <c r="E224" i="6"/>
  <c r="J224" i="6" s="1"/>
  <c r="E225" i="6"/>
  <c r="J225" i="6" s="1"/>
  <c r="E226" i="6"/>
  <c r="J226" i="6" s="1"/>
  <c r="E227" i="6"/>
  <c r="J227" i="6" s="1"/>
  <c r="E228" i="6"/>
  <c r="J228" i="6" s="1"/>
  <c r="E229" i="6"/>
  <c r="J229" i="6" s="1"/>
  <c r="E230" i="6"/>
  <c r="J230" i="6" s="1"/>
  <c r="E231" i="6"/>
  <c r="J231" i="6" s="1"/>
  <c r="E232" i="6"/>
  <c r="J232" i="6" s="1"/>
  <c r="E233" i="6"/>
  <c r="J233" i="6" s="1"/>
  <c r="E234" i="6"/>
  <c r="J234" i="6" s="1"/>
  <c r="E235" i="6"/>
  <c r="J235" i="6" s="1"/>
  <c r="E236" i="6"/>
  <c r="J236" i="6" s="1"/>
  <c r="E237" i="6"/>
  <c r="J237" i="6" s="1"/>
  <c r="E238" i="6"/>
  <c r="J238" i="6" s="1"/>
  <c r="E239" i="6"/>
  <c r="J239" i="6" s="1"/>
  <c r="E240" i="6"/>
  <c r="J240" i="6" s="1"/>
  <c r="E241" i="6"/>
  <c r="J241" i="6" s="1"/>
  <c r="E242" i="6"/>
  <c r="J242" i="6" s="1"/>
  <c r="E243" i="6"/>
  <c r="J243" i="6" s="1"/>
  <c r="E244" i="6"/>
  <c r="J244" i="6" s="1"/>
  <c r="E245" i="6"/>
  <c r="J245" i="6" s="1"/>
  <c r="E246" i="6"/>
  <c r="J246" i="6" s="1"/>
  <c r="E247" i="6"/>
  <c r="J247" i="6" s="1"/>
  <c r="E248" i="6"/>
  <c r="J248" i="6" s="1"/>
  <c r="E249" i="6"/>
  <c r="J249" i="6" s="1"/>
  <c r="E250" i="6"/>
  <c r="J250" i="6" s="1"/>
  <c r="E251" i="6"/>
  <c r="J251" i="6" s="1"/>
  <c r="E252" i="6"/>
  <c r="J252" i="6" s="1"/>
  <c r="E253" i="6"/>
  <c r="J253" i="6" s="1"/>
  <c r="E254" i="6"/>
  <c r="J254" i="6" s="1"/>
  <c r="E255" i="6"/>
  <c r="J255" i="6" s="1"/>
  <c r="E256" i="6"/>
  <c r="J256" i="6" s="1"/>
  <c r="E257" i="6"/>
  <c r="J257" i="6" s="1"/>
  <c r="E258" i="6"/>
  <c r="J258" i="6" s="1"/>
  <c r="E259" i="6"/>
  <c r="J259" i="6" s="1"/>
  <c r="E260" i="6"/>
  <c r="J260" i="6" s="1"/>
  <c r="E261" i="6"/>
  <c r="J261" i="6" s="1"/>
  <c r="E262" i="6"/>
  <c r="J262" i="6" s="1"/>
  <c r="E263" i="6"/>
  <c r="J263" i="6" s="1"/>
  <c r="E264" i="6"/>
  <c r="J264" i="6" s="1"/>
  <c r="E265" i="6"/>
  <c r="J265" i="6" s="1"/>
  <c r="E266" i="6"/>
  <c r="J266" i="6" s="1"/>
  <c r="E267" i="6"/>
  <c r="J267" i="6" s="1"/>
  <c r="E268" i="6"/>
  <c r="J268" i="6" s="1"/>
  <c r="E269" i="6"/>
  <c r="J269" i="6" s="1"/>
  <c r="E270" i="6"/>
  <c r="J270" i="6" s="1"/>
  <c r="E271" i="6"/>
  <c r="J271" i="6" s="1"/>
  <c r="E272" i="6"/>
  <c r="J272" i="6" s="1"/>
  <c r="E273" i="6"/>
  <c r="J273" i="6" s="1"/>
  <c r="E274" i="6"/>
  <c r="J274" i="6" s="1"/>
  <c r="E275" i="6"/>
  <c r="J275" i="6" s="1"/>
  <c r="E276" i="6"/>
  <c r="J276" i="6" s="1"/>
  <c r="E277" i="6"/>
  <c r="J277" i="6" s="1"/>
  <c r="E278" i="6"/>
  <c r="J278" i="6" s="1"/>
  <c r="E279" i="6"/>
  <c r="J279" i="6" s="1"/>
  <c r="E280" i="6"/>
  <c r="J280" i="6" s="1"/>
  <c r="E281" i="6"/>
  <c r="J281" i="6" s="1"/>
  <c r="E282" i="6"/>
  <c r="J282" i="6" s="1"/>
  <c r="E283" i="6"/>
  <c r="J283" i="6" s="1"/>
  <c r="E284" i="6"/>
  <c r="J284" i="6" s="1"/>
  <c r="E285" i="6"/>
  <c r="J285" i="6" s="1"/>
  <c r="E286" i="6"/>
  <c r="J286" i="6" s="1"/>
  <c r="E287" i="6"/>
  <c r="J287" i="6" s="1"/>
  <c r="E288" i="6"/>
  <c r="J288" i="6" s="1"/>
  <c r="E289" i="6"/>
  <c r="J289" i="6" s="1"/>
  <c r="E290" i="6"/>
  <c r="J290" i="6" s="1"/>
  <c r="E291" i="6"/>
  <c r="J291" i="6" s="1"/>
  <c r="E292" i="6"/>
  <c r="J292" i="6" s="1"/>
  <c r="E293" i="6"/>
  <c r="J293" i="6" s="1"/>
  <c r="E294" i="6"/>
  <c r="J294" i="6" s="1"/>
  <c r="E295" i="6"/>
  <c r="J295" i="6" s="1"/>
  <c r="E296" i="6"/>
  <c r="J296" i="6" s="1"/>
  <c r="E297" i="6"/>
  <c r="J297" i="6" s="1"/>
  <c r="E298" i="6"/>
  <c r="J298" i="6" s="1"/>
  <c r="E299" i="6"/>
  <c r="J299" i="6" s="1"/>
  <c r="E300" i="6"/>
  <c r="J300" i="6" s="1"/>
  <c r="E301" i="6"/>
  <c r="J301" i="6" s="1"/>
  <c r="E302" i="6"/>
  <c r="J302" i="6" s="1"/>
  <c r="E303" i="6"/>
  <c r="J303" i="6" s="1"/>
  <c r="E304" i="6"/>
  <c r="J304" i="6" s="1"/>
  <c r="E305" i="6"/>
  <c r="J305" i="6" s="1"/>
  <c r="E306" i="6"/>
  <c r="J306" i="6" s="1"/>
  <c r="E307" i="6"/>
  <c r="J307" i="6" s="1"/>
  <c r="E308" i="6"/>
  <c r="J308" i="6" s="1"/>
  <c r="E309" i="6"/>
  <c r="J309" i="6" s="1"/>
  <c r="E310" i="6"/>
  <c r="J310" i="6" s="1"/>
  <c r="E311" i="6"/>
  <c r="J311" i="6" s="1"/>
  <c r="E312" i="6"/>
  <c r="J312" i="6" s="1"/>
  <c r="E313" i="6"/>
  <c r="J313" i="6" s="1"/>
  <c r="E314" i="6"/>
  <c r="J314" i="6" s="1"/>
  <c r="E315" i="6"/>
  <c r="J315" i="6" s="1"/>
  <c r="E316" i="6"/>
  <c r="J316" i="6" s="1"/>
  <c r="E317" i="6"/>
  <c r="J317" i="6" s="1"/>
  <c r="E318" i="6"/>
  <c r="J318" i="6" s="1"/>
  <c r="E319" i="6"/>
  <c r="J319" i="6" s="1"/>
  <c r="E320" i="6"/>
  <c r="J320" i="6" s="1"/>
  <c r="E321" i="6"/>
  <c r="J321" i="6" s="1"/>
  <c r="E322" i="6"/>
  <c r="J322" i="6" s="1"/>
  <c r="E323" i="6"/>
  <c r="J323" i="6" s="1"/>
  <c r="E324" i="6"/>
  <c r="J324" i="6" s="1"/>
  <c r="E325" i="6"/>
  <c r="J325" i="6" s="1"/>
  <c r="E326" i="6"/>
  <c r="J326" i="6" s="1"/>
  <c r="E327" i="6"/>
  <c r="J327" i="6" s="1"/>
  <c r="E328" i="6"/>
  <c r="J328" i="6" s="1"/>
  <c r="E329" i="6"/>
  <c r="J329" i="6" s="1"/>
  <c r="E330" i="6"/>
  <c r="J330" i="6" s="1"/>
  <c r="E331" i="6"/>
  <c r="J331" i="6" s="1"/>
  <c r="E332" i="6"/>
  <c r="J332" i="6" s="1"/>
  <c r="E333" i="6"/>
  <c r="J333" i="6" s="1"/>
  <c r="E334" i="6"/>
  <c r="J334" i="6" s="1"/>
  <c r="E335" i="6"/>
  <c r="J335" i="6" s="1"/>
  <c r="E336" i="6"/>
  <c r="J336" i="6" s="1"/>
  <c r="E337" i="6"/>
  <c r="J337" i="6" s="1"/>
  <c r="E338" i="6"/>
  <c r="J338" i="6" s="1"/>
  <c r="E339" i="6"/>
  <c r="J339" i="6" s="1"/>
  <c r="E340" i="6"/>
  <c r="J340" i="6" s="1"/>
  <c r="E341" i="6"/>
  <c r="J341" i="6" s="1"/>
  <c r="E342" i="6"/>
  <c r="J342" i="6" s="1"/>
  <c r="E343" i="6"/>
  <c r="J343" i="6" s="1"/>
  <c r="E344" i="6"/>
  <c r="J344" i="6" s="1"/>
  <c r="E345" i="6"/>
  <c r="J345" i="6" s="1"/>
  <c r="E346" i="6"/>
  <c r="J346" i="6" s="1"/>
  <c r="E347" i="6"/>
  <c r="J347" i="6" s="1"/>
  <c r="E348" i="6"/>
  <c r="J348" i="6" s="1"/>
  <c r="E349" i="6"/>
  <c r="J349" i="6" s="1"/>
  <c r="E350" i="6"/>
  <c r="J350" i="6" s="1"/>
  <c r="E351" i="6"/>
  <c r="J351" i="6" s="1"/>
  <c r="E352" i="6"/>
  <c r="J352" i="6" s="1"/>
  <c r="E353" i="6"/>
  <c r="J353" i="6" s="1"/>
  <c r="E354" i="6"/>
  <c r="J354" i="6" s="1"/>
  <c r="E355" i="6"/>
  <c r="J355" i="6" s="1"/>
  <c r="E356" i="6"/>
  <c r="J356" i="6" s="1"/>
  <c r="E357" i="6"/>
  <c r="J357" i="6" s="1"/>
  <c r="E358" i="6"/>
  <c r="J358" i="6" s="1"/>
  <c r="E359" i="6"/>
  <c r="J359" i="6" s="1"/>
  <c r="E360" i="6"/>
  <c r="J360" i="6" s="1"/>
  <c r="E361" i="6"/>
  <c r="J361" i="6" s="1"/>
  <c r="E362" i="6"/>
  <c r="J362" i="6" s="1"/>
  <c r="E363" i="6"/>
  <c r="J363" i="6" s="1"/>
  <c r="E364" i="6"/>
  <c r="J364" i="6" s="1"/>
  <c r="E365" i="6"/>
  <c r="J365" i="6" s="1"/>
  <c r="E366" i="6"/>
  <c r="J366" i="6" s="1"/>
  <c r="E367" i="6"/>
  <c r="J367" i="6" s="1"/>
  <c r="E368" i="6"/>
  <c r="J368" i="6" s="1"/>
  <c r="E369" i="6"/>
  <c r="J369" i="6" s="1"/>
  <c r="E370" i="6"/>
  <c r="J370" i="6" s="1"/>
  <c r="E371" i="6"/>
  <c r="J371" i="6" s="1"/>
  <c r="E372" i="6"/>
  <c r="J372" i="6" s="1"/>
  <c r="E373" i="6"/>
  <c r="J373" i="6" s="1"/>
  <c r="E374" i="6"/>
  <c r="J374" i="6" s="1"/>
  <c r="E375" i="6"/>
  <c r="J375" i="6" s="1"/>
  <c r="E376" i="6"/>
  <c r="J376" i="6" s="1"/>
  <c r="E377" i="6"/>
  <c r="J377" i="6" s="1"/>
  <c r="E378" i="6"/>
  <c r="J378" i="6" s="1"/>
  <c r="E379" i="6"/>
  <c r="J379" i="6" s="1"/>
  <c r="E380" i="6"/>
  <c r="J380" i="6" s="1"/>
  <c r="E381" i="6"/>
  <c r="J381" i="6" s="1"/>
  <c r="E382" i="6"/>
  <c r="J382" i="6" s="1"/>
  <c r="E383" i="6"/>
  <c r="J383" i="6" s="1"/>
  <c r="E384" i="6"/>
  <c r="J384" i="6" s="1"/>
  <c r="E385" i="6"/>
  <c r="J385" i="6" s="1"/>
  <c r="E386" i="6"/>
  <c r="J386" i="6" s="1"/>
  <c r="E387" i="6"/>
  <c r="J387" i="6" s="1"/>
  <c r="E388" i="6"/>
  <c r="J388" i="6" s="1"/>
  <c r="E389" i="6"/>
  <c r="J389" i="6" s="1"/>
  <c r="E390" i="6"/>
  <c r="J390" i="6" s="1"/>
  <c r="E391" i="6"/>
  <c r="J391" i="6" s="1"/>
  <c r="E392" i="6"/>
  <c r="J392" i="6" s="1"/>
  <c r="E393" i="6"/>
  <c r="J393" i="6" s="1"/>
  <c r="E394" i="6"/>
  <c r="J394" i="6" s="1"/>
  <c r="E395" i="6"/>
  <c r="J395" i="6" s="1"/>
  <c r="E396" i="6"/>
  <c r="J396" i="6" s="1"/>
  <c r="E397" i="6"/>
  <c r="J397" i="6" s="1"/>
  <c r="E398" i="6"/>
  <c r="J398" i="6" s="1"/>
  <c r="E399" i="6"/>
  <c r="J399" i="6" s="1"/>
  <c r="E400" i="6"/>
  <c r="J400" i="6" s="1"/>
  <c r="E401" i="6"/>
  <c r="J401" i="6" s="1"/>
  <c r="E402" i="6"/>
  <c r="J402" i="6" s="1"/>
  <c r="E403" i="6"/>
  <c r="J403" i="6" s="1"/>
  <c r="E404" i="6"/>
  <c r="J404" i="6" s="1"/>
  <c r="E405" i="6"/>
  <c r="J405" i="6" s="1"/>
  <c r="E406" i="6"/>
  <c r="J406" i="6" s="1"/>
  <c r="E407" i="6"/>
  <c r="J407" i="6" s="1"/>
  <c r="E408" i="6"/>
  <c r="J408" i="6" s="1"/>
  <c r="E409" i="6"/>
  <c r="J409" i="6" s="1"/>
  <c r="E410" i="6"/>
  <c r="J410" i="6" s="1"/>
  <c r="E411" i="6"/>
  <c r="J411" i="6" s="1"/>
  <c r="E412" i="6"/>
  <c r="J412" i="6" s="1"/>
  <c r="E413" i="6"/>
  <c r="J413" i="6" s="1"/>
  <c r="E414" i="6"/>
  <c r="J414" i="6" s="1"/>
  <c r="E415" i="6"/>
  <c r="J415" i="6" s="1"/>
  <c r="E416" i="6"/>
  <c r="J416" i="6" s="1"/>
  <c r="E417" i="6"/>
  <c r="J417" i="6" s="1"/>
  <c r="E418" i="6"/>
  <c r="J418" i="6" s="1"/>
  <c r="E419" i="6"/>
  <c r="J419" i="6" s="1"/>
  <c r="E420" i="6"/>
  <c r="J420" i="6" s="1"/>
  <c r="E421" i="6"/>
  <c r="J421" i="6" s="1"/>
  <c r="E422" i="6"/>
  <c r="J422" i="6" s="1"/>
  <c r="E423" i="6"/>
  <c r="J423" i="6" s="1"/>
  <c r="E424" i="6"/>
  <c r="J424" i="6" s="1"/>
  <c r="E425" i="6"/>
  <c r="J425" i="6" s="1"/>
  <c r="E426" i="6"/>
  <c r="J426" i="6" s="1"/>
  <c r="E427" i="6"/>
  <c r="J427" i="6" s="1"/>
  <c r="E428" i="6"/>
  <c r="J428" i="6" s="1"/>
  <c r="E429" i="6"/>
  <c r="J429" i="6" s="1"/>
  <c r="E430" i="6"/>
  <c r="J430" i="6" s="1"/>
  <c r="E431" i="6"/>
  <c r="J431" i="6" s="1"/>
  <c r="E432" i="6"/>
  <c r="J432" i="6" s="1"/>
  <c r="E433" i="6"/>
  <c r="J433" i="6" s="1"/>
  <c r="E434" i="6"/>
  <c r="J434" i="6" s="1"/>
  <c r="E435" i="6"/>
  <c r="J435" i="6" s="1"/>
  <c r="E436" i="6"/>
  <c r="J436" i="6" s="1"/>
  <c r="E437" i="6"/>
  <c r="J437" i="6" s="1"/>
  <c r="E438" i="6"/>
  <c r="J438" i="6" s="1"/>
  <c r="E439" i="6"/>
  <c r="J439" i="6" s="1"/>
  <c r="E440" i="6"/>
  <c r="J440" i="6" s="1"/>
  <c r="E441" i="6"/>
  <c r="J441" i="6" s="1"/>
  <c r="E442" i="6"/>
  <c r="J442" i="6" s="1"/>
  <c r="E443" i="6"/>
  <c r="J443" i="6" s="1"/>
  <c r="E444" i="6"/>
  <c r="J444" i="6" s="1"/>
  <c r="E445" i="6"/>
  <c r="J445" i="6" s="1"/>
  <c r="E446" i="6"/>
  <c r="J446" i="6" s="1"/>
  <c r="E447" i="6"/>
  <c r="J447" i="6" s="1"/>
  <c r="E448" i="6"/>
  <c r="J448" i="6" s="1"/>
  <c r="E449" i="6"/>
  <c r="J449" i="6" s="1"/>
  <c r="E450" i="6"/>
  <c r="J450" i="6" s="1"/>
  <c r="E451" i="6"/>
  <c r="J451" i="6" s="1"/>
  <c r="E452" i="6"/>
  <c r="J452" i="6" s="1"/>
  <c r="E453" i="6"/>
  <c r="J453" i="6" s="1"/>
  <c r="E454" i="6"/>
  <c r="J454" i="6" s="1"/>
  <c r="E455" i="6"/>
  <c r="J455" i="6" s="1"/>
  <c r="E456" i="6"/>
  <c r="J456" i="6" s="1"/>
  <c r="E457" i="6"/>
  <c r="J457" i="6" s="1"/>
  <c r="E458" i="6"/>
  <c r="J458" i="6" s="1"/>
  <c r="E459" i="6"/>
  <c r="J459" i="6" s="1"/>
  <c r="E460" i="6"/>
  <c r="J460" i="6" s="1"/>
  <c r="E461" i="6"/>
  <c r="J461" i="6" s="1"/>
  <c r="E462" i="6"/>
  <c r="J462" i="6" s="1"/>
  <c r="E463" i="6"/>
  <c r="J463" i="6" s="1"/>
  <c r="E464" i="6"/>
  <c r="J464" i="6" s="1"/>
  <c r="E465" i="6"/>
  <c r="J465" i="6" s="1"/>
  <c r="E466" i="6"/>
  <c r="J466" i="6" s="1"/>
  <c r="E467" i="6"/>
  <c r="J467" i="6" s="1"/>
  <c r="E468" i="6"/>
  <c r="J468" i="6" s="1"/>
  <c r="E469" i="6"/>
  <c r="J469" i="6" s="1"/>
  <c r="E470" i="6"/>
  <c r="J470" i="6" s="1"/>
  <c r="E471" i="6"/>
  <c r="J471" i="6" s="1"/>
  <c r="E472" i="6"/>
  <c r="J472" i="6" s="1"/>
  <c r="E473" i="6"/>
  <c r="J473" i="6" s="1"/>
  <c r="E474" i="6"/>
  <c r="J474" i="6" s="1"/>
  <c r="E475" i="6"/>
  <c r="J475" i="6" s="1"/>
  <c r="E476" i="6"/>
  <c r="J476" i="6" s="1"/>
  <c r="E477" i="6"/>
  <c r="J477" i="6" s="1"/>
  <c r="E478" i="6"/>
  <c r="J478" i="6" s="1"/>
  <c r="E479" i="6"/>
  <c r="J479" i="6" s="1"/>
  <c r="E480" i="6"/>
  <c r="J480" i="6" s="1"/>
  <c r="E481" i="6"/>
  <c r="J481" i="6" s="1"/>
  <c r="E482" i="6"/>
  <c r="J482" i="6" s="1"/>
  <c r="E483" i="6"/>
  <c r="J483" i="6" s="1"/>
  <c r="E484" i="6"/>
  <c r="J484" i="6" s="1"/>
  <c r="E485" i="6"/>
  <c r="J485" i="6" s="1"/>
  <c r="E486" i="6"/>
  <c r="J486" i="6" s="1"/>
  <c r="E487" i="6"/>
  <c r="J487" i="6" s="1"/>
  <c r="E488" i="6"/>
  <c r="J488" i="6" s="1"/>
  <c r="E489" i="6"/>
  <c r="J489" i="6" s="1"/>
  <c r="E490" i="6"/>
  <c r="J490" i="6" s="1"/>
  <c r="E491" i="6"/>
  <c r="J491" i="6" s="1"/>
  <c r="E492" i="6"/>
  <c r="J492" i="6" s="1"/>
  <c r="E493" i="6"/>
  <c r="J493" i="6" s="1"/>
  <c r="E494" i="6"/>
  <c r="J494" i="6" s="1"/>
  <c r="E495" i="6"/>
  <c r="J495" i="6" s="1"/>
  <c r="E496" i="6"/>
  <c r="J496" i="6" s="1"/>
  <c r="E497" i="6"/>
  <c r="J497" i="6" s="1"/>
  <c r="E498" i="6"/>
  <c r="J498" i="6" s="1"/>
  <c r="E499" i="6"/>
  <c r="J499" i="6" s="1"/>
  <c r="E500" i="6"/>
  <c r="J500" i="6" s="1"/>
  <c r="E501" i="6"/>
  <c r="J501" i="6" s="1"/>
  <c r="E502" i="6"/>
  <c r="J502" i="6" s="1"/>
  <c r="E503" i="6"/>
  <c r="J503" i="6" s="1"/>
  <c r="E504" i="6"/>
  <c r="J504" i="6" s="1"/>
  <c r="E505" i="6"/>
  <c r="J505" i="6" s="1"/>
  <c r="E506" i="6"/>
  <c r="J506" i="6" s="1"/>
  <c r="E507" i="6"/>
  <c r="J507" i="6" s="1"/>
  <c r="E508" i="6"/>
  <c r="J508" i="6" s="1"/>
  <c r="E509" i="6"/>
  <c r="J509" i="6" s="1"/>
  <c r="E510" i="6"/>
  <c r="J510" i="6" s="1"/>
  <c r="E511" i="6"/>
  <c r="J511" i="6" s="1"/>
  <c r="E512" i="6"/>
  <c r="J512" i="6" s="1"/>
  <c r="E513" i="6"/>
  <c r="J513" i="6" s="1"/>
  <c r="E514" i="6"/>
  <c r="J514" i="6" s="1"/>
  <c r="E515" i="6"/>
  <c r="J515" i="6" s="1"/>
  <c r="E516" i="6"/>
  <c r="J516" i="6" s="1"/>
  <c r="E517" i="6"/>
  <c r="J517" i="6" s="1"/>
  <c r="E518" i="6"/>
  <c r="J518" i="6" s="1"/>
  <c r="E519" i="6"/>
  <c r="J519" i="6" s="1"/>
  <c r="E520" i="6"/>
  <c r="J520" i="6" s="1"/>
  <c r="E521" i="6"/>
  <c r="J521" i="6" s="1"/>
  <c r="E522" i="6"/>
  <c r="J522" i="6" s="1"/>
  <c r="E523" i="6"/>
  <c r="J523" i="6" s="1"/>
  <c r="E524" i="6"/>
  <c r="J524" i="6" s="1"/>
  <c r="E525" i="6"/>
  <c r="J525" i="6" s="1"/>
  <c r="E526" i="6"/>
  <c r="J526" i="6" s="1"/>
  <c r="E527" i="6"/>
  <c r="J527" i="6" s="1"/>
  <c r="E528" i="6"/>
  <c r="J528" i="6" s="1"/>
  <c r="E529" i="6"/>
  <c r="J529" i="6" s="1"/>
  <c r="E530" i="6"/>
  <c r="J530" i="6" s="1"/>
  <c r="E531" i="6"/>
  <c r="J531" i="6" s="1"/>
  <c r="E532" i="6"/>
  <c r="J532" i="6" s="1"/>
  <c r="E533" i="6"/>
  <c r="J533" i="6" s="1"/>
  <c r="E534" i="6"/>
  <c r="J534" i="6" s="1"/>
  <c r="E535" i="6"/>
  <c r="J535" i="6" s="1"/>
  <c r="E536" i="6"/>
  <c r="J536" i="6" s="1"/>
  <c r="E537" i="6"/>
  <c r="J537" i="6" s="1"/>
  <c r="E538" i="6"/>
  <c r="J538" i="6" s="1"/>
  <c r="E539" i="6"/>
  <c r="J539" i="6" s="1"/>
  <c r="E540" i="6"/>
  <c r="J540" i="6" s="1"/>
  <c r="E541" i="6"/>
  <c r="J541" i="6" s="1"/>
  <c r="E542" i="6"/>
  <c r="J542" i="6" s="1"/>
  <c r="E543" i="6"/>
  <c r="J543" i="6" s="1"/>
  <c r="E544" i="6"/>
  <c r="J544" i="6" s="1"/>
  <c r="E545" i="6"/>
  <c r="J545" i="6" s="1"/>
  <c r="E546" i="6"/>
  <c r="J546" i="6" s="1"/>
  <c r="E547" i="6"/>
  <c r="J547" i="6" s="1"/>
  <c r="E548" i="6"/>
  <c r="J548" i="6" s="1"/>
  <c r="E549" i="6"/>
  <c r="J549" i="6" s="1"/>
  <c r="E550" i="6"/>
  <c r="J550" i="6" s="1"/>
  <c r="E551" i="6"/>
  <c r="J551" i="6" s="1"/>
  <c r="E552" i="6"/>
  <c r="J552" i="6" s="1"/>
  <c r="E553" i="6"/>
  <c r="J553" i="6" s="1"/>
  <c r="E554" i="6"/>
  <c r="J554" i="6" s="1"/>
  <c r="E555" i="6"/>
  <c r="J555" i="6" s="1"/>
  <c r="E556" i="6"/>
  <c r="J556" i="6" s="1"/>
  <c r="E557" i="6"/>
  <c r="J557" i="6" s="1"/>
  <c r="E558" i="6"/>
  <c r="J558" i="6" s="1"/>
  <c r="E559" i="6"/>
  <c r="J559" i="6" s="1"/>
  <c r="E560" i="6"/>
  <c r="J560" i="6" s="1"/>
  <c r="E561" i="6"/>
  <c r="J561" i="6" s="1"/>
  <c r="E562" i="6"/>
  <c r="J562" i="6" s="1"/>
  <c r="E563" i="6"/>
  <c r="J563" i="6" s="1"/>
  <c r="E564" i="6"/>
  <c r="J564" i="6" s="1"/>
  <c r="E565" i="6"/>
  <c r="J565" i="6" s="1"/>
  <c r="E566" i="6"/>
  <c r="J566" i="6" s="1"/>
  <c r="E567" i="6"/>
  <c r="J567" i="6" s="1"/>
  <c r="E568" i="6"/>
  <c r="J568" i="6" s="1"/>
  <c r="E569" i="6"/>
  <c r="J569" i="6" s="1"/>
  <c r="E570" i="6"/>
  <c r="J570" i="6" s="1"/>
  <c r="E571" i="6"/>
  <c r="J571" i="6" s="1"/>
  <c r="E572" i="6"/>
  <c r="J572" i="6" s="1"/>
  <c r="E573" i="6"/>
  <c r="J573" i="6" s="1"/>
  <c r="E574" i="6"/>
  <c r="J574" i="6" s="1"/>
  <c r="E575" i="6"/>
  <c r="J575" i="6" s="1"/>
  <c r="E576" i="6"/>
  <c r="J576" i="6" s="1"/>
  <c r="E577" i="6"/>
  <c r="J577" i="6" s="1"/>
  <c r="E578" i="6"/>
  <c r="J578" i="6" s="1"/>
  <c r="E579" i="6"/>
  <c r="J579" i="6" s="1"/>
  <c r="E580" i="6"/>
  <c r="J580" i="6" s="1"/>
  <c r="E581" i="6"/>
  <c r="J581" i="6" s="1"/>
  <c r="E582" i="6"/>
  <c r="J582" i="6" s="1"/>
  <c r="E583" i="6"/>
  <c r="J583" i="6" s="1"/>
  <c r="E584" i="6"/>
  <c r="J584" i="6" s="1"/>
  <c r="E585" i="6"/>
  <c r="J585" i="6" s="1"/>
  <c r="E586" i="6"/>
  <c r="J586" i="6" s="1"/>
  <c r="E587" i="6"/>
  <c r="J587" i="6" s="1"/>
  <c r="E588" i="6"/>
  <c r="J588" i="6" s="1"/>
  <c r="E589" i="6"/>
  <c r="J589" i="6" s="1"/>
  <c r="E590" i="6"/>
  <c r="J590" i="6" s="1"/>
  <c r="E591" i="6"/>
  <c r="J591" i="6" s="1"/>
  <c r="E592" i="6"/>
  <c r="J592" i="6" s="1"/>
  <c r="E593" i="6"/>
  <c r="J593" i="6" s="1"/>
  <c r="E594" i="6"/>
  <c r="J594" i="6" s="1"/>
  <c r="E595" i="6"/>
  <c r="J595" i="6" s="1"/>
  <c r="E596" i="6"/>
  <c r="J596" i="6" s="1"/>
  <c r="E597" i="6"/>
  <c r="J597" i="6" s="1"/>
  <c r="E598" i="6"/>
  <c r="J598" i="6" s="1"/>
  <c r="E599" i="6"/>
  <c r="J599" i="6" s="1"/>
  <c r="E600" i="6"/>
  <c r="J600" i="6" s="1"/>
  <c r="E601" i="6"/>
  <c r="J601" i="6" s="1"/>
  <c r="E602" i="6"/>
  <c r="J602" i="6" s="1"/>
  <c r="E603" i="6"/>
  <c r="J603" i="6" s="1"/>
  <c r="E604" i="6"/>
  <c r="J604" i="6" s="1"/>
  <c r="E605" i="6"/>
  <c r="J605" i="6" s="1"/>
  <c r="E606" i="6"/>
  <c r="J606" i="6" s="1"/>
  <c r="E607" i="6"/>
  <c r="J607" i="6" s="1"/>
  <c r="E608" i="6"/>
  <c r="J608" i="6" s="1"/>
  <c r="E609" i="6"/>
  <c r="J609" i="6" s="1"/>
  <c r="E610" i="6"/>
  <c r="J610" i="6" s="1"/>
  <c r="E611" i="6"/>
  <c r="J611" i="6" s="1"/>
  <c r="J2" i="6"/>
  <c r="B2" i="6"/>
  <c r="D3" i="4" l="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2" i="4"/>
  <c r="G17" i="4"/>
  <c r="C17" i="6" s="1"/>
  <c r="H17" i="6" s="1"/>
  <c r="G18" i="4"/>
  <c r="C18" i="6" s="1"/>
  <c r="H18" i="6" s="1"/>
  <c r="G19" i="4"/>
  <c r="C19" i="6" s="1"/>
  <c r="H19" i="6" s="1"/>
  <c r="G20" i="4"/>
  <c r="C20" i="6" s="1"/>
  <c r="H20" i="6" s="1"/>
  <c r="G21" i="4"/>
  <c r="C21" i="6" s="1"/>
  <c r="H21" i="6" s="1"/>
  <c r="G22" i="4"/>
  <c r="C22" i="6" s="1"/>
  <c r="H22" i="6" s="1"/>
  <c r="G23" i="4"/>
  <c r="C23" i="6" s="1"/>
  <c r="H23" i="6" s="1"/>
  <c r="G24" i="4"/>
  <c r="C24" i="6" s="1"/>
  <c r="H24" i="6" s="1"/>
  <c r="G25" i="4"/>
  <c r="C25" i="6" s="1"/>
  <c r="H25" i="6" s="1"/>
  <c r="G26" i="4"/>
  <c r="C26" i="6" s="1"/>
  <c r="H26" i="6" s="1"/>
  <c r="G27" i="4"/>
  <c r="C27" i="6" s="1"/>
  <c r="H27" i="6" s="1"/>
  <c r="G28" i="4"/>
  <c r="C28" i="6" s="1"/>
  <c r="H28" i="6" s="1"/>
  <c r="G29" i="4"/>
  <c r="C29" i="6" s="1"/>
  <c r="H29" i="6" s="1"/>
  <c r="G30" i="4"/>
  <c r="C30" i="6" s="1"/>
  <c r="H30" i="6" s="1"/>
  <c r="G31" i="4"/>
  <c r="C31" i="6" s="1"/>
  <c r="H31" i="6" s="1"/>
  <c r="G32" i="4"/>
  <c r="C32" i="6" s="1"/>
  <c r="H32" i="6" s="1"/>
  <c r="G33" i="4"/>
  <c r="C33" i="6" s="1"/>
  <c r="H33" i="6" s="1"/>
  <c r="G34" i="4"/>
  <c r="C34" i="6" s="1"/>
  <c r="H34" i="6" s="1"/>
  <c r="G35" i="4"/>
  <c r="C35" i="6" s="1"/>
  <c r="H35" i="6" s="1"/>
  <c r="G36" i="4"/>
  <c r="C36" i="6" s="1"/>
  <c r="H36" i="6" s="1"/>
  <c r="G37" i="4"/>
  <c r="C37" i="6" s="1"/>
  <c r="H37" i="6" s="1"/>
  <c r="G38" i="4"/>
  <c r="C38" i="6" s="1"/>
  <c r="H38" i="6" s="1"/>
  <c r="G39" i="4"/>
  <c r="C39" i="6" s="1"/>
  <c r="H39" i="6" s="1"/>
  <c r="G40" i="4"/>
  <c r="C40" i="6" s="1"/>
  <c r="H40" i="6" s="1"/>
  <c r="G41" i="4"/>
  <c r="C41" i="6" s="1"/>
  <c r="H41" i="6" s="1"/>
  <c r="G42" i="4"/>
  <c r="C42" i="6" s="1"/>
  <c r="H42" i="6" s="1"/>
  <c r="G43" i="4"/>
  <c r="C43" i="6" s="1"/>
  <c r="H43" i="6" s="1"/>
  <c r="G44" i="4"/>
  <c r="C44" i="6" s="1"/>
  <c r="H44" i="6" s="1"/>
  <c r="G45" i="4"/>
  <c r="C45" i="6" s="1"/>
  <c r="H45" i="6" s="1"/>
  <c r="G46" i="4"/>
  <c r="C46" i="6" s="1"/>
  <c r="H46" i="6" s="1"/>
  <c r="G47" i="4"/>
  <c r="C47" i="6" s="1"/>
  <c r="H47" i="6" s="1"/>
  <c r="G48" i="4"/>
  <c r="C48" i="6" s="1"/>
  <c r="H48" i="6" s="1"/>
  <c r="G49" i="4"/>
  <c r="C49" i="6" s="1"/>
  <c r="H49" i="6" s="1"/>
  <c r="G50" i="4"/>
  <c r="C50" i="6" s="1"/>
  <c r="H50" i="6" s="1"/>
  <c r="G51" i="4"/>
  <c r="C51" i="6" s="1"/>
  <c r="H51" i="6" s="1"/>
  <c r="G52" i="4"/>
  <c r="C52" i="6" s="1"/>
  <c r="H52" i="6" s="1"/>
  <c r="G53" i="4"/>
  <c r="C53" i="6" s="1"/>
  <c r="H53" i="6" s="1"/>
  <c r="G54" i="4"/>
  <c r="C54" i="6" s="1"/>
  <c r="H54" i="6" s="1"/>
  <c r="G55" i="4"/>
  <c r="C55" i="6" s="1"/>
  <c r="H55" i="6" s="1"/>
  <c r="G56" i="4"/>
  <c r="C56" i="6" s="1"/>
  <c r="H56" i="6" s="1"/>
  <c r="G57" i="4"/>
  <c r="C57" i="6" s="1"/>
  <c r="H57" i="6" s="1"/>
  <c r="G58" i="4"/>
  <c r="C58" i="6" s="1"/>
  <c r="H58" i="6" s="1"/>
  <c r="G59" i="4"/>
  <c r="C59" i="6" s="1"/>
  <c r="H59" i="6" s="1"/>
  <c r="G60" i="4"/>
  <c r="C60" i="6" s="1"/>
  <c r="H60" i="6" s="1"/>
  <c r="G61" i="4"/>
  <c r="C61" i="6" s="1"/>
  <c r="H61" i="6" s="1"/>
  <c r="G62" i="4"/>
  <c r="C62" i="6" s="1"/>
  <c r="H62" i="6" s="1"/>
  <c r="G63" i="4"/>
  <c r="C63" i="6" s="1"/>
  <c r="H63" i="6" s="1"/>
  <c r="G64" i="4"/>
  <c r="C64" i="6" s="1"/>
  <c r="H64" i="6" s="1"/>
  <c r="G65" i="4"/>
  <c r="C65" i="6" s="1"/>
  <c r="H65" i="6" s="1"/>
  <c r="G66" i="4"/>
  <c r="C66" i="6" s="1"/>
  <c r="H66" i="6" s="1"/>
  <c r="G67" i="4"/>
  <c r="C67" i="6" s="1"/>
  <c r="H67" i="6" s="1"/>
  <c r="G68" i="4"/>
  <c r="C68" i="6" s="1"/>
  <c r="H68" i="6" s="1"/>
  <c r="G69" i="4"/>
  <c r="C69" i="6" s="1"/>
  <c r="H69" i="6" s="1"/>
  <c r="G70" i="4"/>
  <c r="C70" i="6" s="1"/>
  <c r="H70" i="6" s="1"/>
  <c r="G71" i="4"/>
  <c r="C71" i="6" s="1"/>
  <c r="H71" i="6" s="1"/>
  <c r="G72" i="4"/>
  <c r="C72" i="6" s="1"/>
  <c r="H72" i="6" s="1"/>
  <c r="G73" i="4"/>
  <c r="C73" i="6" s="1"/>
  <c r="H73" i="6" s="1"/>
  <c r="G74" i="4"/>
  <c r="C74" i="6" s="1"/>
  <c r="H74" i="6" s="1"/>
  <c r="G75" i="4"/>
  <c r="C75" i="6" s="1"/>
  <c r="H75" i="6" s="1"/>
  <c r="G76" i="4"/>
  <c r="C76" i="6" s="1"/>
  <c r="H76" i="6" s="1"/>
  <c r="G77" i="4"/>
  <c r="C77" i="6" s="1"/>
  <c r="H77" i="6" s="1"/>
  <c r="G78" i="4"/>
  <c r="C78" i="6" s="1"/>
  <c r="H78" i="6" s="1"/>
  <c r="G79" i="4"/>
  <c r="C79" i="6" s="1"/>
  <c r="H79" i="6" s="1"/>
  <c r="G80" i="4"/>
  <c r="C80" i="6" s="1"/>
  <c r="H80" i="6" s="1"/>
  <c r="G81" i="4"/>
  <c r="C81" i="6" s="1"/>
  <c r="H81" i="6" s="1"/>
  <c r="G82" i="4"/>
  <c r="C82" i="6" s="1"/>
  <c r="H82" i="6" s="1"/>
  <c r="G83" i="4"/>
  <c r="C83" i="6" s="1"/>
  <c r="H83" i="6" s="1"/>
  <c r="G84" i="4"/>
  <c r="C84" i="6" s="1"/>
  <c r="H84" i="6" s="1"/>
  <c r="G85" i="4"/>
  <c r="C85" i="6" s="1"/>
  <c r="H85" i="6" s="1"/>
  <c r="G86" i="4"/>
  <c r="C86" i="6" s="1"/>
  <c r="H86" i="6" s="1"/>
  <c r="G87" i="4"/>
  <c r="C87" i="6" s="1"/>
  <c r="H87" i="6" s="1"/>
  <c r="G88" i="4"/>
  <c r="C88" i="6" s="1"/>
  <c r="H88" i="6" s="1"/>
  <c r="G89" i="4"/>
  <c r="C89" i="6" s="1"/>
  <c r="H89" i="6" s="1"/>
  <c r="G90" i="4"/>
  <c r="C90" i="6" s="1"/>
  <c r="H90" i="6" s="1"/>
  <c r="G91" i="4"/>
  <c r="C91" i="6" s="1"/>
  <c r="H91" i="6" s="1"/>
  <c r="G92" i="4"/>
  <c r="C92" i="6" s="1"/>
  <c r="H92" i="6" s="1"/>
  <c r="G93" i="4"/>
  <c r="C93" i="6" s="1"/>
  <c r="H93" i="6" s="1"/>
  <c r="G94" i="4"/>
  <c r="C94" i="6" s="1"/>
  <c r="H94" i="6" s="1"/>
  <c r="G95" i="4"/>
  <c r="C95" i="6" s="1"/>
  <c r="H95" i="6" s="1"/>
  <c r="G96" i="4"/>
  <c r="C96" i="6" s="1"/>
  <c r="H96" i="6" s="1"/>
  <c r="G97" i="4"/>
  <c r="C97" i="6" s="1"/>
  <c r="H97" i="6" s="1"/>
  <c r="G98" i="4"/>
  <c r="C98" i="6" s="1"/>
  <c r="H98" i="6" s="1"/>
  <c r="G99" i="4"/>
  <c r="C99" i="6" s="1"/>
  <c r="H99" i="6" s="1"/>
  <c r="G100" i="4"/>
  <c r="C100" i="6" s="1"/>
  <c r="H100" i="6" s="1"/>
  <c r="G101" i="4"/>
  <c r="C101" i="6" s="1"/>
  <c r="H101" i="6" s="1"/>
  <c r="G102" i="4"/>
  <c r="C102" i="6" s="1"/>
  <c r="H102" i="6" s="1"/>
  <c r="G103" i="4"/>
  <c r="C103" i="6" s="1"/>
  <c r="H103" i="6" s="1"/>
  <c r="G104" i="4"/>
  <c r="C104" i="6" s="1"/>
  <c r="H104" i="6" s="1"/>
  <c r="G105" i="4"/>
  <c r="C105" i="6" s="1"/>
  <c r="H105" i="6" s="1"/>
  <c r="G106" i="4"/>
  <c r="C106" i="6" s="1"/>
  <c r="H106" i="6" s="1"/>
  <c r="G107" i="4"/>
  <c r="C107" i="6" s="1"/>
  <c r="H107" i="6" s="1"/>
  <c r="G108" i="4"/>
  <c r="C108" i="6" s="1"/>
  <c r="H108" i="6" s="1"/>
  <c r="G109" i="4"/>
  <c r="C109" i="6" s="1"/>
  <c r="H109" i="6" s="1"/>
  <c r="G110" i="4"/>
  <c r="C110" i="6" s="1"/>
  <c r="H110" i="6" s="1"/>
  <c r="G111" i="4"/>
  <c r="C111" i="6" s="1"/>
  <c r="H111" i="6" s="1"/>
  <c r="G112" i="4"/>
  <c r="C112" i="6" s="1"/>
  <c r="H112" i="6" s="1"/>
  <c r="G113" i="4"/>
  <c r="C113" i="6" s="1"/>
  <c r="H113" i="6" s="1"/>
  <c r="G114" i="4"/>
  <c r="C114" i="6" s="1"/>
  <c r="H114" i="6" s="1"/>
  <c r="G115" i="4"/>
  <c r="C115" i="6" s="1"/>
  <c r="H115" i="6" s="1"/>
  <c r="G116" i="4"/>
  <c r="C116" i="6" s="1"/>
  <c r="H116" i="6" s="1"/>
  <c r="G117" i="4"/>
  <c r="C117" i="6" s="1"/>
  <c r="H117" i="6" s="1"/>
  <c r="G118" i="4"/>
  <c r="C118" i="6" s="1"/>
  <c r="H118" i="6" s="1"/>
  <c r="G119" i="4"/>
  <c r="C119" i="6" s="1"/>
  <c r="H119" i="6" s="1"/>
  <c r="G120" i="4"/>
  <c r="C120" i="6" s="1"/>
  <c r="H120" i="6" s="1"/>
  <c r="G121" i="4"/>
  <c r="C121" i="6" s="1"/>
  <c r="H121" i="6" s="1"/>
  <c r="G122" i="4"/>
  <c r="C122" i="6" s="1"/>
  <c r="H122" i="6" s="1"/>
  <c r="G123" i="4"/>
  <c r="C123" i="6" s="1"/>
  <c r="H123" i="6" s="1"/>
  <c r="G124" i="4"/>
  <c r="C124" i="6" s="1"/>
  <c r="H124" i="6" s="1"/>
  <c r="G125" i="4"/>
  <c r="C125" i="6" s="1"/>
  <c r="H125" i="6" s="1"/>
  <c r="G126" i="4"/>
  <c r="C126" i="6" s="1"/>
  <c r="H126" i="6" s="1"/>
  <c r="G127" i="4"/>
  <c r="C127" i="6" s="1"/>
  <c r="H127" i="6" s="1"/>
  <c r="G128" i="4"/>
  <c r="C128" i="6" s="1"/>
  <c r="H128" i="6" s="1"/>
  <c r="G129" i="4"/>
  <c r="C129" i="6" s="1"/>
  <c r="H129" i="6" s="1"/>
  <c r="G130" i="4"/>
  <c r="C130" i="6" s="1"/>
  <c r="H130" i="6" s="1"/>
  <c r="G131" i="4"/>
  <c r="C131" i="6" s="1"/>
  <c r="H131" i="6" s="1"/>
  <c r="G132" i="4"/>
  <c r="C132" i="6" s="1"/>
  <c r="H132" i="6" s="1"/>
  <c r="G133" i="4"/>
  <c r="C133" i="6" s="1"/>
  <c r="H133" i="6" s="1"/>
  <c r="G134" i="4"/>
  <c r="C134" i="6" s="1"/>
  <c r="H134" i="6" s="1"/>
  <c r="G135" i="4"/>
  <c r="C135" i="6" s="1"/>
  <c r="H135" i="6" s="1"/>
  <c r="G136" i="4"/>
  <c r="C136" i="6" s="1"/>
  <c r="H136" i="6" s="1"/>
  <c r="G137" i="4"/>
  <c r="C137" i="6" s="1"/>
  <c r="H137" i="6" s="1"/>
  <c r="G138" i="4"/>
  <c r="C138" i="6" s="1"/>
  <c r="H138" i="6" s="1"/>
  <c r="G139" i="4"/>
  <c r="C139" i="6" s="1"/>
  <c r="H139" i="6" s="1"/>
  <c r="G140" i="4"/>
  <c r="C140" i="6" s="1"/>
  <c r="H140" i="6" s="1"/>
  <c r="G141" i="4"/>
  <c r="C141" i="6" s="1"/>
  <c r="H141" i="6" s="1"/>
  <c r="G142" i="4"/>
  <c r="C142" i="6" s="1"/>
  <c r="H142" i="6" s="1"/>
  <c r="G143" i="4"/>
  <c r="C143" i="6" s="1"/>
  <c r="H143" i="6" s="1"/>
  <c r="G144" i="4"/>
  <c r="C144" i="6" s="1"/>
  <c r="H144" i="6" s="1"/>
  <c r="G145" i="4"/>
  <c r="C145" i="6" s="1"/>
  <c r="H145" i="6" s="1"/>
  <c r="G146" i="4"/>
  <c r="C146" i="6" s="1"/>
  <c r="H146" i="6" s="1"/>
  <c r="G147" i="4"/>
  <c r="C147" i="6" s="1"/>
  <c r="H147" i="6" s="1"/>
  <c r="G148" i="4"/>
  <c r="C148" i="6" s="1"/>
  <c r="H148" i="6" s="1"/>
  <c r="G149" i="4"/>
  <c r="C149" i="6" s="1"/>
  <c r="H149" i="6" s="1"/>
  <c r="G150" i="4"/>
  <c r="C150" i="6" s="1"/>
  <c r="H150" i="6" s="1"/>
  <c r="G151" i="4"/>
  <c r="C151" i="6" s="1"/>
  <c r="H151" i="6" s="1"/>
  <c r="G152" i="4"/>
  <c r="C152" i="6" s="1"/>
  <c r="H152" i="6" s="1"/>
  <c r="G153" i="4"/>
  <c r="C153" i="6" s="1"/>
  <c r="H153" i="6" s="1"/>
  <c r="G154" i="4"/>
  <c r="C154" i="6" s="1"/>
  <c r="H154" i="6" s="1"/>
  <c r="G155" i="4"/>
  <c r="C155" i="6" s="1"/>
  <c r="H155" i="6" s="1"/>
  <c r="G156" i="4"/>
  <c r="C156" i="6" s="1"/>
  <c r="H156" i="6" s="1"/>
  <c r="G157" i="4"/>
  <c r="C157" i="6" s="1"/>
  <c r="H157" i="6" s="1"/>
  <c r="G158" i="4"/>
  <c r="C158" i="6" s="1"/>
  <c r="H158" i="6" s="1"/>
  <c r="G159" i="4"/>
  <c r="C159" i="6" s="1"/>
  <c r="H159" i="6" s="1"/>
  <c r="G160" i="4"/>
  <c r="C160" i="6" s="1"/>
  <c r="H160" i="6" s="1"/>
  <c r="G161" i="4"/>
  <c r="C161" i="6" s="1"/>
  <c r="H161" i="6" s="1"/>
  <c r="G162" i="4"/>
  <c r="C162" i="6" s="1"/>
  <c r="H162" i="6" s="1"/>
  <c r="G163" i="4"/>
  <c r="C163" i="6" s="1"/>
  <c r="H163" i="6" s="1"/>
  <c r="G164" i="4"/>
  <c r="C164" i="6" s="1"/>
  <c r="H164" i="6" s="1"/>
  <c r="G165" i="4"/>
  <c r="C165" i="6" s="1"/>
  <c r="H165" i="6" s="1"/>
  <c r="G166" i="4"/>
  <c r="C166" i="6" s="1"/>
  <c r="H166" i="6" s="1"/>
  <c r="G167" i="4"/>
  <c r="C167" i="6" s="1"/>
  <c r="H167" i="6" s="1"/>
  <c r="G168" i="4"/>
  <c r="C168" i="6" s="1"/>
  <c r="H168" i="6" s="1"/>
  <c r="G169" i="4"/>
  <c r="C169" i="6" s="1"/>
  <c r="H169" i="6" s="1"/>
  <c r="G170" i="4"/>
  <c r="C170" i="6" s="1"/>
  <c r="H170" i="6" s="1"/>
  <c r="G171" i="4"/>
  <c r="C171" i="6" s="1"/>
  <c r="H171" i="6" s="1"/>
  <c r="G172" i="4"/>
  <c r="C172" i="6" s="1"/>
  <c r="H172" i="6" s="1"/>
  <c r="G173" i="4"/>
  <c r="C173" i="6" s="1"/>
  <c r="H173" i="6" s="1"/>
  <c r="G174" i="4"/>
  <c r="C174" i="6" s="1"/>
  <c r="H174" i="6" s="1"/>
  <c r="G175" i="4"/>
  <c r="C175" i="6" s="1"/>
  <c r="H175" i="6" s="1"/>
  <c r="G176" i="4"/>
  <c r="C176" i="6" s="1"/>
  <c r="H176" i="6" s="1"/>
  <c r="G177" i="4"/>
  <c r="C177" i="6" s="1"/>
  <c r="H177" i="6" s="1"/>
  <c r="G178" i="4"/>
  <c r="C178" i="6" s="1"/>
  <c r="H178" i="6" s="1"/>
  <c r="G179" i="4"/>
  <c r="C179" i="6" s="1"/>
  <c r="H179" i="6" s="1"/>
  <c r="G180" i="4"/>
  <c r="C180" i="6" s="1"/>
  <c r="H180" i="6" s="1"/>
  <c r="G181" i="4"/>
  <c r="C181" i="6" s="1"/>
  <c r="H181" i="6" s="1"/>
  <c r="G182" i="4"/>
  <c r="C182" i="6" s="1"/>
  <c r="H182" i="6" s="1"/>
  <c r="G183" i="4"/>
  <c r="C183" i="6" s="1"/>
  <c r="H183" i="6" s="1"/>
  <c r="G184" i="4"/>
  <c r="C184" i="6" s="1"/>
  <c r="H184" i="6" s="1"/>
  <c r="G185" i="4"/>
  <c r="C185" i="6" s="1"/>
  <c r="H185" i="6" s="1"/>
  <c r="G186" i="4"/>
  <c r="C186" i="6" s="1"/>
  <c r="H186" i="6" s="1"/>
  <c r="G187" i="4"/>
  <c r="C187" i="6" s="1"/>
  <c r="H187" i="6" s="1"/>
  <c r="G188" i="4"/>
  <c r="C188" i="6" s="1"/>
  <c r="H188" i="6" s="1"/>
  <c r="G189" i="4"/>
  <c r="C189" i="6" s="1"/>
  <c r="H189" i="6" s="1"/>
  <c r="G190" i="4"/>
  <c r="C190" i="6" s="1"/>
  <c r="H190" i="6" s="1"/>
  <c r="G191" i="4"/>
  <c r="C191" i="6" s="1"/>
  <c r="H191" i="6" s="1"/>
  <c r="G192" i="4"/>
  <c r="C192" i="6" s="1"/>
  <c r="H192" i="6" s="1"/>
  <c r="G193" i="4"/>
  <c r="C193" i="6" s="1"/>
  <c r="H193" i="6" s="1"/>
  <c r="G194" i="4"/>
  <c r="C194" i="6" s="1"/>
  <c r="H194" i="6" s="1"/>
  <c r="G195" i="4"/>
  <c r="C195" i="6" s="1"/>
  <c r="H195" i="6" s="1"/>
  <c r="G196" i="4"/>
  <c r="C196" i="6" s="1"/>
  <c r="H196" i="6" s="1"/>
  <c r="G197" i="4"/>
  <c r="C197" i="6" s="1"/>
  <c r="H197" i="6" s="1"/>
  <c r="G198" i="4"/>
  <c r="C198" i="6" s="1"/>
  <c r="H198" i="6" s="1"/>
  <c r="G199" i="4"/>
  <c r="C199" i="6" s="1"/>
  <c r="H199" i="6" s="1"/>
  <c r="G200" i="4"/>
  <c r="C200" i="6" s="1"/>
  <c r="H200" i="6" s="1"/>
  <c r="G201" i="4"/>
  <c r="C201" i="6" s="1"/>
  <c r="H201" i="6" s="1"/>
  <c r="G202" i="4"/>
  <c r="C202" i="6" s="1"/>
  <c r="H202" i="6" s="1"/>
  <c r="G203" i="4"/>
  <c r="C203" i="6" s="1"/>
  <c r="H203" i="6" s="1"/>
  <c r="G204" i="4"/>
  <c r="C204" i="6" s="1"/>
  <c r="H204" i="6" s="1"/>
  <c r="G205" i="4"/>
  <c r="C205" i="6" s="1"/>
  <c r="H205" i="6" s="1"/>
  <c r="G206" i="4"/>
  <c r="C206" i="6" s="1"/>
  <c r="H206" i="6" s="1"/>
  <c r="G207" i="4"/>
  <c r="C207" i="6" s="1"/>
  <c r="H207" i="6" s="1"/>
  <c r="G208" i="4"/>
  <c r="C208" i="6" s="1"/>
  <c r="H208" i="6" s="1"/>
  <c r="G209" i="4"/>
  <c r="C209" i="6" s="1"/>
  <c r="H209" i="6" s="1"/>
  <c r="G210" i="4"/>
  <c r="C210" i="6" s="1"/>
  <c r="H210" i="6" s="1"/>
  <c r="G211" i="4"/>
  <c r="C211" i="6" s="1"/>
  <c r="H211" i="6" s="1"/>
  <c r="G212" i="4"/>
  <c r="C212" i="6" s="1"/>
  <c r="H212" i="6" s="1"/>
  <c r="G213" i="4"/>
  <c r="C213" i="6" s="1"/>
  <c r="H213" i="6" s="1"/>
  <c r="G214" i="4"/>
  <c r="C214" i="6" s="1"/>
  <c r="H214" i="6" s="1"/>
  <c r="G215" i="4"/>
  <c r="C215" i="6" s="1"/>
  <c r="H215" i="6" s="1"/>
  <c r="G216" i="4"/>
  <c r="C216" i="6" s="1"/>
  <c r="H216" i="6" s="1"/>
  <c r="G217" i="4"/>
  <c r="C217" i="6" s="1"/>
  <c r="H217" i="6" s="1"/>
  <c r="G218" i="4"/>
  <c r="C218" i="6" s="1"/>
  <c r="H218" i="6" s="1"/>
  <c r="G219" i="4"/>
  <c r="C219" i="6" s="1"/>
  <c r="H219" i="6" s="1"/>
  <c r="G220" i="4"/>
  <c r="C220" i="6" s="1"/>
  <c r="H220" i="6" s="1"/>
  <c r="G221" i="4"/>
  <c r="C221" i="6" s="1"/>
  <c r="H221" i="6" s="1"/>
  <c r="G222" i="4"/>
  <c r="C222" i="6" s="1"/>
  <c r="H222" i="6" s="1"/>
  <c r="G223" i="4"/>
  <c r="C223" i="6" s="1"/>
  <c r="H223" i="6" s="1"/>
  <c r="G224" i="4"/>
  <c r="C224" i="6" s="1"/>
  <c r="H224" i="6" s="1"/>
  <c r="G225" i="4"/>
  <c r="C225" i="6" s="1"/>
  <c r="H225" i="6" s="1"/>
  <c r="G226" i="4"/>
  <c r="C226" i="6" s="1"/>
  <c r="H226" i="6" s="1"/>
  <c r="G227" i="4"/>
  <c r="C227" i="6" s="1"/>
  <c r="H227" i="6" s="1"/>
  <c r="G228" i="4"/>
  <c r="C228" i="6" s="1"/>
  <c r="H228" i="6" s="1"/>
  <c r="G229" i="4"/>
  <c r="C229" i="6" s="1"/>
  <c r="H229" i="6" s="1"/>
  <c r="G230" i="4"/>
  <c r="C230" i="6" s="1"/>
  <c r="H230" i="6" s="1"/>
  <c r="G231" i="4"/>
  <c r="C231" i="6" s="1"/>
  <c r="H231" i="6" s="1"/>
  <c r="G232" i="4"/>
  <c r="C232" i="6" s="1"/>
  <c r="H232" i="6" s="1"/>
  <c r="G233" i="4"/>
  <c r="C233" i="6" s="1"/>
  <c r="H233" i="6" s="1"/>
  <c r="G234" i="4"/>
  <c r="C234" i="6" s="1"/>
  <c r="H234" i="6" s="1"/>
  <c r="G235" i="4"/>
  <c r="C235" i="6" s="1"/>
  <c r="H235" i="6" s="1"/>
  <c r="G236" i="4"/>
  <c r="C236" i="6" s="1"/>
  <c r="H236" i="6" s="1"/>
  <c r="G237" i="4"/>
  <c r="C237" i="6" s="1"/>
  <c r="H237" i="6" s="1"/>
  <c r="G238" i="4"/>
  <c r="C238" i="6" s="1"/>
  <c r="H238" i="6" s="1"/>
  <c r="G239" i="4"/>
  <c r="C239" i="6" s="1"/>
  <c r="H239" i="6" s="1"/>
  <c r="G240" i="4"/>
  <c r="C240" i="6" s="1"/>
  <c r="H240" i="6" s="1"/>
  <c r="G241" i="4"/>
  <c r="C241" i="6" s="1"/>
  <c r="H241" i="6" s="1"/>
  <c r="G242" i="4"/>
  <c r="C242" i="6" s="1"/>
  <c r="H242" i="6" s="1"/>
  <c r="G243" i="4"/>
  <c r="C243" i="6" s="1"/>
  <c r="H243" i="6" s="1"/>
  <c r="G244" i="4"/>
  <c r="C244" i="6" s="1"/>
  <c r="H244" i="6" s="1"/>
  <c r="G245" i="4"/>
  <c r="C245" i="6" s="1"/>
  <c r="H245" i="6" s="1"/>
  <c r="G246" i="4"/>
  <c r="C246" i="6" s="1"/>
  <c r="H246" i="6" s="1"/>
  <c r="G247" i="4"/>
  <c r="C247" i="6" s="1"/>
  <c r="H247" i="6" s="1"/>
  <c r="G248" i="4"/>
  <c r="C248" i="6" s="1"/>
  <c r="H248" i="6" s="1"/>
  <c r="G249" i="4"/>
  <c r="C249" i="6" s="1"/>
  <c r="H249" i="6" s="1"/>
  <c r="G250" i="4"/>
  <c r="C250" i="6" s="1"/>
  <c r="H250" i="6" s="1"/>
  <c r="G251" i="4"/>
  <c r="C251" i="6" s="1"/>
  <c r="H251" i="6" s="1"/>
  <c r="G252" i="4"/>
  <c r="C252" i="6" s="1"/>
  <c r="H252" i="6" s="1"/>
  <c r="G253" i="4"/>
  <c r="C253" i="6" s="1"/>
  <c r="H253" i="6" s="1"/>
  <c r="G254" i="4"/>
  <c r="C254" i="6" s="1"/>
  <c r="H254" i="6" s="1"/>
  <c r="G255" i="4"/>
  <c r="C255" i="6" s="1"/>
  <c r="H255" i="6" s="1"/>
  <c r="G256" i="4"/>
  <c r="C256" i="6" s="1"/>
  <c r="H256" i="6" s="1"/>
  <c r="G257" i="4"/>
  <c r="C257" i="6" s="1"/>
  <c r="H257" i="6" s="1"/>
  <c r="G258" i="4"/>
  <c r="C258" i="6" s="1"/>
  <c r="H258" i="6" s="1"/>
  <c r="G259" i="4"/>
  <c r="C259" i="6" s="1"/>
  <c r="H259" i="6" s="1"/>
  <c r="G260" i="4"/>
  <c r="C260" i="6" s="1"/>
  <c r="H260" i="6" s="1"/>
  <c r="G261" i="4"/>
  <c r="C261" i="6" s="1"/>
  <c r="H261" i="6" s="1"/>
  <c r="G262" i="4"/>
  <c r="C262" i="6" s="1"/>
  <c r="H262" i="6" s="1"/>
  <c r="G263" i="4"/>
  <c r="C263" i="6" s="1"/>
  <c r="H263" i="6" s="1"/>
  <c r="G264" i="4"/>
  <c r="C264" i="6" s="1"/>
  <c r="H264" i="6" s="1"/>
  <c r="G265" i="4"/>
  <c r="C265" i="6" s="1"/>
  <c r="H265" i="6" s="1"/>
  <c r="G266" i="4"/>
  <c r="C266" i="6" s="1"/>
  <c r="H266" i="6" s="1"/>
  <c r="G267" i="4"/>
  <c r="C267" i="6" s="1"/>
  <c r="H267" i="6" s="1"/>
  <c r="G268" i="4"/>
  <c r="C268" i="6" s="1"/>
  <c r="H268" i="6" s="1"/>
  <c r="G269" i="4"/>
  <c r="C269" i="6" s="1"/>
  <c r="H269" i="6" s="1"/>
  <c r="G270" i="4"/>
  <c r="C270" i="6" s="1"/>
  <c r="H270" i="6" s="1"/>
  <c r="G271" i="4"/>
  <c r="C271" i="6" s="1"/>
  <c r="H271" i="6" s="1"/>
  <c r="G272" i="4"/>
  <c r="C272" i="6" s="1"/>
  <c r="H272" i="6" s="1"/>
  <c r="G273" i="4"/>
  <c r="C273" i="6" s="1"/>
  <c r="H273" i="6" s="1"/>
  <c r="G274" i="4"/>
  <c r="C274" i="6" s="1"/>
  <c r="H274" i="6" s="1"/>
  <c r="G275" i="4"/>
  <c r="C275" i="6" s="1"/>
  <c r="H275" i="6" s="1"/>
  <c r="G276" i="4"/>
  <c r="C276" i="6" s="1"/>
  <c r="H276" i="6" s="1"/>
  <c r="G277" i="4"/>
  <c r="C277" i="6" s="1"/>
  <c r="H277" i="6" s="1"/>
  <c r="G278" i="4"/>
  <c r="C278" i="6" s="1"/>
  <c r="H278" i="6" s="1"/>
  <c r="G279" i="4"/>
  <c r="C279" i="6" s="1"/>
  <c r="H279" i="6" s="1"/>
  <c r="G280" i="4"/>
  <c r="C280" i="6" s="1"/>
  <c r="H280" i="6" s="1"/>
  <c r="G281" i="4"/>
  <c r="C281" i="6" s="1"/>
  <c r="H281" i="6" s="1"/>
  <c r="G282" i="4"/>
  <c r="C282" i="6" s="1"/>
  <c r="H282" i="6" s="1"/>
  <c r="G283" i="4"/>
  <c r="C283" i="6" s="1"/>
  <c r="H283" i="6" s="1"/>
  <c r="G284" i="4"/>
  <c r="C284" i="6" s="1"/>
  <c r="H284" i="6" s="1"/>
  <c r="G285" i="4"/>
  <c r="C285" i="6" s="1"/>
  <c r="H285" i="6" s="1"/>
  <c r="G286" i="4"/>
  <c r="C286" i="6" s="1"/>
  <c r="H286" i="6" s="1"/>
  <c r="G287" i="4"/>
  <c r="C287" i="6" s="1"/>
  <c r="H287" i="6" s="1"/>
  <c r="G288" i="4"/>
  <c r="C288" i="6" s="1"/>
  <c r="H288" i="6" s="1"/>
  <c r="G289" i="4"/>
  <c r="C289" i="6" s="1"/>
  <c r="H289" i="6" s="1"/>
  <c r="G290" i="4"/>
  <c r="C290" i="6" s="1"/>
  <c r="H290" i="6" s="1"/>
  <c r="G291" i="4"/>
  <c r="C291" i="6" s="1"/>
  <c r="H291" i="6" s="1"/>
  <c r="G292" i="4"/>
  <c r="C292" i="6" s="1"/>
  <c r="H292" i="6" s="1"/>
  <c r="G293" i="4"/>
  <c r="C293" i="6" s="1"/>
  <c r="H293" i="6" s="1"/>
  <c r="G294" i="4"/>
  <c r="C294" i="6" s="1"/>
  <c r="H294" i="6" s="1"/>
  <c r="G295" i="4"/>
  <c r="C295" i="6" s="1"/>
  <c r="H295" i="6" s="1"/>
  <c r="G296" i="4"/>
  <c r="C296" i="6" s="1"/>
  <c r="H296" i="6" s="1"/>
  <c r="G297" i="4"/>
  <c r="C297" i="6" s="1"/>
  <c r="H297" i="6" s="1"/>
  <c r="G298" i="4"/>
  <c r="C298" i="6" s="1"/>
  <c r="H298" i="6" s="1"/>
  <c r="G299" i="4"/>
  <c r="C299" i="6" s="1"/>
  <c r="H299" i="6" s="1"/>
  <c r="G300" i="4"/>
  <c r="C300" i="6" s="1"/>
  <c r="H300" i="6" s="1"/>
  <c r="G301" i="4"/>
  <c r="C301" i="6" s="1"/>
  <c r="H301" i="6" s="1"/>
  <c r="G302" i="4"/>
  <c r="C302" i="6" s="1"/>
  <c r="H302" i="6" s="1"/>
  <c r="G303" i="4"/>
  <c r="C303" i="6" s="1"/>
  <c r="H303" i="6" s="1"/>
  <c r="G304" i="4"/>
  <c r="C304" i="6" s="1"/>
  <c r="H304" i="6" s="1"/>
  <c r="G305" i="4"/>
  <c r="C305" i="6" s="1"/>
  <c r="H305" i="6" s="1"/>
  <c r="G306" i="4"/>
  <c r="C306" i="6" s="1"/>
  <c r="H306" i="6" s="1"/>
  <c r="G307" i="4"/>
  <c r="C307" i="6" s="1"/>
  <c r="H307" i="6" s="1"/>
  <c r="G308" i="4"/>
  <c r="C308" i="6" s="1"/>
  <c r="H308" i="6" s="1"/>
  <c r="G309" i="4"/>
  <c r="C309" i="6" s="1"/>
  <c r="H309" i="6" s="1"/>
  <c r="G310" i="4"/>
  <c r="C310" i="6" s="1"/>
  <c r="H310" i="6" s="1"/>
  <c r="G311" i="4"/>
  <c r="C311" i="6" s="1"/>
  <c r="H311" i="6" s="1"/>
  <c r="G312" i="4"/>
  <c r="C312" i="6" s="1"/>
  <c r="H312" i="6" s="1"/>
  <c r="G313" i="4"/>
  <c r="C313" i="6" s="1"/>
  <c r="H313" i="6" s="1"/>
  <c r="G314" i="4"/>
  <c r="C314" i="6" s="1"/>
  <c r="H314" i="6" s="1"/>
  <c r="G315" i="4"/>
  <c r="C315" i="6" s="1"/>
  <c r="H315" i="6" s="1"/>
  <c r="G316" i="4"/>
  <c r="C316" i="6" s="1"/>
  <c r="H316" i="6" s="1"/>
  <c r="G317" i="4"/>
  <c r="C317" i="6" s="1"/>
  <c r="H317" i="6" s="1"/>
  <c r="G318" i="4"/>
  <c r="C318" i="6" s="1"/>
  <c r="H318" i="6" s="1"/>
  <c r="G319" i="4"/>
  <c r="C319" i="6" s="1"/>
  <c r="H319" i="6" s="1"/>
  <c r="G320" i="4"/>
  <c r="C320" i="6" s="1"/>
  <c r="H320" i="6" s="1"/>
  <c r="G321" i="4"/>
  <c r="C321" i="6" s="1"/>
  <c r="H321" i="6" s="1"/>
  <c r="G322" i="4"/>
  <c r="C322" i="6" s="1"/>
  <c r="H322" i="6" s="1"/>
  <c r="G323" i="4"/>
  <c r="C323" i="6" s="1"/>
  <c r="H323" i="6" s="1"/>
  <c r="G324" i="4"/>
  <c r="C324" i="6" s="1"/>
  <c r="H324" i="6" s="1"/>
  <c r="G325" i="4"/>
  <c r="C325" i="6" s="1"/>
  <c r="H325" i="6" s="1"/>
  <c r="G326" i="4"/>
  <c r="C326" i="6" s="1"/>
  <c r="H326" i="6" s="1"/>
  <c r="G327" i="4"/>
  <c r="C327" i="6" s="1"/>
  <c r="H327" i="6" s="1"/>
  <c r="G328" i="4"/>
  <c r="C328" i="6" s="1"/>
  <c r="H328" i="6" s="1"/>
  <c r="G329" i="4"/>
  <c r="C329" i="6" s="1"/>
  <c r="H329" i="6" s="1"/>
  <c r="G330" i="4"/>
  <c r="C330" i="6" s="1"/>
  <c r="H330" i="6" s="1"/>
  <c r="G331" i="4"/>
  <c r="C331" i="6" s="1"/>
  <c r="H331" i="6" s="1"/>
  <c r="G332" i="4"/>
  <c r="C332" i="6" s="1"/>
  <c r="H332" i="6" s="1"/>
  <c r="G333" i="4"/>
  <c r="C333" i="6" s="1"/>
  <c r="H333" i="6" s="1"/>
  <c r="G334" i="4"/>
  <c r="C334" i="6" s="1"/>
  <c r="H334" i="6" s="1"/>
  <c r="G335" i="4"/>
  <c r="C335" i="6" s="1"/>
  <c r="H335" i="6" s="1"/>
  <c r="G336" i="4"/>
  <c r="C336" i="6" s="1"/>
  <c r="H336" i="6" s="1"/>
  <c r="G337" i="4"/>
  <c r="C337" i="6" s="1"/>
  <c r="H337" i="6" s="1"/>
  <c r="G338" i="4"/>
  <c r="C338" i="6" s="1"/>
  <c r="H338" i="6" s="1"/>
  <c r="G339" i="4"/>
  <c r="C339" i="6" s="1"/>
  <c r="H339" i="6" s="1"/>
  <c r="G340" i="4"/>
  <c r="C340" i="6" s="1"/>
  <c r="H340" i="6" s="1"/>
  <c r="G341" i="4"/>
  <c r="C341" i="6" s="1"/>
  <c r="H341" i="6" s="1"/>
  <c r="G342" i="4"/>
  <c r="C342" i="6" s="1"/>
  <c r="H342" i="6" s="1"/>
  <c r="G343" i="4"/>
  <c r="C343" i="6" s="1"/>
  <c r="H343" i="6" s="1"/>
  <c r="G344" i="4"/>
  <c r="C344" i="6" s="1"/>
  <c r="H344" i="6" s="1"/>
  <c r="G345" i="4"/>
  <c r="C345" i="6" s="1"/>
  <c r="H345" i="6" s="1"/>
  <c r="G346" i="4"/>
  <c r="C346" i="6" s="1"/>
  <c r="H346" i="6" s="1"/>
  <c r="G347" i="4"/>
  <c r="C347" i="6" s="1"/>
  <c r="H347" i="6" s="1"/>
  <c r="G348" i="4"/>
  <c r="C348" i="6" s="1"/>
  <c r="H348" i="6" s="1"/>
  <c r="G349" i="4"/>
  <c r="C349" i="6" s="1"/>
  <c r="H349" i="6" s="1"/>
  <c r="G350" i="4"/>
  <c r="C350" i="6" s="1"/>
  <c r="H350" i="6" s="1"/>
  <c r="G351" i="4"/>
  <c r="C351" i="6" s="1"/>
  <c r="H351" i="6" s="1"/>
  <c r="G352" i="4"/>
  <c r="C352" i="6" s="1"/>
  <c r="H352" i="6" s="1"/>
  <c r="G353" i="4"/>
  <c r="C353" i="6" s="1"/>
  <c r="H353" i="6" s="1"/>
  <c r="G354" i="4"/>
  <c r="C354" i="6" s="1"/>
  <c r="H354" i="6" s="1"/>
  <c r="G355" i="4"/>
  <c r="C355" i="6" s="1"/>
  <c r="H355" i="6" s="1"/>
  <c r="G356" i="4"/>
  <c r="C356" i="6" s="1"/>
  <c r="H356" i="6" s="1"/>
  <c r="G357" i="4"/>
  <c r="C357" i="6" s="1"/>
  <c r="H357" i="6" s="1"/>
  <c r="G358" i="4"/>
  <c r="C358" i="6" s="1"/>
  <c r="H358" i="6" s="1"/>
  <c r="G359" i="4"/>
  <c r="C359" i="6" s="1"/>
  <c r="H359" i="6" s="1"/>
  <c r="G360" i="4"/>
  <c r="C360" i="6" s="1"/>
  <c r="H360" i="6" s="1"/>
  <c r="G361" i="4"/>
  <c r="C361" i="6" s="1"/>
  <c r="H361" i="6" s="1"/>
  <c r="G362" i="4"/>
  <c r="C362" i="6" s="1"/>
  <c r="H362" i="6" s="1"/>
  <c r="G363" i="4"/>
  <c r="C363" i="6" s="1"/>
  <c r="H363" i="6" s="1"/>
  <c r="G364" i="4"/>
  <c r="C364" i="6" s="1"/>
  <c r="H364" i="6" s="1"/>
  <c r="G365" i="4"/>
  <c r="C365" i="6" s="1"/>
  <c r="H365" i="6" s="1"/>
  <c r="G366" i="4"/>
  <c r="C366" i="6" s="1"/>
  <c r="H366" i="6" s="1"/>
  <c r="G367" i="4"/>
  <c r="C367" i="6" s="1"/>
  <c r="H367" i="6" s="1"/>
  <c r="G368" i="4"/>
  <c r="C368" i="6" s="1"/>
  <c r="H368" i="6" s="1"/>
  <c r="G369" i="4"/>
  <c r="C369" i="6" s="1"/>
  <c r="H369" i="6" s="1"/>
  <c r="G370" i="4"/>
  <c r="C370" i="6" s="1"/>
  <c r="H370" i="6" s="1"/>
  <c r="G371" i="4"/>
  <c r="C371" i="6" s="1"/>
  <c r="H371" i="6" s="1"/>
  <c r="G372" i="4"/>
  <c r="C372" i="6" s="1"/>
  <c r="H372" i="6" s="1"/>
  <c r="G373" i="4"/>
  <c r="C373" i="6" s="1"/>
  <c r="H373" i="6" s="1"/>
  <c r="G374" i="4"/>
  <c r="C374" i="6" s="1"/>
  <c r="H374" i="6" s="1"/>
  <c r="G375" i="4"/>
  <c r="C375" i="6" s="1"/>
  <c r="H375" i="6" s="1"/>
  <c r="G376" i="4"/>
  <c r="C376" i="6" s="1"/>
  <c r="H376" i="6" s="1"/>
  <c r="G377" i="4"/>
  <c r="C377" i="6" s="1"/>
  <c r="H377" i="6" s="1"/>
  <c r="G378" i="4"/>
  <c r="C378" i="6" s="1"/>
  <c r="H378" i="6" s="1"/>
  <c r="G379" i="4"/>
  <c r="C379" i="6" s="1"/>
  <c r="H379" i="6" s="1"/>
  <c r="G380" i="4"/>
  <c r="C380" i="6" s="1"/>
  <c r="H380" i="6" s="1"/>
  <c r="G381" i="4"/>
  <c r="C381" i="6" s="1"/>
  <c r="H381" i="6" s="1"/>
  <c r="G382" i="4"/>
  <c r="C382" i="6" s="1"/>
  <c r="H382" i="6" s="1"/>
  <c r="G383" i="4"/>
  <c r="C383" i="6" s="1"/>
  <c r="H383" i="6" s="1"/>
  <c r="G384" i="4"/>
  <c r="C384" i="6" s="1"/>
  <c r="H384" i="6" s="1"/>
  <c r="G385" i="4"/>
  <c r="C385" i="6" s="1"/>
  <c r="H385" i="6" s="1"/>
  <c r="G386" i="4"/>
  <c r="C386" i="6" s="1"/>
  <c r="H386" i="6" s="1"/>
  <c r="G387" i="4"/>
  <c r="C387" i="6" s="1"/>
  <c r="H387" i="6" s="1"/>
  <c r="G388" i="4"/>
  <c r="C388" i="6" s="1"/>
  <c r="H388" i="6" s="1"/>
  <c r="G389" i="4"/>
  <c r="C389" i="6" s="1"/>
  <c r="H389" i="6" s="1"/>
  <c r="G390" i="4"/>
  <c r="C390" i="6" s="1"/>
  <c r="H390" i="6" s="1"/>
  <c r="G391" i="4"/>
  <c r="C391" i="6" s="1"/>
  <c r="H391" i="6" s="1"/>
  <c r="G392" i="4"/>
  <c r="C392" i="6" s="1"/>
  <c r="H392" i="6" s="1"/>
  <c r="G393" i="4"/>
  <c r="C393" i="6" s="1"/>
  <c r="H393" i="6" s="1"/>
  <c r="G394" i="4"/>
  <c r="C394" i="6" s="1"/>
  <c r="H394" i="6" s="1"/>
  <c r="G395" i="4"/>
  <c r="C395" i="6" s="1"/>
  <c r="H395" i="6" s="1"/>
  <c r="G396" i="4"/>
  <c r="C396" i="6" s="1"/>
  <c r="H396" i="6" s="1"/>
  <c r="G397" i="4"/>
  <c r="C397" i="6" s="1"/>
  <c r="H397" i="6" s="1"/>
  <c r="G398" i="4"/>
  <c r="C398" i="6" s="1"/>
  <c r="H398" i="6" s="1"/>
  <c r="G399" i="4"/>
  <c r="C399" i="6" s="1"/>
  <c r="H399" i="6" s="1"/>
  <c r="G400" i="4"/>
  <c r="C400" i="6" s="1"/>
  <c r="H400" i="6" s="1"/>
  <c r="G401" i="4"/>
  <c r="C401" i="6" s="1"/>
  <c r="H401" i="6" s="1"/>
  <c r="G402" i="4"/>
  <c r="C402" i="6" s="1"/>
  <c r="H402" i="6" s="1"/>
  <c r="G403" i="4"/>
  <c r="C403" i="6" s="1"/>
  <c r="H403" i="6" s="1"/>
  <c r="G404" i="4"/>
  <c r="C404" i="6" s="1"/>
  <c r="H404" i="6" s="1"/>
  <c r="G405" i="4"/>
  <c r="C405" i="6" s="1"/>
  <c r="H405" i="6" s="1"/>
  <c r="G406" i="4"/>
  <c r="C406" i="6" s="1"/>
  <c r="H406" i="6" s="1"/>
  <c r="G407" i="4"/>
  <c r="C407" i="6" s="1"/>
  <c r="H407" i="6" s="1"/>
  <c r="G408" i="4"/>
  <c r="C408" i="6" s="1"/>
  <c r="H408" i="6" s="1"/>
  <c r="G409" i="4"/>
  <c r="C409" i="6" s="1"/>
  <c r="H409" i="6" s="1"/>
  <c r="G410" i="4"/>
  <c r="C410" i="6" s="1"/>
  <c r="H410" i="6" s="1"/>
  <c r="G411" i="4"/>
  <c r="C411" i="6" s="1"/>
  <c r="H411" i="6" s="1"/>
  <c r="G412" i="4"/>
  <c r="C412" i="6" s="1"/>
  <c r="H412" i="6" s="1"/>
  <c r="G413" i="4"/>
  <c r="C413" i="6" s="1"/>
  <c r="H413" i="6" s="1"/>
  <c r="G414" i="4"/>
  <c r="C414" i="6" s="1"/>
  <c r="H414" i="6" s="1"/>
  <c r="G415" i="4"/>
  <c r="C415" i="6" s="1"/>
  <c r="H415" i="6" s="1"/>
  <c r="G416" i="4"/>
  <c r="C416" i="6" s="1"/>
  <c r="H416" i="6" s="1"/>
  <c r="G417" i="4"/>
  <c r="C417" i="6" s="1"/>
  <c r="H417" i="6" s="1"/>
  <c r="G418" i="4"/>
  <c r="C418" i="6" s="1"/>
  <c r="H418" i="6" s="1"/>
  <c r="G419" i="4"/>
  <c r="C419" i="6" s="1"/>
  <c r="H419" i="6" s="1"/>
  <c r="G420" i="4"/>
  <c r="C420" i="6" s="1"/>
  <c r="H420" i="6" s="1"/>
  <c r="G421" i="4"/>
  <c r="C421" i="6" s="1"/>
  <c r="H421" i="6" s="1"/>
  <c r="G422" i="4"/>
  <c r="C422" i="6" s="1"/>
  <c r="H422" i="6" s="1"/>
  <c r="G423" i="4"/>
  <c r="C423" i="6" s="1"/>
  <c r="H423" i="6" s="1"/>
  <c r="G424" i="4"/>
  <c r="C424" i="6" s="1"/>
  <c r="H424" i="6" s="1"/>
  <c r="G425" i="4"/>
  <c r="C425" i="6" s="1"/>
  <c r="H425" i="6" s="1"/>
  <c r="G426" i="4"/>
  <c r="C426" i="6" s="1"/>
  <c r="H426" i="6" s="1"/>
  <c r="G427" i="4"/>
  <c r="C427" i="6" s="1"/>
  <c r="H427" i="6" s="1"/>
  <c r="G428" i="4"/>
  <c r="C428" i="6" s="1"/>
  <c r="H428" i="6" s="1"/>
  <c r="G429" i="4"/>
  <c r="C429" i="6" s="1"/>
  <c r="H429" i="6" s="1"/>
  <c r="G430" i="4"/>
  <c r="C430" i="6" s="1"/>
  <c r="H430" i="6" s="1"/>
  <c r="G431" i="4"/>
  <c r="C431" i="6" s="1"/>
  <c r="H431" i="6" s="1"/>
  <c r="G432" i="4"/>
  <c r="C432" i="6" s="1"/>
  <c r="H432" i="6" s="1"/>
  <c r="G433" i="4"/>
  <c r="C433" i="6" s="1"/>
  <c r="H433" i="6" s="1"/>
  <c r="G434" i="4"/>
  <c r="C434" i="6" s="1"/>
  <c r="H434" i="6" s="1"/>
  <c r="G435" i="4"/>
  <c r="C435" i="6" s="1"/>
  <c r="H435" i="6" s="1"/>
  <c r="G436" i="4"/>
  <c r="C436" i="6" s="1"/>
  <c r="H436" i="6" s="1"/>
  <c r="G437" i="4"/>
  <c r="C437" i="6" s="1"/>
  <c r="H437" i="6" s="1"/>
  <c r="G438" i="4"/>
  <c r="C438" i="6" s="1"/>
  <c r="H438" i="6" s="1"/>
  <c r="G439" i="4"/>
  <c r="C439" i="6" s="1"/>
  <c r="H439" i="6" s="1"/>
  <c r="G440" i="4"/>
  <c r="C440" i="6" s="1"/>
  <c r="H440" i="6" s="1"/>
  <c r="G441" i="4"/>
  <c r="C441" i="6" s="1"/>
  <c r="H441" i="6" s="1"/>
  <c r="G442" i="4"/>
  <c r="C442" i="6" s="1"/>
  <c r="H442" i="6" s="1"/>
  <c r="G443" i="4"/>
  <c r="C443" i="6" s="1"/>
  <c r="H443" i="6" s="1"/>
  <c r="G444" i="4"/>
  <c r="C444" i="6" s="1"/>
  <c r="H444" i="6" s="1"/>
  <c r="G445" i="4"/>
  <c r="C445" i="6" s="1"/>
  <c r="H445" i="6" s="1"/>
  <c r="G446" i="4"/>
  <c r="C446" i="6" s="1"/>
  <c r="H446" i="6" s="1"/>
  <c r="G447" i="4"/>
  <c r="C447" i="6" s="1"/>
  <c r="H447" i="6" s="1"/>
  <c r="G448" i="4"/>
  <c r="C448" i="6" s="1"/>
  <c r="H448" i="6" s="1"/>
  <c r="G449" i="4"/>
  <c r="C449" i="6" s="1"/>
  <c r="H449" i="6" s="1"/>
  <c r="G450" i="4"/>
  <c r="C450" i="6" s="1"/>
  <c r="H450" i="6" s="1"/>
  <c r="G451" i="4"/>
  <c r="C451" i="6" s="1"/>
  <c r="H451" i="6" s="1"/>
  <c r="G452" i="4"/>
  <c r="C452" i="6" s="1"/>
  <c r="H452" i="6" s="1"/>
  <c r="G453" i="4"/>
  <c r="C453" i="6" s="1"/>
  <c r="H453" i="6" s="1"/>
  <c r="G454" i="4"/>
  <c r="C454" i="6" s="1"/>
  <c r="H454" i="6" s="1"/>
  <c r="G455" i="4"/>
  <c r="C455" i="6" s="1"/>
  <c r="H455" i="6" s="1"/>
  <c r="G456" i="4"/>
  <c r="C456" i="6" s="1"/>
  <c r="H456" i="6" s="1"/>
  <c r="G457" i="4"/>
  <c r="C457" i="6" s="1"/>
  <c r="H457" i="6" s="1"/>
  <c r="G458" i="4"/>
  <c r="C458" i="6" s="1"/>
  <c r="H458" i="6" s="1"/>
  <c r="G459" i="4"/>
  <c r="C459" i="6" s="1"/>
  <c r="H459" i="6" s="1"/>
  <c r="G460" i="4"/>
  <c r="C460" i="6" s="1"/>
  <c r="H460" i="6" s="1"/>
  <c r="G461" i="4"/>
  <c r="C461" i="6" s="1"/>
  <c r="H461" i="6" s="1"/>
  <c r="G462" i="4"/>
  <c r="C462" i="6" s="1"/>
  <c r="H462" i="6" s="1"/>
  <c r="G463" i="4"/>
  <c r="C463" i="6" s="1"/>
  <c r="H463" i="6" s="1"/>
  <c r="G464" i="4"/>
  <c r="C464" i="6" s="1"/>
  <c r="H464" i="6" s="1"/>
  <c r="G465" i="4"/>
  <c r="C465" i="6" s="1"/>
  <c r="H465" i="6" s="1"/>
  <c r="G466" i="4"/>
  <c r="C466" i="6" s="1"/>
  <c r="H466" i="6" s="1"/>
  <c r="G467" i="4"/>
  <c r="C467" i="6" s="1"/>
  <c r="H467" i="6" s="1"/>
  <c r="G468" i="4"/>
  <c r="C468" i="6" s="1"/>
  <c r="H468" i="6" s="1"/>
  <c r="G469" i="4"/>
  <c r="C469" i="6" s="1"/>
  <c r="H469" i="6" s="1"/>
  <c r="G470" i="4"/>
  <c r="C470" i="6" s="1"/>
  <c r="H470" i="6" s="1"/>
  <c r="G471" i="4"/>
  <c r="C471" i="6" s="1"/>
  <c r="H471" i="6" s="1"/>
  <c r="G472" i="4"/>
  <c r="C472" i="6" s="1"/>
  <c r="H472" i="6" s="1"/>
  <c r="G473" i="4"/>
  <c r="C473" i="6" s="1"/>
  <c r="H473" i="6" s="1"/>
  <c r="G474" i="4"/>
  <c r="C474" i="6" s="1"/>
  <c r="H474" i="6" s="1"/>
  <c r="G475" i="4"/>
  <c r="C475" i="6" s="1"/>
  <c r="H475" i="6" s="1"/>
  <c r="G476" i="4"/>
  <c r="C476" i="6" s="1"/>
  <c r="H476" i="6" s="1"/>
  <c r="G477" i="4"/>
  <c r="C477" i="6" s="1"/>
  <c r="H477" i="6" s="1"/>
  <c r="G478" i="4"/>
  <c r="C478" i="6" s="1"/>
  <c r="H478" i="6" s="1"/>
  <c r="G479" i="4"/>
  <c r="C479" i="6" s="1"/>
  <c r="H479" i="6" s="1"/>
  <c r="G480" i="4"/>
  <c r="C480" i="6" s="1"/>
  <c r="H480" i="6" s="1"/>
  <c r="G481" i="4"/>
  <c r="C481" i="6" s="1"/>
  <c r="H481" i="6" s="1"/>
  <c r="G482" i="4"/>
  <c r="C482" i="6" s="1"/>
  <c r="H482" i="6" s="1"/>
  <c r="G483" i="4"/>
  <c r="C483" i="6" s="1"/>
  <c r="H483" i="6" s="1"/>
  <c r="G484" i="4"/>
  <c r="C484" i="6" s="1"/>
  <c r="H484" i="6" s="1"/>
  <c r="G485" i="4"/>
  <c r="C485" i="6" s="1"/>
  <c r="H485" i="6" s="1"/>
  <c r="G486" i="4"/>
  <c r="C486" i="6" s="1"/>
  <c r="H486" i="6" s="1"/>
  <c r="G487" i="4"/>
  <c r="C487" i="6" s="1"/>
  <c r="H487" i="6" s="1"/>
  <c r="G488" i="4"/>
  <c r="C488" i="6" s="1"/>
  <c r="H488" i="6" s="1"/>
  <c r="G489" i="4"/>
  <c r="C489" i="6" s="1"/>
  <c r="H489" i="6" s="1"/>
  <c r="G490" i="4"/>
  <c r="C490" i="6" s="1"/>
  <c r="H490" i="6" s="1"/>
  <c r="G491" i="4"/>
  <c r="C491" i="6" s="1"/>
  <c r="H491" i="6" s="1"/>
  <c r="G492" i="4"/>
  <c r="C492" i="6" s="1"/>
  <c r="H492" i="6" s="1"/>
  <c r="G493" i="4"/>
  <c r="C493" i="6" s="1"/>
  <c r="H493" i="6" s="1"/>
  <c r="G494" i="4"/>
  <c r="C494" i="6" s="1"/>
  <c r="H494" i="6" s="1"/>
  <c r="G495" i="4"/>
  <c r="C495" i="6" s="1"/>
  <c r="H495" i="6" s="1"/>
  <c r="G496" i="4"/>
  <c r="C496" i="6" s="1"/>
  <c r="H496" i="6" s="1"/>
  <c r="G497" i="4"/>
  <c r="C497" i="6" s="1"/>
  <c r="H497" i="6" s="1"/>
  <c r="G498" i="4"/>
  <c r="C498" i="6" s="1"/>
  <c r="H498" i="6" s="1"/>
  <c r="G499" i="4"/>
  <c r="C499" i="6" s="1"/>
  <c r="H499" i="6" s="1"/>
  <c r="G500" i="4"/>
  <c r="C500" i="6" s="1"/>
  <c r="H500" i="6" s="1"/>
  <c r="G501" i="4"/>
  <c r="C501" i="6" s="1"/>
  <c r="H501" i="6" s="1"/>
  <c r="G502" i="4"/>
  <c r="C502" i="6" s="1"/>
  <c r="H502" i="6" s="1"/>
  <c r="G503" i="4"/>
  <c r="C503" i="6" s="1"/>
  <c r="H503" i="6" s="1"/>
  <c r="G504" i="4"/>
  <c r="C504" i="6" s="1"/>
  <c r="H504" i="6" s="1"/>
  <c r="G505" i="4"/>
  <c r="C505" i="6" s="1"/>
  <c r="H505" i="6" s="1"/>
  <c r="G506" i="4"/>
  <c r="C506" i="6" s="1"/>
  <c r="H506" i="6" s="1"/>
  <c r="G507" i="4"/>
  <c r="C507" i="6" s="1"/>
  <c r="H507" i="6" s="1"/>
  <c r="G508" i="4"/>
  <c r="C508" i="6" s="1"/>
  <c r="H508" i="6" s="1"/>
  <c r="G509" i="4"/>
  <c r="C509" i="6" s="1"/>
  <c r="H509" i="6" s="1"/>
  <c r="G510" i="4"/>
  <c r="C510" i="6" s="1"/>
  <c r="H510" i="6" s="1"/>
  <c r="G511" i="4"/>
  <c r="C511" i="6" s="1"/>
  <c r="H511" i="6" s="1"/>
  <c r="G512" i="4"/>
  <c r="C512" i="6" s="1"/>
  <c r="H512" i="6" s="1"/>
  <c r="G513" i="4"/>
  <c r="C513" i="6" s="1"/>
  <c r="H513" i="6" s="1"/>
  <c r="G514" i="4"/>
  <c r="C514" i="6" s="1"/>
  <c r="H514" i="6" s="1"/>
  <c r="G515" i="4"/>
  <c r="C515" i="6" s="1"/>
  <c r="H515" i="6" s="1"/>
  <c r="G516" i="4"/>
  <c r="C516" i="6" s="1"/>
  <c r="H516" i="6" s="1"/>
  <c r="G517" i="4"/>
  <c r="C517" i="6" s="1"/>
  <c r="H517" i="6" s="1"/>
  <c r="G518" i="4"/>
  <c r="C518" i="6" s="1"/>
  <c r="H518" i="6" s="1"/>
  <c r="G519" i="4"/>
  <c r="C519" i="6" s="1"/>
  <c r="H519" i="6" s="1"/>
  <c r="G520" i="4"/>
  <c r="C520" i="6" s="1"/>
  <c r="H520" i="6" s="1"/>
  <c r="G521" i="4"/>
  <c r="C521" i="6" s="1"/>
  <c r="H521" i="6" s="1"/>
  <c r="G522" i="4"/>
  <c r="C522" i="6" s="1"/>
  <c r="H522" i="6" s="1"/>
  <c r="G523" i="4"/>
  <c r="C523" i="6" s="1"/>
  <c r="H523" i="6" s="1"/>
  <c r="G524" i="4"/>
  <c r="C524" i="6" s="1"/>
  <c r="H524" i="6" s="1"/>
  <c r="G525" i="4"/>
  <c r="C525" i="6" s="1"/>
  <c r="H525" i="6" s="1"/>
  <c r="G526" i="4"/>
  <c r="C526" i="6" s="1"/>
  <c r="H526" i="6" s="1"/>
  <c r="G527" i="4"/>
  <c r="C527" i="6" s="1"/>
  <c r="H527" i="6" s="1"/>
  <c r="G528" i="4"/>
  <c r="C528" i="6" s="1"/>
  <c r="H528" i="6" s="1"/>
  <c r="G529" i="4"/>
  <c r="C529" i="6" s="1"/>
  <c r="H529" i="6" s="1"/>
  <c r="G530" i="4"/>
  <c r="C530" i="6" s="1"/>
  <c r="H530" i="6" s="1"/>
  <c r="G531" i="4"/>
  <c r="C531" i="6" s="1"/>
  <c r="H531" i="6" s="1"/>
  <c r="G532" i="4"/>
  <c r="C532" i="6" s="1"/>
  <c r="H532" i="6" s="1"/>
  <c r="G533" i="4"/>
  <c r="C533" i="6" s="1"/>
  <c r="H533" i="6" s="1"/>
  <c r="G534" i="4"/>
  <c r="C534" i="6" s="1"/>
  <c r="H534" i="6" s="1"/>
  <c r="G535" i="4"/>
  <c r="C535" i="6" s="1"/>
  <c r="H535" i="6" s="1"/>
  <c r="G536" i="4"/>
  <c r="C536" i="6" s="1"/>
  <c r="H536" i="6" s="1"/>
  <c r="G537" i="4"/>
  <c r="C537" i="6" s="1"/>
  <c r="H537" i="6" s="1"/>
  <c r="G538" i="4"/>
  <c r="C538" i="6" s="1"/>
  <c r="H538" i="6" s="1"/>
  <c r="G539" i="4"/>
  <c r="C539" i="6" s="1"/>
  <c r="H539" i="6" s="1"/>
  <c r="G540" i="4"/>
  <c r="C540" i="6" s="1"/>
  <c r="H540" i="6" s="1"/>
  <c r="G541" i="4"/>
  <c r="C541" i="6" s="1"/>
  <c r="H541" i="6" s="1"/>
  <c r="G542" i="4"/>
  <c r="C542" i="6" s="1"/>
  <c r="H542" i="6" s="1"/>
  <c r="G543" i="4"/>
  <c r="C543" i="6" s="1"/>
  <c r="H543" i="6" s="1"/>
  <c r="G544" i="4"/>
  <c r="C544" i="6" s="1"/>
  <c r="H544" i="6" s="1"/>
  <c r="G545" i="4"/>
  <c r="C545" i="6" s="1"/>
  <c r="H545" i="6" s="1"/>
  <c r="G546" i="4"/>
  <c r="C546" i="6" s="1"/>
  <c r="H546" i="6" s="1"/>
  <c r="G547" i="4"/>
  <c r="C547" i="6" s="1"/>
  <c r="H547" i="6" s="1"/>
  <c r="G548" i="4"/>
  <c r="C548" i="6" s="1"/>
  <c r="H548" i="6" s="1"/>
  <c r="G549" i="4"/>
  <c r="C549" i="6" s="1"/>
  <c r="H549" i="6" s="1"/>
  <c r="G550" i="4"/>
  <c r="C550" i="6" s="1"/>
  <c r="H550" i="6" s="1"/>
  <c r="G551" i="4"/>
  <c r="C551" i="6" s="1"/>
  <c r="H551" i="6" s="1"/>
  <c r="G552" i="4"/>
  <c r="C552" i="6" s="1"/>
  <c r="H552" i="6" s="1"/>
  <c r="G553" i="4"/>
  <c r="C553" i="6" s="1"/>
  <c r="H553" i="6" s="1"/>
  <c r="G554" i="4"/>
  <c r="C554" i="6" s="1"/>
  <c r="H554" i="6" s="1"/>
  <c r="G555" i="4"/>
  <c r="C555" i="6" s="1"/>
  <c r="H555" i="6" s="1"/>
  <c r="G556" i="4"/>
  <c r="C556" i="6" s="1"/>
  <c r="H556" i="6" s="1"/>
  <c r="G557" i="4"/>
  <c r="C557" i="6" s="1"/>
  <c r="H557" i="6" s="1"/>
  <c r="G558" i="4"/>
  <c r="C558" i="6" s="1"/>
  <c r="H558" i="6" s="1"/>
  <c r="G559" i="4"/>
  <c r="C559" i="6" s="1"/>
  <c r="H559" i="6" s="1"/>
  <c r="G560" i="4"/>
  <c r="C560" i="6" s="1"/>
  <c r="H560" i="6" s="1"/>
  <c r="G561" i="4"/>
  <c r="C561" i="6" s="1"/>
  <c r="H561" i="6" s="1"/>
  <c r="G562" i="4"/>
  <c r="C562" i="6" s="1"/>
  <c r="H562" i="6" s="1"/>
  <c r="G563" i="4"/>
  <c r="C563" i="6" s="1"/>
  <c r="H563" i="6" s="1"/>
  <c r="G564" i="4"/>
  <c r="C564" i="6" s="1"/>
  <c r="H564" i="6" s="1"/>
  <c r="G565" i="4"/>
  <c r="C565" i="6" s="1"/>
  <c r="H565" i="6" s="1"/>
  <c r="G566" i="4"/>
  <c r="C566" i="6" s="1"/>
  <c r="H566" i="6" s="1"/>
  <c r="G567" i="4"/>
  <c r="C567" i="6" s="1"/>
  <c r="H567" i="6" s="1"/>
  <c r="G568" i="4"/>
  <c r="C568" i="6" s="1"/>
  <c r="H568" i="6" s="1"/>
  <c r="G569" i="4"/>
  <c r="C569" i="6" s="1"/>
  <c r="H569" i="6" s="1"/>
  <c r="G570" i="4"/>
  <c r="C570" i="6" s="1"/>
  <c r="H570" i="6" s="1"/>
  <c r="G571" i="4"/>
  <c r="C571" i="6" s="1"/>
  <c r="H571" i="6" s="1"/>
  <c r="G572" i="4"/>
  <c r="C572" i="6" s="1"/>
  <c r="H572" i="6" s="1"/>
  <c r="G573" i="4"/>
  <c r="C573" i="6" s="1"/>
  <c r="H573" i="6" s="1"/>
  <c r="G574" i="4"/>
  <c r="C574" i="6" s="1"/>
  <c r="H574" i="6" s="1"/>
  <c r="G575" i="4"/>
  <c r="C575" i="6" s="1"/>
  <c r="H575" i="6" s="1"/>
  <c r="G576" i="4"/>
  <c r="C576" i="6" s="1"/>
  <c r="H576" i="6" s="1"/>
  <c r="G577" i="4"/>
  <c r="C577" i="6" s="1"/>
  <c r="H577" i="6" s="1"/>
  <c r="G578" i="4"/>
  <c r="C578" i="6" s="1"/>
  <c r="H578" i="6" s="1"/>
  <c r="G579" i="4"/>
  <c r="C579" i="6" s="1"/>
  <c r="H579" i="6" s="1"/>
  <c r="G580" i="4"/>
  <c r="C580" i="6" s="1"/>
  <c r="H580" i="6" s="1"/>
  <c r="G581" i="4"/>
  <c r="C581" i="6" s="1"/>
  <c r="H581" i="6" s="1"/>
  <c r="G582" i="4"/>
  <c r="C582" i="6" s="1"/>
  <c r="H582" i="6" s="1"/>
  <c r="G583" i="4"/>
  <c r="C583" i="6" s="1"/>
  <c r="H583" i="6" s="1"/>
  <c r="G584" i="4"/>
  <c r="C584" i="6" s="1"/>
  <c r="H584" i="6" s="1"/>
  <c r="G585" i="4"/>
  <c r="C585" i="6" s="1"/>
  <c r="H585" i="6" s="1"/>
  <c r="G586" i="4"/>
  <c r="C586" i="6" s="1"/>
  <c r="H586" i="6" s="1"/>
  <c r="G587" i="4"/>
  <c r="C587" i="6" s="1"/>
  <c r="H587" i="6" s="1"/>
  <c r="G588" i="4"/>
  <c r="C588" i="6" s="1"/>
  <c r="H588" i="6" s="1"/>
  <c r="G589" i="4"/>
  <c r="C589" i="6" s="1"/>
  <c r="H589" i="6" s="1"/>
  <c r="G590" i="4"/>
  <c r="C590" i="6" s="1"/>
  <c r="H590" i="6" s="1"/>
  <c r="G591" i="4"/>
  <c r="C591" i="6" s="1"/>
  <c r="H591" i="6" s="1"/>
  <c r="G592" i="4"/>
  <c r="C592" i="6" s="1"/>
  <c r="H592" i="6" s="1"/>
  <c r="G593" i="4"/>
  <c r="C593" i="6" s="1"/>
  <c r="H593" i="6" s="1"/>
  <c r="G594" i="4"/>
  <c r="C594" i="6" s="1"/>
  <c r="H594" i="6" s="1"/>
  <c r="G595" i="4"/>
  <c r="C595" i="6" s="1"/>
  <c r="H595" i="6" s="1"/>
  <c r="G596" i="4"/>
  <c r="C596" i="6" s="1"/>
  <c r="H596" i="6" s="1"/>
  <c r="G597" i="4"/>
  <c r="C597" i="6" s="1"/>
  <c r="H597" i="6" s="1"/>
  <c r="G598" i="4"/>
  <c r="C598" i="6" s="1"/>
  <c r="H598" i="6" s="1"/>
  <c r="G599" i="4"/>
  <c r="C599" i="6" s="1"/>
  <c r="H599" i="6" s="1"/>
  <c r="G600" i="4"/>
  <c r="C600" i="6" s="1"/>
  <c r="H600" i="6" s="1"/>
  <c r="G601" i="4"/>
  <c r="C601" i="6" s="1"/>
  <c r="H601" i="6" s="1"/>
  <c r="G602" i="4"/>
  <c r="C602" i="6" s="1"/>
  <c r="H602" i="6" s="1"/>
  <c r="G603" i="4"/>
  <c r="C603" i="6" s="1"/>
  <c r="H603" i="6" s="1"/>
  <c r="G604" i="4"/>
  <c r="C604" i="6" s="1"/>
  <c r="H604" i="6" s="1"/>
  <c r="G605" i="4"/>
  <c r="C605" i="6" s="1"/>
  <c r="H605" i="6" s="1"/>
  <c r="G606" i="4"/>
  <c r="C606" i="6" s="1"/>
  <c r="H606" i="6" s="1"/>
  <c r="G607" i="4"/>
  <c r="C607" i="6" s="1"/>
  <c r="H607" i="6" s="1"/>
  <c r="G608" i="4"/>
  <c r="C608" i="6" s="1"/>
  <c r="H608" i="6" s="1"/>
  <c r="G609" i="4"/>
  <c r="C609" i="6" s="1"/>
  <c r="H609" i="6" s="1"/>
  <c r="G610" i="4"/>
  <c r="C610" i="6" s="1"/>
  <c r="H610" i="6" s="1"/>
  <c r="G611" i="4"/>
  <c r="C611" i="6" s="1"/>
  <c r="H611" i="6" s="1"/>
  <c r="G3" i="4"/>
  <c r="C3" i="6" s="1"/>
  <c r="H3" i="6" s="1"/>
  <c r="G4" i="4"/>
  <c r="C4" i="6" s="1"/>
  <c r="H4" i="6" s="1"/>
  <c r="G5" i="4"/>
  <c r="C5" i="6" s="1"/>
  <c r="H5" i="6" s="1"/>
  <c r="G6" i="4"/>
  <c r="C6" i="6" s="1"/>
  <c r="H6" i="6" s="1"/>
  <c r="G7" i="4"/>
  <c r="C7" i="6" s="1"/>
  <c r="H7" i="6" s="1"/>
  <c r="G8" i="4"/>
  <c r="C8" i="6" s="1"/>
  <c r="H8" i="6" s="1"/>
  <c r="G9" i="4"/>
  <c r="C9" i="6" s="1"/>
  <c r="H9" i="6" s="1"/>
  <c r="G10" i="4"/>
  <c r="C10" i="6" s="1"/>
  <c r="H10" i="6" s="1"/>
  <c r="G11" i="4"/>
  <c r="C11" i="6" s="1"/>
  <c r="H11" i="6" s="1"/>
  <c r="G12" i="4"/>
  <c r="C12" i="6" s="1"/>
  <c r="H12" i="6" s="1"/>
  <c r="G13" i="4"/>
  <c r="C13" i="6" s="1"/>
  <c r="H13" i="6" s="1"/>
  <c r="G14" i="4"/>
  <c r="C14" i="6" s="1"/>
  <c r="H14" i="6" s="1"/>
  <c r="G15" i="4"/>
  <c r="C15" i="6" s="1"/>
  <c r="H15" i="6" s="1"/>
  <c r="G16" i="4"/>
  <c r="C16" i="6" s="1"/>
  <c r="H16" i="6" s="1"/>
  <c r="G2" i="4"/>
  <c r="C2" i="6" s="1"/>
  <c r="H2"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22307E-36F3-4594-9DFA-5C9982230D0E}" keepAlive="1" name="ModelConnection_ExternalData_2" description="Data Model" type="5" refreshedVersion="7" minRefreshableVersion="5" saveData="1">
    <dbPr connection="Data Model Connection" command="Combined_Data" commandType="3"/>
    <extLst>
      <ext xmlns:x15="http://schemas.microsoft.com/office/spreadsheetml/2010/11/main" uri="{DE250136-89BD-433C-8126-D09CA5730AF9}">
        <x15:connection id="" model="1"/>
      </ext>
    </extLst>
  </connection>
  <connection id="2" xr16:uid="{5289BEF6-415E-4952-A93D-3B4E34AF850A}" name="Query - Combined_Data" description="Connection to the 'Combined_Data' query in the workbook." type="100" refreshedVersion="7" minRefreshableVersion="5">
    <extLst>
      <ext xmlns:x15="http://schemas.microsoft.com/office/spreadsheetml/2010/11/main" uri="{DE250136-89BD-433C-8126-D09CA5730AF9}">
        <x15:connection id="e46b5f8a-2216-4387-8684-fc8efe5e1075"/>
      </ext>
    </extLst>
  </connection>
  <connection id="3" xr16:uid="{E56E3226-310D-4074-B4F2-3EC68352DB0B}" keepAlive="1" name="Query - dataset_2" description="Connection to the 'dataset_2' query in the workbook." type="5" refreshedVersion="7" background="1" saveData="1">
    <dbPr connection="Provider=Microsoft.Mashup.OleDb.1;Data Source=$Workbook$;Location=dataset_2;Extended Properties=&quot;&quot;" command="SELECT * FROM [dataset_2]"/>
  </connection>
  <connection id="4" xr16:uid="{AD048AE4-D849-464D-9C13-A1A033D2DCE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<sst xmlns="http://schemas.openxmlformats.org/spreadsheetml/2006/main" count="1362" uniqueCount="70">
  <si>
    <t>Clear</t>
  </si>
  <si>
    <t>Mist</t>
  </si>
  <si>
    <t>Light Snow</t>
  </si>
  <si>
    <t>Heavy Snow</t>
  </si>
  <si>
    <t>Winter</t>
  </si>
  <si>
    <t>Date</t>
  </si>
  <si>
    <t>Month</t>
  </si>
  <si>
    <t>Instant</t>
  </si>
  <si>
    <t>Season</t>
  </si>
  <si>
    <t>Hr</t>
  </si>
  <si>
    <t>Holiday</t>
  </si>
  <si>
    <t>Weekday</t>
  </si>
  <si>
    <t>Weathersit</t>
  </si>
  <si>
    <t>Temp</t>
  </si>
  <si>
    <t>Hum</t>
  </si>
  <si>
    <t>WindsSpeed</t>
  </si>
  <si>
    <t>Casual</t>
  </si>
  <si>
    <t>Registered</t>
  </si>
  <si>
    <t>Cnt</t>
  </si>
  <si>
    <t>ATemp</t>
  </si>
  <si>
    <t>Day_Type</t>
  </si>
  <si>
    <t>Day_Category</t>
  </si>
  <si>
    <t>Demand_Level</t>
  </si>
  <si>
    <t>Weather_Score</t>
  </si>
  <si>
    <t>Row Labels</t>
  </si>
  <si>
    <t>Monday</t>
  </si>
  <si>
    <t>Tuesday</t>
  </si>
  <si>
    <t>Wednesday</t>
  </si>
  <si>
    <t>Thursday</t>
  </si>
  <si>
    <t>Friday</t>
  </si>
  <si>
    <t>Saturday</t>
  </si>
  <si>
    <t>Sunday</t>
  </si>
  <si>
    <t>Grand Total</t>
  </si>
  <si>
    <t>Average of Temp</t>
  </si>
  <si>
    <t>Count of ATemp</t>
  </si>
  <si>
    <t>Average of ATemp</t>
  </si>
  <si>
    <t>Average of WindsSpeed</t>
  </si>
  <si>
    <t>Average of Cnt</t>
  </si>
  <si>
    <t>Weekend</t>
  </si>
  <si>
    <t>High</t>
  </si>
  <si>
    <t>Low</t>
  </si>
  <si>
    <t>Medium</t>
  </si>
  <si>
    <t>Average Daily Temperature</t>
  </si>
  <si>
    <t>Sum of Temp</t>
  </si>
  <si>
    <t>Max of Cnt</t>
  </si>
  <si>
    <t>Count of Cnt</t>
  </si>
  <si>
    <t>Sum of Cnt</t>
  </si>
  <si>
    <t xml:space="preserve">Peak Demand </t>
  </si>
  <si>
    <t>Weekend v/s Weekdays</t>
  </si>
  <si>
    <t xml:space="preserve">Demand Level </t>
  </si>
  <si>
    <t>Count of Weathersit</t>
  </si>
  <si>
    <t xml:space="preserve">Temp on peak demands </t>
  </si>
  <si>
    <t xml:space="preserve">Total Bike Rentals </t>
  </si>
  <si>
    <t>Count of Demand_Level</t>
  </si>
  <si>
    <t>\</t>
  </si>
  <si>
    <t>Average of Registered</t>
  </si>
  <si>
    <t>Average of Casual</t>
  </si>
  <si>
    <t>(blank)</t>
  </si>
  <si>
    <t>Daily Counts by Weather Condition</t>
  </si>
  <si>
    <t>Sum of Temperature by Weather Condition</t>
  </si>
  <si>
    <t>Temperature by Weather</t>
  </si>
  <si>
    <t>Total Count by Dates</t>
  </si>
  <si>
    <t>Average Hour Count</t>
  </si>
  <si>
    <t>Count by Demand</t>
  </si>
  <si>
    <t>Total Count on Day Type</t>
  </si>
  <si>
    <t>Total Count Weather Demand</t>
  </si>
  <si>
    <t>Maximum Count on Day Type</t>
  </si>
  <si>
    <t>Average of Temperature &amp; COUNT on Weekdays</t>
  </si>
  <si>
    <t>Data According to Weekdays</t>
  </si>
  <si>
    <t>Peak Demand on Weathersit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</si>
</sst>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Calibri"/>
      <family val="2"/>
      <scheme val="minor"/>
    </font>
    <font>
      <b/>
      <sz val="12"/>
      <color theme="1"/>
      <name val="Calibri"/>
      <family val="2"/>
      <scheme val="minor"/>
    </font>
    <font>
      <b/>
      <sz val="11"/>
      <color theme="1"/>
      <name val="Calibri"/>
      <family val="2"/>
      <scheme val="minor"/>
    </font>
    <font>
      <b/>
      <sz val="11"/>
      <color theme="1" tint="4.9989318521683403E-2"/>
      <name val="Calibri"/>
      <family val="2"/>
      <scheme val="minor"/>
    </font>
    <font>
      <b/>
      <sz val="16"/>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5" tint="-0.249977111117893"/>
        <bgColor indexed="64"/>
      </patternFill>
    </fill>
    <fill>
      <patternFill patternType="solid">
        <fgColor theme="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4" fontId="0" fillId="0" borderId="0" xfId="0" applyNumberFormat="1" applyAlignment="1">
      <alignment horizontal="left"/>
    </xf>
    <xf numFmtId="0" fontId="2" fillId="0" borderId="2" xfId="0" applyFont="1" applyBorder="1" applyAlignment="1">
      <alignment horizontal="center" vertical="center"/>
    </xf>
    <xf numFmtId="14"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5"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2" fontId="0" fillId="0" borderId="1" xfId="0" applyNumberFormat="1" applyBorder="1" applyAlignment="1">
      <alignment horizontal="center" vertical="center"/>
    </xf>
    <xf numFmtId="164" fontId="0" fillId="0" borderId="1" xfId="0" applyNumberFormat="1" applyBorder="1" applyAlignment="1">
      <alignment horizontal="center" vertical="center"/>
    </xf>
    <xf numFmtId="2" fontId="0" fillId="0" borderId="8" xfId="0" applyNumberFormat="1" applyBorder="1" applyAlignment="1">
      <alignment horizontal="center" vertical="center"/>
    </xf>
    <xf numFmtId="164" fontId="0" fillId="0" borderId="8" xfId="0" applyNumberFormat="1" applyBorder="1" applyAlignment="1">
      <alignment horizontal="center" vertical="center"/>
    </xf>
    <xf numFmtId="0" fontId="0" fillId="0" borderId="0" xfId="0" applyAlignment="1">
      <alignment vertical="center"/>
    </xf>
    <xf numFmtId="0" fontId="3" fillId="0" borderId="0" xfId="0" applyFont="1"/>
    <xf numFmtId="0" fontId="5" fillId="4" borderId="0" xfId="0" applyFont="1" applyFill="1" applyAlignment="1">
      <alignment horizontal="center" vertical="center"/>
    </xf>
    <xf numFmtId="0" fontId="4" fillId="4" borderId="0" xfId="0" applyFont="1" applyFill="1" applyAlignment="1">
      <alignment horizontal="center" vertical="center"/>
    </xf>
    <xf numFmtId="0" fontId="4" fillId="3" borderId="0" xfId="0" applyFont="1" applyFill="1" applyAlignment="1">
      <alignment horizontal="center" vertical="center"/>
    </xf>
    <xf numFmtId="0" fontId="1" fillId="4" borderId="0" xfId="0" applyFont="1" applyFill="1" applyAlignment="1">
      <alignment horizontal="center" vertical="center"/>
    </xf>
  </cellXfs>
  <cellStyles count="1">
    <cellStyle name="Normal" xfId="0" builtinId="0"/>
  </cellStyles>
  <dxfs count="55">
    <dxf>
      <font>
        <color theme="1" tint="4.9989318521683403E-2"/>
      </font>
    </dxf>
    <dxf>
      <font>
        <b/>
      </font>
    </dxf>
    <dxf>
      <font>
        <color theme="1" tint="4.9989318521683403E-2"/>
      </font>
    </dxf>
    <dxf>
      <font>
        <b/>
      </font>
    </dxf>
    <dxf>
      <font>
        <color theme="1" tint="4.9989318521683403E-2"/>
      </font>
    </dxf>
    <dxf>
      <font>
        <b/>
      </font>
    </dxf>
    <dxf>
      <font>
        <color theme="1" tint="4.9989318521683403E-2"/>
      </font>
    </dxf>
    <dxf>
      <font>
        <b/>
      </font>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0070C0"/>
        </patternFill>
      </fill>
    </dxf>
    <dxf>
      <fill>
        <patternFill>
          <bgColor rgb="FF00B0F0"/>
        </patternFill>
      </fill>
    </dxf>
    <dxf>
      <fill>
        <patternFill>
          <bgColor theme="7" tint="0.59996337778862885"/>
        </patternFill>
      </fill>
    </dxf>
    <dxf>
      <fill>
        <patternFill>
          <bgColor theme="5" tint="0.59996337778862885"/>
        </patternFill>
      </fill>
    </dxf>
    <dxf>
      <fill>
        <patternFill>
          <bgColor rgb="FF00B050"/>
        </patternFill>
      </fill>
    </dxf>
    <dxf>
      <fill>
        <patternFill>
          <bgColor rgb="FFFF6D6D"/>
        </patternFill>
      </fill>
    </dxf>
    <dxf>
      <fill>
        <patternFill>
          <bgColor theme="9" tint="0.59996337778862885"/>
        </patternFill>
      </fill>
    </dxf>
    <dxf>
      <fill>
        <patternFill>
          <bgColor rgb="FF00B0F0"/>
        </patternFill>
      </fill>
    </dxf>
    <dxf>
      <fill>
        <patternFill>
          <bgColor theme="8" tint="0.39994506668294322"/>
        </patternFill>
      </fill>
    </dxf>
    <dxf>
      <fill>
        <patternFill>
          <bgColor rgb="FF92D050"/>
        </patternFill>
      </fill>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D6D"/>
      <color rgb="FF990000"/>
      <color rgb="FFC6E7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[Combined_Data Final (2) (1) (1) (1).xlsx]Pivot_Table!PivotTable35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Temperature vs Bike Demand by Weekday</a:t>
            </a:r>
          </a:p>
        </c:rich>
      </c:tx>
      <c:layout>
        <c:manualLayout>
          <c:xMode val="edge"/>
          <c:yMode val="edge"/>
          <c:x val="0.35968404725864239"/>
          <c:y val="4.68700151387972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3375150654633"/>
          <c:y val="0.22846852888068372"/>
          <c:w val="0.57751079646840686"/>
          <c:h val="0.48033544154212438"/>
        </c:manualLayout>
      </c:layout>
      <c:barChart>
        <c:barDir val="col"/>
        <c:grouping val="clustered"/>
        <c:varyColors val="0"/>
        <c:ser>
          <c:idx val="0"/>
          <c:order val="0"/>
          <c:tx>
            <c:strRef>
              <c:f>Pivot_Table!$F$36</c:f>
              <c:strCache>
                <c:ptCount val="1"/>
                <c:pt idx="0">
                  <c:v>Average of Temp</c:v>
                </c:pt>
              </c:strCache>
            </c:strRef>
          </c:tx>
          <c:spPr>
            <a:solidFill>
              <a:schemeClr val="accent1"/>
            </a:solidFill>
            <a:ln>
              <a:noFill/>
            </a:ln>
            <a:effectLst/>
          </c:spPr>
          <c:invertIfNegative val="0"/>
          <c:cat>
            <c:strRef>
              <c:f>Pivot_Table!$E$37:$E$44</c:f>
              <c:strCache>
                <c:ptCount val="7"/>
                <c:pt idx="0">
                  <c:v>Monday</c:v>
                </c:pt>
                <c:pt idx="1">
                  <c:v>Tuesday</c:v>
                </c:pt>
                <c:pt idx="2">
                  <c:v>Wednesday</c:v>
                </c:pt>
                <c:pt idx="3">
                  <c:v>Thursday</c:v>
                </c:pt>
                <c:pt idx="4">
                  <c:v>Friday</c:v>
                </c:pt>
                <c:pt idx="5">
                  <c:v>Saturday</c:v>
                </c:pt>
                <c:pt idx="6">
                  <c:v>Sunday</c:v>
                </c:pt>
              </c:strCache>
            </c:strRef>
          </c:cat>
          <c:val>
            <c:numRef>
              <c:f>Pivot_Table!$F$37:$F$44</c:f>
              <c:numCache>
                <c:formatCode>General</c:formatCode>
                <c:ptCount val="7"/>
                <c:pt idx="0">
                  <c:v>0.15483870967741931</c:v>
                </c:pt>
                <c:pt idx="1">
                  <c:v>0.20075000000000012</c:v>
                </c:pt>
                <c:pt idx="2">
                  <c:v>0.22880952380952371</c:v>
                </c:pt>
                <c:pt idx="3">
                  <c:v>0.20886075949367089</c:v>
                </c:pt>
                <c:pt idx="4">
                  <c:v>0.17976470588235285</c:v>
                </c:pt>
                <c:pt idx="5">
                  <c:v>0.2018947368421051</c:v>
                </c:pt>
                <c:pt idx="6">
                  <c:v>0.20702127659574465</c:v>
                </c:pt>
              </c:numCache>
            </c:numRef>
          </c:val>
          <c:extLst>
            <c:ext xmlns:c16="http://schemas.microsoft.com/office/drawing/2014/chart" uri="{C3380CC4-5D6E-409C-BE32-E72D297353CC}">
              <c16:uniqueId val="{00000000-6B72-43CE-B94C-EBFC6877E137}"/>
            </c:ext>
          </c:extLst>
        </c:ser>
        <c:dLbls>
          <c:showLegendKey val="0"/>
          <c:showVal val="0"/>
          <c:showCatName val="0"/>
          <c:showSerName val="0"/>
          <c:showPercent val="0"/>
          <c:showBubbleSize val="0"/>
        </c:dLbls>
        <c:gapWidth val="219"/>
        <c:overlap val="-27"/>
        <c:axId val="2017914287"/>
        <c:axId val="2017924847"/>
      </c:barChart>
      <c:lineChart>
        <c:grouping val="standard"/>
        <c:varyColors val="0"/>
        <c:ser>
          <c:idx val="1"/>
          <c:order val="1"/>
          <c:tx>
            <c:strRef>
              <c:f>Pivot_Table!$G$36</c:f>
              <c:strCache>
                <c:ptCount val="1"/>
                <c:pt idx="0">
                  <c:v>Average of Cnt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Pivot_Table!$E$37:$E$44</c:f>
              <c:strCache>
                <c:ptCount val="7"/>
                <c:pt idx="0">
                  <c:v>Monday</c:v>
                </c:pt>
                <c:pt idx="1">
                  <c:v>Tuesday</c:v>
                </c:pt>
                <c:pt idx="2">
                  <c:v>Wednesday</c:v>
                </c:pt>
                <c:pt idx="3">
                  <c:v>Thursday</c:v>
                </c:pt>
                <c:pt idx="4">
                  <c:v>Friday</c:v>
                </c:pt>
                <c:pt idx="5">
                  <c:v>Saturday</c:v>
                </c:pt>
                <c:pt idx="6">
                  <c:v>Sunday</c:v>
                </c:pt>
              </c:strCache>
            </c:strRef>
          </c:cat>
          <c:val>
            <c:numRef>
              <c:f>Pivot_Table!$G$37:$G$44</c:f>
              <c:numCache>
                <c:formatCode>General</c:formatCode>
                <c:ptCount val="7"/>
                <c:pt idx="0">
                  <c:v>54.688172043010752</c:v>
                </c:pt>
                <c:pt idx="1">
                  <c:v>68.662499999999994</c:v>
                </c:pt>
                <c:pt idx="2">
                  <c:v>58.547619047619051</c:v>
                </c:pt>
                <c:pt idx="3">
                  <c:v>67.974683544303801</c:v>
                </c:pt>
                <c:pt idx="4">
                  <c:v>59.352941176470587</c:v>
                </c:pt>
                <c:pt idx="5">
                  <c:v>43.926315789473684</c:v>
                </c:pt>
                <c:pt idx="6">
                  <c:v>40.563829787234042</c:v>
                </c:pt>
              </c:numCache>
            </c:numRef>
          </c:val>
          <c:smooth val="0"/>
          <c:extLst>
            <c:ext xmlns:c16="http://schemas.microsoft.com/office/drawing/2014/chart" uri="{C3380CC4-5D6E-409C-BE32-E72D297353CC}">
              <c16:uniqueId val="{00000001-6B72-43CE-B94C-EBFC6877E137}"/>
            </c:ext>
          </c:extLst>
        </c:ser>
        <c:dLbls>
          <c:showLegendKey val="0"/>
          <c:showVal val="0"/>
          <c:showCatName val="0"/>
          <c:showSerName val="0"/>
          <c:showPercent val="0"/>
          <c:showBubbleSize val="0"/>
        </c:dLbls>
        <c:marker val="1"/>
        <c:smooth val="0"/>
        <c:axId val="2017921487"/>
        <c:axId val="2017915727"/>
      </c:lineChart>
      <c:catAx>
        <c:axId val="201791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24847"/>
        <c:crosses val="autoZero"/>
        <c:auto val="1"/>
        <c:lblAlgn val="ctr"/>
        <c:lblOffset val="100"/>
        <c:noMultiLvlLbl val="0"/>
      </c:catAx>
      <c:valAx>
        <c:axId val="201792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14287"/>
        <c:crosses val="autoZero"/>
        <c:crossBetween val="between"/>
      </c:valAx>
      <c:valAx>
        <c:axId val="201791572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21487"/>
        <c:crosses val="max"/>
        <c:crossBetween val="between"/>
      </c:valAx>
      <c:catAx>
        <c:axId val="2017921487"/>
        <c:scaling>
          <c:orientation val="minMax"/>
        </c:scaling>
        <c:delete val="1"/>
        <c:axPos val="b"/>
        <c:numFmt formatCode="General" sourceLinked="1"/>
        <c:majorTickMark val="none"/>
        <c:minorTickMark val="none"/>
        <c:tickLblPos val="nextTo"/>
        <c:crossAx val="20179157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[Combined_Data Final (2) (1) (1) (1).xlsx]Pivot_Table!PivotTable10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 Demand Distribution</a:t>
            </a:r>
            <a:endParaRPr lang="en-US"/>
          </a:p>
        </c:rich>
      </c:tx>
      <c:layout>
        <c:manualLayout>
          <c:xMode val="edge"/>
          <c:yMode val="edge"/>
          <c:x val="0.25293249206082835"/>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Pivot_Table!$J$28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F2-4737-A8B4-930F5705A87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F2-4737-A8B4-930F5705A8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F2-4737-A8B4-930F5705A8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Pivot_Table!$I$29:$I$32</c:f>
              <c:strCache>
                <c:ptCount val="3"/>
                <c:pt idx="0">
                  <c:v>High</c:v>
                </c:pt>
                <c:pt idx="1">
                  <c:v>Low</c:v>
                </c:pt>
                <c:pt idx="2">
                  <c:v>Medium</c:v>
                </c:pt>
              </c:strCache>
            </c:strRef>
          </c:cat>
          <c:val>
            <c:numRef>
              <c:f>Pivot_Table!$J$29:$J$32</c:f>
              <c:numCache>
                <c:formatCode>General</c:formatCode>
                <c:ptCount val="3"/>
                <c:pt idx="0">
                  <c:v>39</c:v>
                </c:pt>
                <c:pt idx="1">
                  <c:v>520</c:v>
                </c:pt>
                <c:pt idx="2">
                  <c:v>51</c:v>
                </c:pt>
              </c:numCache>
            </c:numRef>
          </c:val>
          <c:extLst>
            <c:ext xmlns:c16="http://schemas.microsoft.com/office/drawing/2014/chart" uri="{C3380CC4-5D6E-409C-BE32-E72D297353CC}">
              <c16:uniqueId val="{00000006-4BF2-4737-A8B4-930F5705A87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[Combined_Data Final (2) (1) (1) (1).xlsx]Pivot_Table!PivotTable31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B050"/>
                </a:solidFill>
              </a:rPr>
              <a:t>Weather-wise Average Bike Demand</a:t>
            </a:r>
            <a:endParaRPr lang="en-IN" b="1">
              <a:solidFill>
                <a:srgbClr val="00B050"/>
              </a:solidFill>
            </a:endParaRPr>
          </a:p>
        </c:rich>
      </c:tx>
      <c:layout>
        <c:manualLayout>
          <c:xMode val="edge"/>
          <c:yMode val="edge"/>
          <c:x val="0.19490966754155731"/>
          <c:y val="0.14249781277340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90113196019385"/>
          <c:y val="0.26755011833837899"/>
          <c:w val="0.33216294838145233"/>
          <c:h val="0.6293157626130067"/>
        </c:manualLayout>
      </c:layout>
      <c:barChart>
        <c:barDir val="bar"/>
        <c:grouping val="clustered"/>
        <c:varyColors val="0"/>
        <c:ser>
          <c:idx val="0"/>
          <c:order val="0"/>
          <c:tx>
            <c:strRef>
              <c:f>Pivot_Table!$E$3</c:f>
              <c:strCache>
                <c:ptCount val="1"/>
                <c:pt idx="0">
                  <c:v>Average of Cnt</c:v>
                </c:pt>
              </c:strCache>
            </c:strRef>
          </c:tx>
          <c:spPr>
            <a:solidFill>
              <a:schemeClr val="accent1"/>
            </a:solidFill>
            <a:ln>
              <a:noFill/>
            </a:ln>
            <a:effectLst/>
          </c:spPr>
          <c:invertIfNegative val="0"/>
          <c:cat>
            <c:strRef>
              <c:f>Pivot_Table!$D$4:$D$8</c:f>
              <c:strCache>
                <c:ptCount val="4"/>
                <c:pt idx="0">
                  <c:v>Clear</c:v>
                </c:pt>
                <c:pt idx="1">
                  <c:v>Heavy Snow</c:v>
                </c:pt>
                <c:pt idx="2">
                  <c:v>Light Snow</c:v>
                </c:pt>
                <c:pt idx="3">
                  <c:v>Mist</c:v>
                </c:pt>
              </c:strCache>
            </c:strRef>
          </c:cat>
          <c:val>
            <c:numRef>
              <c:f>Pivot_Table!$E$4:$E$8</c:f>
              <c:numCache>
                <c:formatCode>General</c:formatCode>
                <c:ptCount val="4"/>
                <c:pt idx="0">
                  <c:v>59.709239130434781</c:v>
                </c:pt>
                <c:pt idx="1">
                  <c:v>36</c:v>
                </c:pt>
                <c:pt idx="2">
                  <c:v>31.127659574468087</c:v>
                </c:pt>
                <c:pt idx="3">
                  <c:v>53.742268041237111</c:v>
                </c:pt>
              </c:numCache>
            </c:numRef>
          </c:val>
          <c:extLst>
            <c:ext xmlns:c16="http://schemas.microsoft.com/office/drawing/2014/chart" uri="{C3380CC4-5D6E-409C-BE32-E72D297353CC}">
              <c16:uniqueId val="{00000000-4E1B-4D6C-83D8-6C8A36351004}"/>
            </c:ext>
          </c:extLst>
        </c:ser>
        <c:ser>
          <c:idx val="1"/>
          <c:order val="1"/>
          <c:tx>
            <c:strRef>
              <c:f>Pivot_Table!$F$3</c:f>
              <c:strCache>
                <c:ptCount val="1"/>
                <c:pt idx="0">
                  <c:v>Average of Casual</c:v>
                </c:pt>
              </c:strCache>
            </c:strRef>
          </c:tx>
          <c:spPr>
            <a:solidFill>
              <a:schemeClr val="accent2"/>
            </a:solidFill>
            <a:ln>
              <a:noFill/>
            </a:ln>
            <a:effectLst/>
          </c:spPr>
          <c:invertIfNegative val="0"/>
          <c:cat>
            <c:strRef>
              <c:f>Pivot_Table!$D$4:$D$8</c:f>
              <c:strCache>
                <c:ptCount val="4"/>
                <c:pt idx="0">
                  <c:v>Clear</c:v>
                </c:pt>
                <c:pt idx="1">
                  <c:v>Heavy Snow</c:v>
                </c:pt>
                <c:pt idx="2">
                  <c:v>Light Snow</c:v>
                </c:pt>
                <c:pt idx="3">
                  <c:v>Mist</c:v>
                </c:pt>
              </c:strCache>
            </c:strRef>
          </c:cat>
          <c:val>
            <c:numRef>
              <c:f>Pivot_Table!$F$4:$F$8</c:f>
              <c:numCache>
                <c:formatCode>General</c:formatCode>
                <c:ptCount val="4"/>
                <c:pt idx="0">
                  <c:v>4.4646739130434785</c:v>
                </c:pt>
                <c:pt idx="1">
                  <c:v>1</c:v>
                </c:pt>
                <c:pt idx="2">
                  <c:v>2.1489361702127661</c:v>
                </c:pt>
                <c:pt idx="3">
                  <c:v>5.15979381443299</c:v>
                </c:pt>
              </c:numCache>
            </c:numRef>
          </c:val>
          <c:extLst>
            <c:ext xmlns:c16="http://schemas.microsoft.com/office/drawing/2014/chart" uri="{C3380CC4-5D6E-409C-BE32-E72D297353CC}">
              <c16:uniqueId val="{00000001-4E1B-4D6C-83D8-6C8A36351004}"/>
            </c:ext>
          </c:extLst>
        </c:ser>
        <c:ser>
          <c:idx val="2"/>
          <c:order val="2"/>
          <c:tx>
            <c:strRef>
              <c:f>Pivot_Table!$G$3</c:f>
              <c:strCache>
                <c:ptCount val="1"/>
                <c:pt idx="0">
                  <c:v>Average of Registered</c:v>
                </c:pt>
              </c:strCache>
            </c:strRef>
          </c:tx>
          <c:spPr>
            <a:solidFill>
              <a:schemeClr val="accent4"/>
            </a:solidFill>
            <a:ln>
              <a:noFill/>
            </a:ln>
            <a:effectLst/>
          </c:spPr>
          <c:invertIfNegative val="0"/>
          <c:cat>
            <c:strRef>
              <c:f>Pivot_Table!$D$4:$D$8</c:f>
              <c:strCache>
                <c:ptCount val="4"/>
                <c:pt idx="0">
                  <c:v>Clear</c:v>
                </c:pt>
                <c:pt idx="1">
                  <c:v>Heavy Snow</c:v>
                </c:pt>
                <c:pt idx="2">
                  <c:v>Light Snow</c:v>
                </c:pt>
                <c:pt idx="3">
                  <c:v>Mist</c:v>
                </c:pt>
              </c:strCache>
            </c:strRef>
          </c:cat>
          <c:val>
            <c:numRef>
              <c:f>Pivot_Table!$G$4:$G$8</c:f>
              <c:numCache>
                <c:formatCode>General</c:formatCode>
                <c:ptCount val="4"/>
                <c:pt idx="0">
                  <c:v>55.244565217391305</c:v>
                </c:pt>
                <c:pt idx="1">
                  <c:v>35</c:v>
                </c:pt>
                <c:pt idx="2">
                  <c:v>28.978723404255319</c:v>
                </c:pt>
                <c:pt idx="3">
                  <c:v>48.582474226804123</c:v>
                </c:pt>
              </c:numCache>
            </c:numRef>
          </c:val>
          <c:extLst>
            <c:ext xmlns:c16="http://schemas.microsoft.com/office/drawing/2014/chart" uri="{C3380CC4-5D6E-409C-BE32-E72D297353CC}">
              <c16:uniqueId val="{00000002-4E1B-4D6C-83D8-6C8A36351004}"/>
            </c:ext>
          </c:extLst>
        </c:ser>
        <c:dLbls>
          <c:showLegendKey val="0"/>
          <c:showVal val="0"/>
          <c:showCatName val="0"/>
          <c:showSerName val="0"/>
          <c:showPercent val="0"/>
          <c:showBubbleSize val="0"/>
        </c:dLbls>
        <c:gapWidth val="182"/>
        <c:axId val="609051199"/>
        <c:axId val="609055519"/>
      </c:barChart>
      <c:catAx>
        <c:axId val="60905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55519"/>
        <c:crosses val="autoZero"/>
        <c:auto val="1"/>
        <c:lblAlgn val="ctr"/>
        <c:lblOffset val="100"/>
        <c:noMultiLvlLbl val="0"/>
      </c:catAx>
      <c:valAx>
        <c:axId val="609055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5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[Combined_Data Final (2) (1) (1) (1).xlsx]Pivot_Table!PivotTable16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B050"/>
                </a:solidFill>
              </a:rPr>
              <a:t>Hourly Bike Demand Trend</a:t>
            </a:r>
            <a:endParaRPr lang="en-IN" b="1">
              <a:solidFill>
                <a:srgbClr val="00B050"/>
              </a:solidFill>
            </a:endParaRPr>
          </a:p>
        </c:rich>
      </c:tx>
      <c:layout>
        <c:manualLayout>
          <c:xMode val="edge"/>
          <c:yMode val="edge"/>
          <c:x val="0.30767302397031437"/>
          <c:y val="0.163396201052445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9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9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9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56205691194027E-2"/>
          <c:y val="0.29128013270505149"/>
          <c:w val="0.86347792183396543"/>
          <c:h val="0.60634624137246917"/>
        </c:manualLayout>
      </c:layout>
      <c:lineChart>
        <c:grouping val="standard"/>
        <c:varyColors val="0"/>
        <c:ser>
          <c:idx val="0"/>
          <c:order val="0"/>
          <c:tx>
            <c:strRef>
              <c:f>Pivot_Table!$B$16</c:f>
              <c:strCache>
                <c:ptCount val="1"/>
                <c:pt idx="0">
                  <c:v>Total</c:v>
                </c:pt>
              </c:strCache>
            </c:strRef>
          </c:tx>
          <c:spPr>
            <a:ln w="28575" cap="rnd">
              <a:solidFill>
                <a:srgbClr val="990000"/>
              </a:solidFill>
              <a:round/>
            </a:ln>
            <a:effectLst/>
          </c:spPr>
          <c:marker>
            <c:symbol val="none"/>
          </c:marker>
          <c:cat>
            <c:strRef>
              <c:f>Pivot_Table!$A$17:$A$42</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Pivot_Table!$B$17:$B$42</c:f>
              <c:numCache>
                <c:formatCode>General</c:formatCode>
                <c:ptCount val="25"/>
                <c:pt idx="0">
                  <c:v>14.23076923076923</c:v>
                </c:pt>
                <c:pt idx="1">
                  <c:v>9.1923076923076916</c:v>
                </c:pt>
                <c:pt idx="2">
                  <c:v>7.083333333333333</c:v>
                </c:pt>
                <c:pt idx="3">
                  <c:v>4.75</c:v>
                </c:pt>
                <c:pt idx="4">
                  <c:v>1.9</c:v>
                </c:pt>
                <c:pt idx="5">
                  <c:v>3.9583333333333335</c:v>
                </c:pt>
                <c:pt idx="6">
                  <c:v>18.307692307692307</c:v>
                </c:pt>
                <c:pt idx="7">
                  <c:v>53.57692307692308</c:v>
                </c:pt>
                <c:pt idx="8">
                  <c:v>127.61538461538461</c:v>
                </c:pt>
                <c:pt idx="9">
                  <c:v>84.461538461538467</c:v>
                </c:pt>
                <c:pt idx="10">
                  <c:v>50.03846153846154</c:v>
                </c:pt>
                <c:pt idx="11">
                  <c:v>55.96153846153846</c:v>
                </c:pt>
                <c:pt idx="12">
                  <c:v>71.703703703703709</c:v>
                </c:pt>
                <c:pt idx="13">
                  <c:v>74.629629629629633</c:v>
                </c:pt>
                <c:pt idx="14">
                  <c:v>67.666666666666671</c:v>
                </c:pt>
                <c:pt idx="15">
                  <c:v>71.629629629629633</c:v>
                </c:pt>
                <c:pt idx="16">
                  <c:v>81.481481481481481</c:v>
                </c:pt>
                <c:pt idx="17">
                  <c:v>131.4814814814815</c:v>
                </c:pt>
                <c:pt idx="18">
                  <c:v>118.53846153846153</c:v>
                </c:pt>
                <c:pt idx="19">
                  <c:v>85.115384615384613</c:v>
                </c:pt>
                <c:pt idx="20">
                  <c:v>59.269230769230766</c:v>
                </c:pt>
                <c:pt idx="21">
                  <c:v>41.346153846153847</c:v>
                </c:pt>
                <c:pt idx="22">
                  <c:v>32.230769230769234</c:v>
                </c:pt>
                <c:pt idx="23">
                  <c:v>21.53846153846154</c:v>
                </c:pt>
              </c:numCache>
            </c:numRef>
          </c:val>
          <c:smooth val="0"/>
          <c:extLst>
            <c:ext xmlns:c16="http://schemas.microsoft.com/office/drawing/2014/chart" uri="{C3380CC4-5D6E-409C-BE32-E72D297353CC}">
              <c16:uniqueId val="{00000000-0C29-4D5A-B703-4C04DC8EC8A2}"/>
            </c:ext>
          </c:extLst>
        </c:ser>
        <c:dLbls>
          <c:showLegendKey val="0"/>
          <c:showVal val="0"/>
          <c:showCatName val="0"/>
          <c:showSerName val="0"/>
          <c:showPercent val="0"/>
          <c:showBubbleSize val="0"/>
        </c:dLbls>
        <c:smooth val="0"/>
        <c:axId val="508626447"/>
        <c:axId val="508637487"/>
      </c:lineChart>
      <c:catAx>
        <c:axId val="508626447"/>
        <c:scaling>
          <c:orientation val="minMax"/>
        </c:scaling>
        <c:delete val="1"/>
        <c:axPos val="b"/>
        <c:numFmt formatCode="General" sourceLinked="1"/>
        <c:majorTickMark val="none"/>
        <c:minorTickMark val="none"/>
        <c:tickLblPos val="nextTo"/>
        <c:crossAx val="508637487"/>
        <c:crosses val="autoZero"/>
        <c:auto val="1"/>
        <c:lblAlgn val="ctr"/>
        <c:lblOffset val="100"/>
        <c:noMultiLvlLbl val="0"/>
      </c:catAx>
      <c:valAx>
        <c:axId val="50863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26447"/>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accent2">
                    <a:lumMod val="75000"/>
                  </a:schemeClr>
                </a:solidFill>
              </a:rPr>
              <a:t>Intensity of Bike Demand Across Time of Day</a:t>
            </a:r>
            <a:endParaRPr lang="en-IN" sz="11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80550649735787"/>
          <c:y val="0.1642848810565346"/>
          <c:w val="0.75405668154296601"/>
          <c:h val="0.73783209390492854"/>
        </c:manualLayout>
      </c:layout>
      <c:area3DChart>
        <c:grouping val="standard"/>
        <c:varyColors val="0"/>
        <c:ser>
          <c:idx val="0"/>
          <c:order val="0"/>
          <c:tx>
            <c:v>Total</c:v>
          </c:tx>
          <c:spPr>
            <a:solidFill>
              <a:schemeClr val="accent1"/>
            </a:solidFill>
            <a:ln>
              <a:noFill/>
            </a:ln>
            <a:effectLst/>
            <a:sp3d/>
          </c:spPr>
          <c:cat>
            <c:strLit>
              <c:ptCount val="4"/>
              <c:pt idx="0">
                <c:v>Afternoon</c:v>
              </c:pt>
              <c:pt idx="1">
                <c:v>Evening</c:v>
              </c:pt>
              <c:pt idx="2">
                <c:v>Morning</c:v>
              </c:pt>
              <c:pt idx="3">
                <c:v>Night</c:v>
              </c:pt>
            </c:strLit>
          </c:cat>
          <c:val>
            <c:numLit>
              <c:formatCode>General</c:formatCode>
              <c:ptCount val="4"/>
              <c:pt idx="0">
                <c:v>79.347222222222229</c:v>
              </c:pt>
              <c:pt idx="1">
                <c:v>102.71098265895954</c:v>
              </c:pt>
              <c:pt idx="2">
                <c:v>58.671232876712331</c:v>
              </c:pt>
              <c:pt idx="3">
                <c:v>19.636363636363637</c:v>
              </c:pt>
            </c:numLit>
          </c:val>
          <c:extLst>
            <c:ext xmlns:c16="http://schemas.microsoft.com/office/drawing/2014/chart" uri="{C3380CC4-5D6E-409C-BE32-E72D297353CC}">
              <c16:uniqueId val="{00000000-8506-470B-A07B-D9150986FCC4}"/>
            </c:ext>
          </c:extLst>
        </c:ser>
        <c:dLbls>
          <c:showLegendKey val="0"/>
          <c:showVal val="0"/>
          <c:showCatName val="0"/>
          <c:showSerName val="0"/>
          <c:showPercent val="0"/>
          <c:showBubbleSize val="0"/>
        </c:dLbls>
        <c:axId val="508626927"/>
        <c:axId val="508639887"/>
        <c:axId val="388931759"/>
      </c:area3DChart>
      <c:catAx>
        <c:axId val="508626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39887"/>
        <c:crosses val="autoZero"/>
        <c:auto val="1"/>
        <c:lblAlgn val="ctr"/>
        <c:lblOffset val="100"/>
        <c:noMultiLvlLbl val="0"/>
      </c:catAx>
      <c:valAx>
        <c:axId val="508639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26927"/>
        <c:crosses val="autoZero"/>
        <c:crossBetween val="midCat"/>
      </c:valAx>
      <c:serAx>
        <c:axId val="38893175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398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3.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9.svg"/><Relationship Id="rId5" Type="http://schemas.openxmlformats.org/officeDocument/2006/relationships/image" Target="../media/image4.png"/><Relationship Id="rId10" Type="http://schemas.openxmlformats.org/officeDocument/2006/relationships/image" Target="../media/image8.png"/><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63500</xdr:colOff>
      <xdr:row>4</xdr:row>
      <xdr:rowOff>114905</xdr:rowOff>
    </xdr:to>
    <xdr:sp macro="" textlink="">
      <xdr:nvSpPr>
        <xdr:cNvPr id="2" name="Rectangle: Rounded Corners 1">
          <a:extLst>
            <a:ext uri="{FF2B5EF4-FFF2-40B4-BE49-F238E27FC236}">
              <a16:creationId xmlns:a16="http://schemas.microsoft.com/office/drawing/2014/main" id="{24FA74CE-0EDE-73B6-8439-A16C72D59BD0}"/>
            </a:ext>
          </a:extLst>
        </xdr:cNvPr>
        <xdr:cNvSpPr/>
      </xdr:nvSpPr>
      <xdr:spPr>
        <a:xfrm>
          <a:off x="0" y="0"/>
          <a:ext cx="6769100" cy="876905"/>
        </a:xfrm>
        <a:prstGeom prst="roundRect">
          <a:avLst>
            <a:gd name="adj" fmla="val 2087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101600</xdr:colOff>
      <xdr:row>0</xdr:row>
      <xdr:rowOff>0</xdr:rowOff>
    </xdr:from>
    <xdr:to>
      <xdr:col>14</xdr:col>
      <xdr:colOff>419100</xdr:colOff>
      <xdr:row>6</xdr:row>
      <xdr:rowOff>145973</xdr:rowOff>
    </xdr:to>
    <xdr:sp macro="" textlink="">
      <xdr:nvSpPr>
        <xdr:cNvPr id="3" name="Rectangle: Rounded Corners 2">
          <a:extLst>
            <a:ext uri="{FF2B5EF4-FFF2-40B4-BE49-F238E27FC236}">
              <a16:creationId xmlns:a16="http://schemas.microsoft.com/office/drawing/2014/main" id="{B2EFE218-7ADB-1C0B-EC59-C17E3F6862B4}"/>
            </a:ext>
          </a:extLst>
        </xdr:cNvPr>
        <xdr:cNvSpPr/>
      </xdr:nvSpPr>
      <xdr:spPr>
        <a:xfrm>
          <a:off x="6807200" y="0"/>
          <a:ext cx="2146300" cy="1288973"/>
        </a:xfrm>
        <a:prstGeom prst="roundRect">
          <a:avLst>
            <a:gd name="adj" fmla="val 2087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p>
      </xdr:txBody>
    </xdr:sp>
    <xdr:clientData/>
  </xdr:twoCellAnchor>
  <xdr:twoCellAnchor editAs="absolute">
    <xdr:from>
      <xdr:col>1</xdr:col>
      <xdr:colOff>304800</xdr:colOff>
      <xdr:row>0</xdr:row>
      <xdr:rowOff>0</xdr:rowOff>
    </xdr:from>
    <xdr:to>
      <xdr:col>11</xdr:col>
      <xdr:colOff>165100</xdr:colOff>
      <xdr:row>4</xdr:row>
      <xdr:rowOff>69589</xdr:rowOff>
    </xdr:to>
    <xdr:sp macro="" textlink="">
      <xdr:nvSpPr>
        <xdr:cNvPr id="5" name="TextBox 4">
          <a:extLst>
            <a:ext uri="{FF2B5EF4-FFF2-40B4-BE49-F238E27FC236}">
              <a16:creationId xmlns:a16="http://schemas.microsoft.com/office/drawing/2014/main" id="{35351394-4AE6-C798-15EA-032AD2359F6A}"/>
            </a:ext>
          </a:extLst>
        </xdr:cNvPr>
        <xdr:cNvSpPr txBox="1"/>
      </xdr:nvSpPr>
      <xdr:spPr>
        <a:xfrm>
          <a:off x="914400" y="0"/>
          <a:ext cx="5956300" cy="831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400"/>
            <a:t>Bike Sharing Demand Analysis Dashboard</a:t>
          </a:r>
        </a:p>
      </xdr:txBody>
    </xdr:sp>
    <xdr:clientData/>
  </xdr:twoCellAnchor>
  <xdr:twoCellAnchor editAs="oneCell">
    <xdr:from>
      <xdr:col>0</xdr:col>
      <xdr:colOff>151182</xdr:colOff>
      <xdr:row>0</xdr:row>
      <xdr:rowOff>132393</xdr:rowOff>
    </xdr:from>
    <xdr:to>
      <xdr:col>1</xdr:col>
      <xdr:colOff>544882</xdr:colOff>
      <xdr:row>4</xdr:row>
      <xdr:rowOff>522</xdr:rowOff>
    </xdr:to>
    <xdr:pic>
      <xdr:nvPicPr>
        <xdr:cNvPr id="7" name="Picture 6">
          <a:extLst>
            <a:ext uri="{FF2B5EF4-FFF2-40B4-BE49-F238E27FC236}">
              <a16:creationId xmlns:a16="http://schemas.microsoft.com/office/drawing/2014/main" id="{14528F75-1B21-612C-9D28-22926A20156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 r="2470" b="12500"/>
        <a:stretch>
          <a:fillRect/>
        </a:stretch>
      </xdr:blipFill>
      <xdr:spPr>
        <a:xfrm>
          <a:off x="151182" y="132393"/>
          <a:ext cx="1037399" cy="598814"/>
        </a:xfrm>
        <a:prstGeom prst="rect">
          <a:avLst/>
        </a:prstGeom>
      </xdr:spPr>
    </xdr:pic>
    <xdr:clientData/>
  </xdr:twoCellAnchor>
  <xdr:twoCellAnchor>
    <xdr:from>
      <xdr:col>12</xdr:col>
      <xdr:colOff>423726</xdr:colOff>
      <xdr:row>0</xdr:row>
      <xdr:rowOff>0</xdr:rowOff>
    </xdr:from>
    <xdr:to>
      <xdr:col>13</xdr:col>
      <xdr:colOff>512627</xdr:colOff>
      <xdr:row>1</xdr:row>
      <xdr:rowOff>170320</xdr:rowOff>
    </xdr:to>
    <xdr:sp macro="" textlink="Pivot_Table!J15">
      <xdr:nvSpPr>
        <xdr:cNvPr id="8" name="TextBox 7">
          <a:extLst>
            <a:ext uri="{FF2B5EF4-FFF2-40B4-BE49-F238E27FC236}">
              <a16:creationId xmlns:a16="http://schemas.microsoft.com/office/drawing/2014/main" id="{654889A7-E04C-5A32-A883-9E70FB02FDED}"/>
            </a:ext>
          </a:extLst>
        </xdr:cNvPr>
        <xdr:cNvSpPr txBox="1"/>
      </xdr:nvSpPr>
      <xdr:spPr>
        <a:xfrm>
          <a:off x="8152583" y="0"/>
          <a:ext cx="732973" cy="351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DE538F-A40C-4701-8831-2181B48326B1}" type="TxLink">
            <a:rPr lang="en-US" sz="2000" b="1" i="0" u="none" strike="noStrike">
              <a:solidFill>
                <a:srgbClr val="000000"/>
              </a:solidFill>
              <a:latin typeface="Calibri"/>
              <a:cs typeface="Calibri"/>
            </a:rPr>
            <a:pPr algn="ctr"/>
            <a:t>249</a:t>
          </a:fld>
          <a:endParaRPr lang="en-IN" sz="2000" b="1"/>
        </a:p>
      </xdr:txBody>
    </xdr:sp>
    <xdr:clientData/>
  </xdr:twoCellAnchor>
  <xdr:twoCellAnchor>
    <xdr:from>
      <xdr:col>12</xdr:col>
      <xdr:colOff>326485</xdr:colOff>
      <xdr:row>2</xdr:row>
      <xdr:rowOff>58674</xdr:rowOff>
    </xdr:from>
    <xdr:to>
      <xdr:col>14</xdr:col>
      <xdr:colOff>572306</xdr:colOff>
      <xdr:row>5</xdr:row>
      <xdr:rowOff>70730</xdr:rowOff>
    </xdr:to>
    <xdr:sp macro="" textlink="">
      <xdr:nvSpPr>
        <xdr:cNvPr id="9" name="TextBox 8">
          <a:extLst>
            <a:ext uri="{FF2B5EF4-FFF2-40B4-BE49-F238E27FC236}">
              <a16:creationId xmlns:a16="http://schemas.microsoft.com/office/drawing/2014/main" id="{1A74993E-FDE4-FEA8-6A59-D3E62F79A1E3}"/>
            </a:ext>
          </a:extLst>
        </xdr:cNvPr>
        <xdr:cNvSpPr txBox="1"/>
      </xdr:nvSpPr>
      <xdr:spPr>
        <a:xfrm>
          <a:off x="8055342" y="421531"/>
          <a:ext cx="1533964" cy="556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1">
              <a:solidFill>
                <a:srgbClr val="0070C0"/>
              </a:solidFill>
              <a:latin typeface="Bahnschrift Light" panose="020B0502040204020203" pitchFamily="34" charset="0"/>
            </a:rPr>
            <a:t>Peak </a:t>
          </a:r>
        </a:p>
        <a:p>
          <a:pPr algn="ctr"/>
          <a:r>
            <a:rPr lang="en-IN" sz="1400" b="1" i="1">
              <a:solidFill>
                <a:srgbClr val="0070C0"/>
              </a:solidFill>
              <a:latin typeface="Bahnschrift Light" panose="020B0502040204020203" pitchFamily="34" charset="0"/>
            </a:rPr>
            <a:t>Demand </a:t>
          </a:r>
        </a:p>
      </xdr:txBody>
    </xdr:sp>
    <xdr:clientData/>
  </xdr:twoCellAnchor>
  <xdr:twoCellAnchor>
    <xdr:from>
      <xdr:col>15</xdr:col>
      <xdr:colOff>546100</xdr:colOff>
      <xdr:row>12</xdr:row>
      <xdr:rowOff>12700</xdr:rowOff>
    </xdr:from>
    <xdr:to>
      <xdr:col>18</xdr:col>
      <xdr:colOff>12700</xdr:colOff>
      <xdr:row>14</xdr:row>
      <xdr:rowOff>76200</xdr:rowOff>
    </xdr:to>
    <xdr:sp macro="" textlink="Pivot_Table!K13">
      <xdr:nvSpPr>
        <xdr:cNvPr id="14" name="TextBox 13" hidden="1">
          <a:extLst>
            <a:ext uri="{FF2B5EF4-FFF2-40B4-BE49-F238E27FC236}">
              <a16:creationId xmlns:a16="http://schemas.microsoft.com/office/drawing/2014/main" id="{94FEFBE5-984F-7C35-5FE6-070949369AD5}"/>
            </a:ext>
          </a:extLst>
        </xdr:cNvPr>
        <xdr:cNvSpPr txBox="1"/>
      </xdr:nvSpPr>
      <xdr:spPr>
        <a:xfrm>
          <a:off x="9690100" y="2298700"/>
          <a:ext cx="12954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FF569D-8574-44C5-8EAC-20A95F2A1DC2}" type="TxLink">
            <a:rPr lang="en-US" sz="1800" b="1" i="0" u="none" strike="noStrike">
              <a:solidFill>
                <a:srgbClr val="000000"/>
              </a:solidFill>
              <a:latin typeface="Calibri"/>
              <a:cs typeface="Calibri"/>
            </a:rPr>
            <a:pPr/>
            <a:t>33898</a:t>
          </a:fld>
          <a:endParaRPr lang="en-IN" sz="1800" b="1"/>
        </a:p>
      </xdr:txBody>
    </xdr:sp>
    <xdr:clientData/>
  </xdr:twoCellAnchor>
  <xdr:twoCellAnchor>
    <xdr:from>
      <xdr:col>14</xdr:col>
      <xdr:colOff>190500</xdr:colOff>
      <xdr:row>0</xdr:row>
      <xdr:rowOff>88900</xdr:rowOff>
    </xdr:from>
    <xdr:to>
      <xdr:col>17</xdr:col>
      <xdr:colOff>177800</xdr:colOff>
      <xdr:row>8</xdr:row>
      <xdr:rowOff>63500</xdr:rowOff>
    </xdr:to>
    <xdr:sp macro="" textlink="">
      <xdr:nvSpPr>
        <xdr:cNvPr id="10" name="TextBox 9" hidden="1">
          <a:extLst>
            <a:ext uri="{FF2B5EF4-FFF2-40B4-BE49-F238E27FC236}">
              <a16:creationId xmlns:a16="http://schemas.microsoft.com/office/drawing/2014/main" id="{7CEDC185-CDE0-6E0A-9159-6510472074D0}"/>
            </a:ext>
          </a:extLst>
        </xdr:cNvPr>
        <xdr:cNvSpPr txBox="1"/>
      </xdr:nvSpPr>
      <xdr:spPr>
        <a:xfrm>
          <a:off x="8724900" y="88900"/>
          <a:ext cx="1816100" cy="1498600"/>
        </a:xfrm>
        <a:prstGeom prst="rect">
          <a:avLst/>
        </a:prstGeom>
        <a:solidFill>
          <a:schemeClr val="lt1">
            <a:alpha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444500</xdr:colOff>
      <xdr:row>0</xdr:row>
      <xdr:rowOff>0</xdr:rowOff>
    </xdr:from>
    <xdr:to>
      <xdr:col>17</xdr:col>
      <xdr:colOff>571501</xdr:colOff>
      <xdr:row>6</xdr:row>
      <xdr:rowOff>145973</xdr:rowOff>
    </xdr:to>
    <xdr:sp macro="" textlink="">
      <xdr:nvSpPr>
        <xdr:cNvPr id="13" name="Rectangle: Rounded Corners 12">
          <a:extLst>
            <a:ext uri="{FF2B5EF4-FFF2-40B4-BE49-F238E27FC236}">
              <a16:creationId xmlns:a16="http://schemas.microsoft.com/office/drawing/2014/main" id="{6C5EFC0A-6345-9E3F-BFB3-99655D685B35}"/>
            </a:ext>
          </a:extLst>
        </xdr:cNvPr>
        <xdr:cNvSpPr/>
      </xdr:nvSpPr>
      <xdr:spPr>
        <a:xfrm>
          <a:off x="8978900" y="0"/>
          <a:ext cx="1955801" cy="1288973"/>
        </a:xfrm>
        <a:prstGeom prst="roundRect">
          <a:avLst>
            <a:gd name="adj" fmla="val 19067"/>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15</xdr:col>
      <xdr:colOff>50800</xdr:colOff>
      <xdr:row>0</xdr:row>
      <xdr:rowOff>0</xdr:rowOff>
    </xdr:from>
    <xdr:to>
      <xdr:col>17</xdr:col>
      <xdr:colOff>595419</xdr:colOff>
      <xdr:row>2</xdr:row>
      <xdr:rowOff>56019</xdr:rowOff>
    </xdr:to>
    <xdr:sp macro="" textlink="Pivot_Table!K13">
      <xdr:nvSpPr>
        <xdr:cNvPr id="15" name="TextBox 14">
          <a:extLst>
            <a:ext uri="{FF2B5EF4-FFF2-40B4-BE49-F238E27FC236}">
              <a16:creationId xmlns:a16="http://schemas.microsoft.com/office/drawing/2014/main" id="{3B8834B1-9210-710F-3338-FC9BF7D7B5F6}"/>
            </a:ext>
          </a:extLst>
        </xdr:cNvPr>
        <xdr:cNvSpPr txBox="1"/>
      </xdr:nvSpPr>
      <xdr:spPr>
        <a:xfrm>
          <a:off x="9194800" y="0"/>
          <a:ext cx="1763819" cy="437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E3968F-5C93-4394-A8EE-C2E7A0D55A94}" type="TxLink">
            <a:rPr lang="en-US" sz="2000" b="1" i="0" u="none" strike="noStrike">
              <a:solidFill>
                <a:srgbClr val="000000"/>
              </a:solidFill>
              <a:latin typeface="Calibri"/>
              <a:cs typeface="Calibri"/>
            </a:rPr>
            <a:pPr algn="ctr"/>
            <a:t>33898</a:t>
          </a:fld>
          <a:endParaRPr lang="en-IN" sz="2000" b="1"/>
        </a:p>
      </xdr:txBody>
    </xdr:sp>
    <xdr:clientData/>
  </xdr:twoCellAnchor>
  <xdr:twoCellAnchor>
    <xdr:from>
      <xdr:col>15</xdr:col>
      <xdr:colOff>241301</xdr:colOff>
      <xdr:row>2</xdr:row>
      <xdr:rowOff>63529</xdr:rowOff>
    </xdr:from>
    <xdr:to>
      <xdr:col>17</xdr:col>
      <xdr:colOff>447395</xdr:colOff>
      <xdr:row>6</xdr:row>
      <xdr:rowOff>116976</xdr:rowOff>
    </xdr:to>
    <xdr:sp macro="" textlink="">
      <xdr:nvSpPr>
        <xdr:cNvPr id="16" name="TextBox 15">
          <a:extLst>
            <a:ext uri="{FF2B5EF4-FFF2-40B4-BE49-F238E27FC236}">
              <a16:creationId xmlns:a16="http://schemas.microsoft.com/office/drawing/2014/main" id="{96266577-916A-F3E1-D0D3-908E9D448F4C}"/>
            </a:ext>
          </a:extLst>
        </xdr:cNvPr>
        <xdr:cNvSpPr txBox="1"/>
      </xdr:nvSpPr>
      <xdr:spPr>
        <a:xfrm>
          <a:off x="9385301" y="444529"/>
          <a:ext cx="1425294" cy="81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400" b="1" i="1">
              <a:solidFill>
                <a:srgbClr val="7030A0"/>
              </a:solidFill>
              <a:latin typeface="Bahnschrift SemiBold" panose="020B0502040204020203" pitchFamily="34" charset="0"/>
            </a:rPr>
            <a:t>Total Bike Rentals </a:t>
          </a:r>
        </a:p>
      </xdr:txBody>
    </xdr:sp>
    <xdr:clientData/>
  </xdr:twoCellAnchor>
  <xdr:twoCellAnchor>
    <xdr:from>
      <xdr:col>17</xdr:col>
      <xdr:colOff>266700</xdr:colOff>
      <xdr:row>1</xdr:row>
      <xdr:rowOff>127000</xdr:rowOff>
    </xdr:from>
    <xdr:to>
      <xdr:col>19</xdr:col>
      <xdr:colOff>444500</xdr:colOff>
      <xdr:row>4</xdr:row>
      <xdr:rowOff>0</xdr:rowOff>
    </xdr:to>
    <xdr:sp macro="" textlink="">
      <xdr:nvSpPr>
        <xdr:cNvPr id="18" name="TextBox 17" hidden="1">
          <a:extLst>
            <a:ext uri="{FF2B5EF4-FFF2-40B4-BE49-F238E27FC236}">
              <a16:creationId xmlns:a16="http://schemas.microsoft.com/office/drawing/2014/main" id="{3DD8087E-741A-B731-252E-A7862AB5E494}"/>
            </a:ext>
          </a:extLst>
        </xdr:cNvPr>
        <xdr:cNvSpPr txBox="1"/>
      </xdr:nvSpPr>
      <xdr:spPr>
        <a:xfrm>
          <a:off x="10629900" y="317500"/>
          <a:ext cx="13970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18</xdr:col>
      <xdr:colOff>0</xdr:colOff>
      <xdr:row>0</xdr:row>
      <xdr:rowOff>0</xdr:rowOff>
    </xdr:from>
    <xdr:to>
      <xdr:col>21</xdr:col>
      <xdr:colOff>101599</xdr:colOff>
      <xdr:row>6</xdr:row>
      <xdr:rowOff>144651</xdr:rowOff>
    </xdr:to>
    <xdr:sp macro="" textlink="">
      <xdr:nvSpPr>
        <xdr:cNvPr id="19" name="Rectangle: Rounded Corners 18">
          <a:extLst>
            <a:ext uri="{FF2B5EF4-FFF2-40B4-BE49-F238E27FC236}">
              <a16:creationId xmlns:a16="http://schemas.microsoft.com/office/drawing/2014/main" id="{094B047A-6921-8331-BBDA-7051D468E4CF}"/>
            </a:ext>
          </a:extLst>
        </xdr:cNvPr>
        <xdr:cNvSpPr/>
      </xdr:nvSpPr>
      <xdr:spPr>
        <a:xfrm>
          <a:off x="10972800" y="0"/>
          <a:ext cx="1930399" cy="128765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244481</xdr:colOff>
      <xdr:row>0</xdr:row>
      <xdr:rowOff>25400</xdr:rowOff>
    </xdr:from>
    <xdr:to>
      <xdr:col>20</xdr:col>
      <xdr:colOff>433145</xdr:colOff>
      <xdr:row>2</xdr:row>
      <xdr:rowOff>55672</xdr:rowOff>
    </xdr:to>
    <xdr:sp macro="" textlink="Pivot_Table!I13">
      <xdr:nvSpPr>
        <xdr:cNvPr id="20" name="TextBox 19">
          <a:extLst>
            <a:ext uri="{FF2B5EF4-FFF2-40B4-BE49-F238E27FC236}">
              <a16:creationId xmlns:a16="http://schemas.microsoft.com/office/drawing/2014/main" id="{F4CC1C30-59B8-BD1B-127E-941B330F5C3D}"/>
            </a:ext>
          </a:extLst>
        </xdr:cNvPr>
        <xdr:cNvSpPr txBox="1"/>
      </xdr:nvSpPr>
      <xdr:spPr>
        <a:xfrm>
          <a:off x="11217281" y="25400"/>
          <a:ext cx="1407864" cy="411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9EDFED-6722-4806-8B69-6CCBD0E9C087}" type="TxLink">
            <a:rPr lang="en-US" sz="2000" b="1" i="0" u="none" strike="noStrike">
              <a:solidFill>
                <a:srgbClr val="000000"/>
              </a:solidFill>
              <a:latin typeface="Calibri"/>
              <a:cs typeface="Calibri"/>
            </a:rPr>
            <a:pPr algn="ctr"/>
            <a:t>610</a:t>
          </a:fld>
          <a:endParaRPr lang="en-IN" sz="2000" b="1"/>
        </a:p>
      </xdr:txBody>
    </xdr:sp>
    <xdr:clientData/>
  </xdr:twoCellAnchor>
  <xdr:twoCellAnchor>
    <xdr:from>
      <xdr:col>10</xdr:col>
      <xdr:colOff>25400</xdr:colOff>
      <xdr:row>12</xdr:row>
      <xdr:rowOff>177800</xdr:rowOff>
    </xdr:from>
    <xdr:to>
      <xdr:col>11</xdr:col>
      <xdr:colOff>330200</xdr:colOff>
      <xdr:row>17</xdr:row>
      <xdr:rowOff>139700</xdr:rowOff>
    </xdr:to>
    <xdr:sp macro="" textlink="">
      <xdr:nvSpPr>
        <xdr:cNvPr id="21" name="TextBox 20" hidden="1">
          <a:extLst>
            <a:ext uri="{FF2B5EF4-FFF2-40B4-BE49-F238E27FC236}">
              <a16:creationId xmlns:a16="http://schemas.microsoft.com/office/drawing/2014/main" id="{0455E260-5B30-1E8C-A7DF-22D78E4DBEB1}"/>
            </a:ext>
          </a:extLst>
        </xdr:cNvPr>
        <xdr:cNvSpPr txBox="1"/>
      </xdr:nvSpPr>
      <xdr:spPr>
        <a:xfrm>
          <a:off x="6121400" y="246380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19</xdr:col>
      <xdr:colOff>49679</xdr:colOff>
      <xdr:row>2</xdr:row>
      <xdr:rowOff>54735</xdr:rowOff>
    </xdr:from>
    <xdr:to>
      <xdr:col>20</xdr:col>
      <xdr:colOff>534756</xdr:colOff>
      <xdr:row>5</xdr:row>
      <xdr:rowOff>149074</xdr:rowOff>
    </xdr:to>
    <xdr:sp macro="" textlink="">
      <xdr:nvSpPr>
        <xdr:cNvPr id="22" name="TextBox 21">
          <a:extLst>
            <a:ext uri="{FF2B5EF4-FFF2-40B4-BE49-F238E27FC236}">
              <a16:creationId xmlns:a16="http://schemas.microsoft.com/office/drawing/2014/main" id="{C9CBE86D-2138-D20D-A426-5FA42B8954E2}"/>
            </a:ext>
          </a:extLst>
        </xdr:cNvPr>
        <xdr:cNvSpPr txBox="1"/>
      </xdr:nvSpPr>
      <xdr:spPr>
        <a:xfrm>
          <a:off x="11632079" y="435735"/>
          <a:ext cx="1094677" cy="66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u="none" strike="noStrike">
              <a:solidFill>
                <a:srgbClr val="C00000"/>
              </a:solidFill>
              <a:effectLst/>
              <a:latin typeface="Bahnschrift SemiLight" panose="020B0502040204020203" pitchFamily="34" charset="0"/>
              <a:ea typeface="+mn-ea"/>
              <a:cs typeface="+mn-cs"/>
            </a:rPr>
            <a:t>Count of Demand_</a:t>
          </a:r>
        </a:p>
        <a:p>
          <a:pPr algn="ctr"/>
          <a:r>
            <a:rPr lang="en-IN" sz="1100" b="1" i="1" u="none" strike="noStrike">
              <a:solidFill>
                <a:srgbClr val="C00000"/>
              </a:solidFill>
              <a:effectLst/>
              <a:latin typeface="Bahnschrift SemiLight" panose="020B0502040204020203" pitchFamily="34" charset="0"/>
              <a:ea typeface="+mn-ea"/>
              <a:cs typeface="+mn-cs"/>
            </a:rPr>
            <a:t>Level</a:t>
          </a:r>
          <a:r>
            <a:rPr lang="en-IN" sz="1100" b="1" i="1">
              <a:solidFill>
                <a:srgbClr val="C00000"/>
              </a:solidFill>
              <a:effectLst/>
              <a:latin typeface="Bahnschrift SemiLight" panose="020B0502040204020203" pitchFamily="34" charset="0"/>
            </a:rPr>
            <a:t> </a:t>
          </a:r>
          <a:endParaRPr lang="en-IN" sz="1100" b="1" i="1">
            <a:solidFill>
              <a:srgbClr val="C00000"/>
            </a:solidFill>
            <a:latin typeface="Bahnschrift SemiLight" panose="020B0502040204020203" pitchFamily="34" charset="0"/>
          </a:endParaRPr>
        </a:p>
      </xdr:txBody>
    </xdr:sp>
    <xdr:clientData/>
  </xdr:twoCellAnchor>
  <xdr:twoCellAnchor>
    <xdr:from>
      <xdr:col>2</xdr:col>
      <xdr:colOff>532993</xdr:colOff>
      <xdr:row>16</xdr:row>
      <xdr:rowOff>63500</xdr:rowOff>
    </xdr:from>
    <xdr:to>
      <xdr:col>11</xdr:col>
      <xdr:colOff>81270</xdr:colOff>
      <xdr:row>30</xdr:row>
      <xdr:rowOff>114301</xdr:rowOff>
    </xdr:to>
    <xdr:graphicFrame macro="">
      <xdr:nvGraphicFramePr>
        <xdr:cNvPr id="24" name="Chart 23">
          <a:extLst>
            <a:ext uri="{FF2B5EF4-FFF2-40B4-BE49-F238E27FC236}">
              <a16:creationId xmlns:a16="http://schemas.microsoft.com/office/drawing/2014/main" id="{8F1509CF-D487-4FED-87ED-07FA34016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501834</xdr:colOff>
      <xdr:row>2</xdr:row>
      <xdr:rowOff>3651</xdr:rowOff>
    </xdr:from>
    <xdr:to>
      <xdr:col>16</xdr:col>
      <xdr:colOff>24860</xdr:colOff>
      <xdr:row>5</xdr:row>
      <xdr:rowOff>63936</xdr:rowOff>
    </xdr:to>
    <xdr:pic>
      <xdr:nvPicPr>
        <xdr:cNvPr id="26" name="Graphic 25" descr="Motorcycle">
          <a:extLst>
            <a:ext uri="{FF2B5EF4-FFF2-40B4-BE49-F238E27FC236}">
              <a16:creationId xmlns:a16="http://schemas.microsoft.com/office/drawing/2014/main" id="{BD6441A1-DC65-46DA-7A4C-9FAF80559A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036234" y="384651"/>
          <a:ext cx="742226" cy="631785"/>
        </a:xfrm>
        <a:prstGeom prst="rect">
          <a:avLst/>
        </a:prstGeom>
      </xdr:spPr>
    </xdr:pic>
    <xdr:clientData/>
  </xdr:twoCellAnchor>
  <xdr:twoCellAnchor editAs="oneCell">
    <xdr:from>
      <xdr:col>11</xdr:col>
      <xdr:colOff>477182</xdr:colOff>
      <xdr:row>2</xdr:row>
      <xdr:rowOff>46605</xdr:rowOff>
    </xdr:from>
    <xdr:to>
      <xdr:col>13</xdr:col>
      <xdr:colOff>38078</xdr:colOff>
      <xdr:row>6</xdr:row>
      <xdr:rowOff>34897</xdr:rowOff>
    </xdr:to>
    <xdr:pic>
      <xdr:nvPicPr>
        <xdr:cNvPr id="28" name="Graphic 27" descr="Scooter">
          <a:extLst>
            <a:ext uri="{FF2B5EF4-FFF2-40B4-BE49-F238E27FC236}">
              <a16:creationId xmlns:a16="http://schemas.microsoft.com/office/drawing/2014/main" id="{3A359F5C-3F85-633B-F04E-50643A5774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61968" y="409462"/>
          <a:ext cx="849039" cy="714006"/>
        </a:xfrm>
        <a:prstGeom prst="rect">
          <a:avLst/>
        </a:prstGeom>
      </xdr:spPr>
    </xdr:pic>
    <xdr:clientData/>
  </xdr:twoCellAnchor>
  <xdr:twoCellAnchor editAs="oneCell">
    <xdr:from>
      <xdr:col>18</xdr:col>
      <xdr:colOff>104574</xdr:colOff>
      <xdr:row>2</xdr:row>
      <xdr:rowOff>22964</xdr:rowOff>
    </xdr:from>
    <xdr:to>
      <xdr:col>19</xdr:col>
      <xdr:colOff>56344</xdr:colOff>
      <xdr:row>5</xdr:row>
      <xdr:rowOff>107364</xdr:rowOff>
    </xdr:to>
    <xdr:pic>
      <xdr:nvPicPr>
        <xdr:cNvPr id="30" name="Graphic 29" descr="Tractor">
          <a:extLst>
            <a:ext uri="{FF2B5EF4-FFF2-40B4-BE49-F238E27FC236}">
              <a16:creationId xmlns:a16="http://schemas.microsoft.com/office/drawing/2014/main" id="{EF9ED3C0-2EF2-EEE6-AAD3-E4DDC9321A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077374" y="403964"/>
          <a:ext cx="561370" cy="655900"/>
        </a:xfrm>
        <a:prstGeom prst="rect">
          <a:avLst/>
        </a:prstGeom>
      </xdr:spPr>
    </xdr:pic>
    <xdr:clientData/>
  </xdr:twoCellAnchor>
  <xdr:twoCellAnchor>
    <xdr:from>
      <xdr:col>21</xdr:col>
      <xdr:colOff>495300</xdr:colOff>
      <xdr:row>7</xdr:row>
      <xdr:rowOff>38100</xdr:rowOff>
    </xdr:from>
    <xdr:to>
      <xdr:col>27</xdr:col>
      <xdr:colOff>279400</xdr:colOff>
      <xdr:row>30</xdr:row>
      <xdr:rowOff>127000</xdr:rowOff>
    </xdr:to>
    <xdr:graphicFrame macro="">
      <xdr:nvGraphicFramePr>
        <xdr:cNvPr id="36" name="Chart 35">
          <a:extLst>
            <a:ext uri="{FF2B5EF4-FFF2-40B4-BE49-F238E27FC236}">
              <a16:creationId xmlns:a16="http://schemas.microsoft.com/office/drawing/2014/main" id="{DCCE6241-B686-4E79-8D50-5C81032D5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24</xdr:col>
      <xdr:colOff>317500</xdr:colOff>
      <xdr:row>0</xdr:row>
      <xdr:rowOff>0</xdr:rowOff>
    </xdr:from>
    <xdr:to>
      <xdr:col>27</xdr:col>
      <xdr:colOff>310812</xdr:colOff>
      <xdr:row>6</xdr:row>
      <xdr:rowOff>127737</xdr:rowOff>
    </xdr:to>
    <mc:AlternateContent xmlns:mc="http://schemas.openxmlformats.org/markup-compatibility/2006" xmlns:a14="http://schemas.microsoft.com/office/drawing/2010/main">
      <mc:Choice Requires="a14">
        <xdr:graphicFrame macro="">
          <xdr:nvGraphicFramePr>
            <xdr:cNvPr id="37" name="Demand_Level 2">
              <a:extLst>
                <a:ext uri="{FF2B5EF4-FFF2-40B4-BE49-F238E27FC236}">
                  <a16:creationId xmlns:a16="http://schemas.microsoft.com/office/drawing/2014/main" id="{09A586D6-2337-4D03-8711-95DCF2F13EE8}"/>
                </a:ext>
              </a:extLst>
            </xdr:cNvPr>
            <xdr:cNvGraphicFramePr/>
          </xdr:nvGraphicFramePr>
          <xdr:xfrm>
            <a:off x="0" y="0"/>
            <a:ext cx="0" cy="0"/>
          </xdr:xfrm>
          <a:graphic>
            <a:graphicData uri="http://schemas.microsoft.com/office/drawing/2010/slicer">
              <sle:slicer xmlns:sle="http://schemas.microsoft.com/office/drawing/2010/slicer" name="Demand_Level 2"/>
            </a:graphicData>
          </a:graphic>
        </xdr:graphicFrame>
      </mc:Choice>
      <mc:Fallback xmlns="">
        <xdr:sp macro="" textlink="">
          <xdr:nvSpPr>
            <xdr:cNvPr id="0" name=""/>
            <xdr:cNvSpPr>
              <a:spLocks noTextEdit="1"/>
            </xdr:cNvSpPr>
          </xdr:nvSpPr>
          <xdr:spPr>
            <a:xfrm>
              <a:off x="14947900" y="0"/>
              <a:ext cx="1822112" cy="1270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38100</xdr:rowOff>
    </xdr:from>
    <xdr:to>
      <xdr:col>2</xdr:col>
      <xdr:colOff>520700</xdr:colOff>
      <xdr:row>30</xdr:row>
      <xdr:rowOff>114300</xdr:rowOff>
    </xdr:to>
    <mc:AlternateContent xmlns:mc="http://schemas.openxmlformats.org/markup-compatibility/2006" xmlns:a14="http://schemas.microsoft.com/office/drawing/2010/main">
      <mc:Choice Requires="a14">
        <xdr:graphicFrame macro="">
          <xdr:nvGraphicFramePr>
            <xdr:cNvPr id="38" name="Weathersit 2">
              <a:extLst>
                <a:ext uri="{FF2B5EF4-FFF2-40B4-BE49-F238E27FC236}">
                  <a16:creationId xmlns:a16="http://schemas.microsoft.com/office/drawing/2014/main" id="{16363B94-3B8A-4997-86FE-61E50CA6F0C3}"/>
                </a:ext>
              </a:extLst>
            </xdr:cNvPr>
            <xdr:cNvGraphicFramePr/>
          </xdr:nvGraphicFramePr>
          <xdr:xfrm>
            <a:off x="0" y="0"/>
            <a:ext cx="0" cy="0"/>
          </xdr:xfrm>
          <a:graphic>
            <a:graphicData uri="http://schemas.microsoft.com/office/drawing/2010/slicer">
              <sle:slicer xmlns:sle="http://schemas.microsoft.com/office/drawing/2010/slicer" name="Weathersit 2"/>
            </a:graphicData>
          </a:graphic>
        </xdr:graphicFrame>
      </mc:Choice>
      <mc:Fallback xmlns="">
        <xdr:sp macro="" textlink="">
          <xdr:nvSpPr>
            <xdr:cNvPr id="0" name=""/>
            <xdr:cNvSpPr>
              <a:spLocks noTextEdit="1"/>
            </xdr:cNvSpPr>
          </xdr:nvSpPr>
          <xdr:spPr>
            <a:xfrm>
              <a:off x="0" y="3565159"/>
              <a:ext cx="1862819" cy="1478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177800</xdr:rowOff>
    </xdr:from>
    <xdr:to>
      <xdr:col>2</xdr:col>
      <xdr:colOff>529488</xdr:colOff>
      <xdr:row>19</xdr:row>
      <xdr:rowOff>9071</xdr:rowOff>
    </xdr:to>
    <mc:AlternateContent xmlns:mc="http://schemas.openxmlformats.org/markup-compatibility/2006" xmlns:a14="http://schemas.microsoft.com/office/drawing/2010/main">
      <mc:Choice Requires="a14">
        <xdr:graphicFrame macro="">
          <xdr:nvGraphicFramePr>
            <xdr:cNvPr id="40" name="Weekday 3">
              <a:extLst>
                <a:ext uri="{FF2B5EF4-FFF2-40B4-BE49-F238E27FC236}">
                  <a16:creationId xmlns:a16="http://schemas.microsoft.com/office/drawing/2014/main" id="{E1CC4FD7-BECE-4F3B-BDEB-8427C5072331}"/>
                </a:ext>
              </a:extLst>
            </xdr:cNvPr>
            <xdr:cNvGraphicFramePr/>
          </xdr:nvGraphicFramePr>
          <xdr:xfrm>
            <a:off x="0" y="0"/>
            <a:ext cx="0" cy="0"/>
          </xdr:xfrm>
          <a:graphic>
            <a:graphicData uri="http://schemas.microsoft.com/office/drawing/2010/slicer">
              <sle:slicer xmlns:sle="http://schemas.microsoft.com/office/drawing/2010/slicer" name="Weekday 3"/>
            </a:graphicData>
          </a:graphic>
        </xdr:graphicFrame>
      </mc:Choice>
      <mc:Fallback xmlns="">
        <xdr:sp macro="" textlink="">
          <xdr:nvSpPr>
            <xdr:cNvPr id="0" name=""/>
            <xdr:cNvSpPr>
              <a:spLocks noTextEdit="1"/>
            </xdr:cNvSpPr>
          </xdr:nvSpPr>
          <xdr:spPr>
            <a:xfrm>
              <a:off x="0" y="2051508"/>
              <a:ext cx="1817631" cy="1404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125534</xdr:colOff>
      <xdr:row>0</xdr:row>
      <xdr:rowOff>0</xdr:rowOff>
    </xdr:from>
    <xdr:to>
      <xdr:col>24</xdr:col>
      <xdr:colOff>279400</xdr:colOff>
      <xdr:row>6</xdr:row>
      <xdr:rowOff>145973</xdr:rowOff>
    </xdr:to>
    <xdr:sp macro="" textlink="">
      <xdr:nvSpPr>
        <xdr:cNvPr id="42" name="Rectangle: Rounded Corners 41">
          <a:extLst>
            <a:ext uri="{FF2B5EF4-FFF2-40B4-BE49-F238E27FC236}">
              <a16:creationId xmlns:a16="http://schemas.microsoft.com/office/drawing/2014/main" id="{45E3BFCF-6D08-B40D-9673-DC5E13D9D972}"/>
            </a:ext>
          </a:extLst>
        </xdr:cNvPr>
        <xdr:cNvSpPr/>
      </xdr:nvSpPr>
      <xdr:spPr>
        <a:xfrm>
          <a:off x="12927134" y="0"/>
          <a:ext cx="1982666" cy="128897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184933</xdr:colOff>
      <xdr:row>2</xdr:row>
      <xdr:rowOff>125781</xdr:rowOff>
    </xdr:from>
    <xdr:to>
      <xdr:col>22</xdr:col>
      <xdr:colOff>197981</xdr:colOff>
      <xdr:row>5</xdr:row>
      <xdr:rowOff>86640</xdr:rowOff>
    </xdr:to>
    <xdr:pic>
      <xdr:nvPicPr>
        <xdr:cNvPr id="44" name="Graphic 43" descr="Cycling">
          <a:extLst>
            <a:ext uri="{FF2B5EF4-FFF2-40B4-BE49-F238E27FC236}">
              <a16:creationId xmlns:a16="http://schemas.microsoft.com/office/drawing/2014/main" id="{8CB062E9-FD86-60B8-2BB6-CB3D36E9111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986533" y="506781"/>
          <a:ext cx="622648" cy="532359"/>
        </a:xfrm>
        <a:prstGeom prst="rect">
          <a:avLst/>
        </a:prstGeom>
      </xdr:spPr>
    </xdr:pic>
    <xdr:clientData/>
  </xdr:twoCellAnchor>
  <xdr:twoCellAnchor>
    <xdr:from>
      <xdr:col>21</xdr:col>
      <xdr:colOff>517270</xdr:colOff>
      <xdr:row>0</xdr:row>
      <xdr:rowOff>12700</xdr:rowOff>
    </xdr:from>
    <xdr:to>
      <xdr:col>23</xdr:col>
      <xdr:colOff>517270</xdr:colOff>
      <xdr:row>2</xdr:row>
      <xdr:rowOff>90987</xdr:rowOff>
    </xdr:to>
    <xdr:sp macro="" textlink="Pivot_Table!J12">
      <xdr:nvSpPr>
        <xdr:cNvPr id="47" name="TextBox 46">
          <a:extLst>
            <a:ext uri="{FF2B5EF4-FFF2-40B4-BE49-F238E27FC236}">
              <a16:creationId xmlns:a16="http://schemas.microsoft.com/office/drawing/2014/main" id="{E9E31A46-A6F7-D9E2-CE52-3A0068C13A54}"/>
            </a:ext>
          </a:extLst>
        </xdr:cNvPr>
        <xdr:cNvSpPr txBox="1"/>
      </xdr:nvSpPr>
      <xdr:spPr>
        <a:xfrm>
          <a:off x="13318870" y="12700"/>
          <a:ext cx="1219200" cy="459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7F0F56-3264-4914-8DFD-B398388887C4}" type="TxLink">
            <a:rPr lang="en-US" sz="1400" b="1" i="0" u="none" strike="noStrike">
              <a:solidFill>
                <a:srgbClr val="000000"/>
              </a:solidFill>
              <a:latin typeface="Calibri"/>
              <a:cs typeface="Calibri"/>
            </a:rPr>
            <a:pPr/>
            <a:t>55.5704918</a:t>
          </a:fld>
          <a:endParaRPr lang="en-IN" sz="1400" b="1"/>
        </a:p>
      </xdr:txBody>
    </xdr:sp>
    <xdr:clientData/>
  </xdr:twoCellAnchor>
  <xdr:twoCellAnchor>
    <xdr:from>
      <xdr:col>22</xdr:col>
      <xdr:colOff>200591</xdr:colOff>
      <xdr:row>2</xdr:row>
      <xdr:rowOff>52192</xdr:rowOff>
    </xdr:from>
    <xdr:to>
      <xdr:col>24</xdr:col>
      <xdr:colOff>56690</xdr:colOff>
      <xdr:row>6</xdr:row>
      <xdr:rowOff>13049</xdr:rowOff>
    </xdr:to>
    <xdr:sp macro="" textlink="">
      <xdr:nvSpPr>
        <xdr:cNvPr id="48" name="TextBox 47">
          <a:extLst>
            <a:ext uri="{FF2B5EF4-FFF2-40B4-BE49-F238E27FC236}">
              <a16:creationId xmlns:a16="http://schemas.microsoft.com/office/drawing/2014/main" id="{3786E42F-D10B-21D6-98D2-D0D1D91764C8}"/>
            </a:ext>
          </a:extLst>
        </xdr:cNvPr>
        <xdr:cNvSpPr txBox="1"/>
      </xdr:nvSpPr>
      <xdr:spPr>
        <a:xfrm>
          <a:off x="13611791" y="433192"/>
          <a:ext cx="1075299" cy="72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1">
              <a:solidFill>
                <a:srgbClr val="00B050"/>
              </a:solidFill>
              <a:latin typeface="Bahnschrift Light" panose="020B0502040204020203" pitchFamily="34" charset="0"/>
            </a:rPr>
            <a:t>Average Demand </a:t>
          </a:r>
        </a:p>
      </xdr:txBody>
    </xdr:sp>
    <xdr:clientData/>
  </xdr:twoCellAnchor>
  <xdr:twoCellAnchor>
    <xdr:from>
      <xdr:col>2</xdr:col>
      <xdr:colOff>571500</xdr:colOff>
      <xdr:row>4</xdr:row>
      <xdr:rowOff>152400</xdr:rowOff>
    </xdr:from>
    <xdr:to>
      <xdr:col>11</xdr:col>
      <xdr:colOff>38100</xdr:colOff>
      <xdr:row>16</xdr:row>
      <xdr:rowOff>0</xdr:rowOff>
    </xdr:to>
    <xdr:graphicFrame macro="">
      <xdr:nvGraphicFramePr>
        <xdr:cNvPr id="4" name="Chart 3">
          <a:extLst>
            <a:ext uri="{FF2B5EF4-FFF2-40B4-BE49-F238E27FC236}">
              <a16:creationId xmlns:a16="http://schemas.microsoft.com/office/drawing/2014/main" id="{727A7B38-3734-4825-987B-698FCD955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114300</xdr:colOff>
      <xdr:row>19</xdr:row>
      <xdr:rowOff>165300</xdr:rowOff>
    </xdr:from>
    <xdr:to>
      <xdr:col>21</xdr:col>
      <xdr:colOff>431799</xdr:colOff>
      <xdr:row>30</xdr:row>
      <xdr:rowOff>101600</xdr:rowOff>
    </xdr:to>
    <xdr:graphicFrame macro="">
      <xdr:nvGraphicFramePr>
        <xdr:cNvPr id="6" name="Chart 5">
          <a:extLst>
            <a:ext uri="{FF2B5EF4-FFF2-40B4-BE49-F238E27FC236}">
              <a16:creationId xmlns:a16="http://schemas.microsoft.com/office/drawing/2014/main" id="{12E5704D-41A5-46EB-AA54-69B68CD90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114300</xdr:colOff>
      <xdr:row>7</xdr:row>
      <xdr:rowOff>0</xdr:rowOff>
    </xdr:from>
    <xdr:to>
      <xdr:col>21</xdr:col>
      <xdr:colOff>438679</xdr:colOff>
      <xdr:row>19</xdr:row>
      <xdr:rowOff>114300</xdr:rowOff>
    </xdr:to>
    <xdr:graphicFrame macro="">
      <xdr:nvGraphicFramePr>
        <xdr:cNvPr id="11" name="Chart 10">
          <a:extLst>
            <a:ext uri="{FF2B5EF4-FFF2-40B4-BE49-F238E27FC236}">
              <a16:creationId xmlns:a16="http://schemas.microsoft.com/office/drawing/2014/main" id="{F7EB08F3-A041-46BE-91E0-373287256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0.063966203707" createdVersion="7" refreshedVersion="7" minRefreshableVersion="3" recordCount="610" xr:uid="{6785A2B3-E4E3-496E-B97A-75E1AF205F80}">
  <cacheSource type="worksheet">
    <worksheetSource name="Combined_Data"/>
  </cacheSource>
  <cacheFields count="15">
    <cacheField name="Instant" numFmtId="0">
      <sharedItems containsSemiMixedTypes="0" containsString="0" containsNumber="1" containsInteger="1" minValue="1" maxValue="610"/>
    </cacheField>
    <cacheField name="Date" numFmtId="14">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Season" numFmtId="0">
      <sharedItems/>
    </cacheField>
    <cacheField name="Month" numFmtId="0">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unt="7">
        <s v="Saturday"/>
        <s v="Sunday"/>
        <s v="Monday"/>
        <s v="Tuesday"/>
        <s v="Wednesday"/>
        <s v="Thursday"/>
        <s v="Friday"/>
      </sharedItems>
    </cacheField>
    <cacheField name="Weathersit" numFmtId="0">
      <sharedItems count="4">
        <s v="Clear"/>
        <s v="Mist"/>
        <s v="Light Snow"/>
        <s v="Heavy Snow"/>
      </sharedItems>
    </cacheField>
    <cacheField name="Temp" numFmtId="2">
      <sharedItems containsSemiMixedTypes="0" containsString="0" containsNumber="1" minValue="0.02" maxValue="0.46"/>
    </cacheField>
    <cacheField name="ATemp" numFmtId="164">
      <sharedItems containsSemiMixedTypes="0" containsString="0" containsNumber="1" minValue="0" maxValue="0.45450000000000002"/>
    </cacheField>
    <cacheField name="Hum" numFmtId="2">
      <sharedItems containsSemiMixedTypes="0" containsString="0" containsNumber="1" minValue="0.21" maxValue="1"/>
    </cacheField>
    <cacheField name="WindsSpeed" numFmtId="0">
      <sharedItems containsSemiMixedTypes="0" containsString="0" containsNumber="1" minValue="0" maxValue="0.58209999999999995"/>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pivotCacheId="2779013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0.886043287035" createdVersion="7" refreshedVersion="7" minRefreshableVersion="3" recordCount="610" xr:uid="{0E8AC148-6500-40DC-9C2A-A6F20132CEB4}">
  <cacheSource type="worksheet">
    <worksheetSource ref="A1:L611" sheet="Derived_Data"/>
  </cacheSource>
  <cacheFields count="12">
    <cacheField name="Instant" numFmtId="0">
      <sharedItems containsSemiMixedTypes="0" containsString="0" containsNumber="1" containsInteger="1" minValue="1" maxValue="610"/>
    </cacheField>
    <cacheField name="Date" numFmtId="14">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Weekday" numFmtId="0">
      <sharedItems count="7">
        <s v="Saturday"/>
        <s v="Sunday"/>
        <s v="Monday"/>
        <s v="Tuesday"/>
        <s v="Wednesday"/>
        <s v="Thursday"/>
        <s v="Friday"/>
      </sharedItems>
    </cacheField>
    <cacheField name="Holiday" numFmtId="0">
      <sharedItems/>
    </cacheField>
    <cacheField name="Cnt" numFmtId="0">
      <sharedItems containsSemiMixedTypes="0" containsString="0" containsNumber="1" containsInteger="1" minValue="1" maxValue="249"/>
    </cacheField>
    <cacheField name="Casual" numFmtId="0">
      <sharedItems containsSemiMixedTypes="0" containsString="0" containsNumber="1" containsInteger="1" minValue="0" maxValue="47"/>
    </cacheField>
    <cacheField name="Registered" numFmtId="0">
      <sharedItems containsSemiMixedTypes="0" containsString="0" containsNumber="1" containsInteger="1" minValue="0" maxValue="247"/>
    </cacheField>
    <cacheField name="Day_Type" numFmtId="0">
      <sharedItems count="2">
        <s v="Weekend"/>
        <s v="Weekday"/>
      </sharedItems>
    </cacheField>
    <cacheField name="Day_Category" numFmtId="0">
      <sharedItems count="2">
        <s v="Working Day"/>
        <s v="Holiday"/>
      </sharedItems>
    </cacheField>
    <cacheField name="Demand_Level" numFmtId="0">
      <sharedItems count="3">
        <s v="Low"/>
        <s v="Medium"/>
        <s v="High"/>
      </sharedItems>
    </cacheField>
    <cacheField name="Weathersit" numFmtId="0">
      <sharedItems count="4">
        <s v="Clear"/>
        <s v="Mist"/>
        <s v="Light Snow"/>
        <s v="Heavy Snow"/>
      </sharedItems>
    </cacheField>
    <cacheField name="Weather_Scor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42996437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2.721964814817" createdVersion="8" refreshedVersion="8" minRefreshableVersion="3" recordCount="611" xr:uid="{F76C7726-674F-4B37-A88C-09F2F0E7D209}">
  <cacheSource type="worksheet">
    <worksheetSource ref="A1:O1048576" sheet="Combined_Data"/>
  </cacheSource>
  <cacheFields count="15">
    <cacheField name="Instant" numFmtId="0">
      <sharedItems containsString="0" containsBlank="1" containsNumber="1" containsInteger="1" minValue="1" maxValue="610"/>
    </cacheField>
    <cacheField name="Date" numFmtId="0">
      <sharedItems containsNonDate="0" containsDate="1" containsString="0" containsBlank="1" minDate="2011-01-01T00:00:00" maxDate="2011-01-29T00:00:00"/>
    </cacheField>
    <cacheField name="Season" numFmtId="0">
      <sharedItems containsBlank="1"/>
    </cacheField>
    <cacheField name="Month" numFmtId="0">
      <sharedItems containsBlank="1"/>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Blank="1"/>
    </cacheField>
    <cacheField name="Weathersit" numFmtId="0">
      <sharedItems containsBlank="1"/>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Speed" numFmtId="0">
      <sharedItems containsString="0" containsBlank="1" containsNumber="1" minValue="0" maxValue="0.58209999999999995"/>
    </cacheField>
    <cacheField name="Casual" numFmtId="0">
      <sharedItems containsString="0" containsBlank="1" containsNumber="1" containsInteger="1" minValue="0" maxValue="47"/>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x v="0"/>
    <s v="Winter"/>
    <s v="January"/>
    <x v="0"/>
    <x v="0"/>
    <x v="0"/>
    <x v="0"/>
    <n v="0.24"/>
    <n v="0.28789999999999999"/>
    <n v="0.81"/>
    <n v="0"/>
    <x v="0"/>
    <x v="0"/>
    <n v="16"/>
  </r>
  <r>
    <n v="2"/>
    <x v="0"/>
    <s v="Winter"/>
    <s v="January"/>
    <x v="1"/>
    <x v="0"/>
    <x v="0"/>
    <x v="0"/>
    <n v="0.22"/>
    <n v="0.2727"/>
    <n v="0.8"/>
    <n v="0"/>
    <x v="1"/>
    <x v="1"/>
    <n v="40"/>
  </r>
  <r>
    <n v="3"/>
    <x v="0"/>
    <s v="Winter"/>
    <s v="January"/>
    <x v="2"/>
    <x v="0"/>
    <x v="0"/>
    <x v="0"/>
    <n v="0.22"/>
    <n v="0.2727"/>
    <n v="0.8"/>
    <n v="0"/>
    <x v="2"/>
    <x v="2"/>
    <n v="32"/>
  </r>
  <r>
    <n v="4"/>
    <x v="0"/>
    <s v="Winter"/>
    <s v="January"/>
    <x v="3"/>
    <x v="0"/>
    <x v="0"/>
    <x v="0"/>
    <n v="0.24"/>
    <n v="0.28789999999999999"/>
    <n v="0.75"/>
    <n v="0"/>
    <x v="0"/>
    <x v="3"/>
    <n v="13"/>
  </r>
  <r>
    <n v="5"/>
    <x v="0"/>
    <s v="Winter"/>
    <s v="January"/>
    <x v="4"/>
    <x v="0"/>
    <x v="0"/>
    <x v="0"/>
    <n v="0.24"/>
    <n v="0.28789999999999999"/>
    <n v="0.75"/>
    <n v="0"/>
    <x v="3"/>
    <x v="4"/>
    <n v="1"/>
  </r>
  <r>
    <n v="6"/>
    <x v="0"/>
    <s v="Winter"/>
    <s v="January"/>
    <x v="5"/>
    <x v="0"/>
    <x v="0"/>
    <x v="1"/>
    <n v="0.24"/>
    <n v="0.2576"/>
    <n v="0.75"/>
    <n v="8.9599999999999999E-2"/>
    <x v="3"/>
    <x v="4"/>
    <n v="1"/>
  </r>
  <r>
    <n v="7"/>
    <x v="0"/>
    <s v="Winter"/>
    <s v="January"/>
    <x v="6"/>
    <x v="0"/>
    <x v="0"/>
    <x v="0"/>
    <n v="0.22"/>
    <n v="0.2727"/>
    <n v="0.8"/>
    <n v="0"/>
    <x v="4"/>
    <x v="5"/>
    <n v="2"/>
  </r>
  <r>
    <n v="8"/>
    <x v="0"/>
    <s v="Winter"/>
    <s v="January"/>
    <x v="7"/>
    <x v="0"/>
    <x v="0"/>
    <x v="0"/>
    <n v="0.2"/>
    <n v="0.2576"/>
    <n v="0.86"/>
    <n v="0"/>
    <x v="5"/>
    <x v="6"/>
    <n v="3"/>
  </r>
  <r>
    <n v="9"/>
    <x v="0"/>
    <s v="Winter"/>
    <s v="January"/>
    <x v="8"/>
    <x v="0"/>
    <x v="0"/>
    <x v="0"/>
    <n v="0.24"/>
    <n v="0.19700000000000001"/>
    <n v="0.75"/>
    <n v="0"/>
    <x v="5"/>
    <x v="7"/>
    <n v="8"/>
  </r>
  <r>
    <n v="10"/>
    <x v="0"/>
    <s v="Winter"/>
    <s v="January"/>
    <x v="9"/>
    <x v="0"/>
    <x v="0"/>
    <x v="0"/>
    <n v="0.32"/>
    <n v="0.34849999999999998"/>
    <n v="0.76"/>
    <n v="0"/>
    <x v="1"/>
    <x v="8"/>
    <n v="14"/>
  </r>
  <r>
    <n v="11"/>
    <x v="0"/>
    <s v="Winter"/>
    <s v="January"/>
    <x v="10"/>
    <x v="0"/>
    <x v="0"/>
    <x v="0"/>
    <n v="0.38"/>
    <n v="0.39389999999999997"/>
    <n v="0.76"/>
    <n v="0.25369999999999998"/>
    <x v="6"/>
    <x v="9"/>
    <n v="36"/>
  </r>
  <r>
    <n v="12"/>
    <x v="0"/>
    <s v="Winter"/>
    <s v="January"/>
    <x v="11"/>
    <x v="0"/>
    <x v="0"/>
    <x v="0"/>
    <n v="0.36"/>
    <n v="0.33329999999999999"/>
    <n v="0.81"/>
    <n v="0.28360000000000002"/>
    <x v="7"/>
    <x v="10"/>
    <n v="56"/>
  </r>
  <r>
    <n v="13"/>
    <x v="0"/>
    <s v="Winter"/>
    <s v="January"/>
    <x v="12"/>
    <x v="0"/>
    <x v="0"/>
    <x v="0"/>
    <n v="0.42"/>
    <n v="0.42420000000000002"/>
    <n v="0.77"/>
    <n v="0.28360000000000002"/>
    <x v="8"/>
    <x v="11"/>
    <n v="84"/>
  </r>
  <r>
    <n v="14"/>
    <x v="0"/>
    <s v="Winter"/>
    <s v="January"/>
    <x v="13"/>
    <x v="0"/>
    <x v="0"/>
    <x v="1"/>
    <n v="0.46"/>
    <n v="0.45450000000000002"/>
    <n v="0.72"/>
    <n v="0.29849999999999999"/>
    <x v="9"/>
    <x v="12"/>
    <n v="94"/>
  </r>
  <r>
    <n v="15"/>
    <x v="0"/>
    <s v="Winter"/>
    <s v="January"/>
    <x v="14"/>
    <x v="0"/>
    <x v="0"/>
    <x v="1"/>
    <n v="0.46"/>
    <n v="0.45450000000000002"/>
    <n v="0.72"/>
    <n v="0.28360000000000002"/>
    <x v="10"/>
    <x v="13"/>
    <n v="106"/>
  </r>
  <r>
    <n v="16"/>
    <x v="0"/>
    <s v="Winter"/>
    <s v="January"/>
    <x v="15"/>
    <x v="0"/>
    <x v="0"/>
    <x v="1"/>
    <n v="0.44"/>
    <n v="0.43940000000000001"/>
    <n v="0.77"/>
    <n v="0.29849999999999999"/>
    <x v="11"/>
    <x v="14"/>
    <n v="110"/>
  </r>
  <r>
    <n v="17"/>
    <x v="0"/>
    <s v="Winter"/>
    <s v="January"/>
    <x v="16"/>
    <x v="0"/>
    <x v="0"/>
    <x v="1"/>
    <n v="0.42"/>
    <n v="0.42420000000000002"/>
    <n v="0.82"/>
    <n v="0.29849999999999999"/>
    <x v="12"/>
    <x v="15"/>
    <n v="93"/>
  </r>
  <r>
    <n v="18"/>
    <x v="0"/>
    <s v="Winter"/>
    <s v="January"/>
    <x v="17"/>
    <x v="0"/>
    <x v="0"/>
    <x v="1"/>
    <n v="0.44"/>
    <n v="0.19700000000000001"/>
    <n v="0.82"/>
    <n v="0.28360000000000002"/>
    <x v="13"/>
    <x v="15"/>
    <n v="67"/>
  </r>
  <r>
    <n v="19"/>
    <x v="0"/>
    <s v="Winter"/>
    <s v="January"/>
    <x v="18"/>
    <x v="0"/>
    <x v="0"/>
    <x v="2"/>
    <n v="0.42"/>
    <n v="0.42420000000000002"/>
    <n v="0.88"/>
    <n v="0.25369999999999998"/>
    <x v="14"/>
    <x v="16"/>
    <n v="35"/>
  </r>
  <r>
    <n v="20"/>
    <x v="0"/>
    <s v="Winter"/>
    <s v="January"/>
    <x v="19"/>
    <x v="0"/>
    <x v="0"/>
    <x v="2"/>
    <n v="0.42"/>
    <n v="0.42420000000000002"/>
    <n v="0.88"/>
    <n v="0.25369999999999998"/>
    <x v="15"/>
    <x v="17"/>
    <n v="37"/>
  </r>
  <r>
    <n v="21"/>
    <x v="0"/>
    <s v="Winter"/>
    <s v="January"/>
    <x v="20"/>
    <x v="0"/>
    <x v="0"/>
    <x v="1"/>
    <n v="0.4"/>
    <n v="0.40910000000000002"/>
    <n v="0.87"/>
    <n v="0.25369999999999998"/>
    <x v="16"/>
    <x v="18"/>
    <n v="36"/>
  </r>
  <r>
    <n v="22"/>
    <x v="0"/>
    <s v="Winter"/>
    <s v="January"/>
    <x v="21"/>
    <x v="0"/>
    <x v="0"/>
    <x v="1"/>
    <n v="0.4"/>
    <n v="0.40910000000000002"/>
    <n v="0.87"/>
    <n v="0.19400000000000001"/>
    <x v="0"/>
    <x v="17"/>
    <n v="34"/>
  </r>
  <r>
    <n v="23"/>
    <x v="0"/>
    <s v="Winter"/>
    <s v="January"/>
    <x v="22"/>
    <x v="0"/>
    <x v="0"/>
    <x v="1"/>
    <n v="0.4"/>
    <n v="0.40910000000000002"/>
    <n v="0.94"/>
    <n v="0.22389999999999999"/>
    <x v="16"/>
    <x v="19"/>
    <n v="28"/>
  </r>
  <r>
    <n v="24"/>
    <x v="0"/>
    <s v="Winter"/>
    <s v="January"/>
    <x v="23"/>
    <x v="0"/>
    <x v="0"/>
    <x v="1"/>
    <n v="0.46"/>
    <n v="0.19700000000000001"/>
    <n v="0.88"/>
    <n v="0.29849999999999999"/>
    <x v="13"/>
    <x v="9"/>
    <n v="39"/>
  </r>
  <r>
    <n v="25"/>
    <x v="1"/>
    <s v="Winter"/>
    <s v="January"/>
    <x v="0"/>
    <x v="0"/>
    <x v="1"/>
    <x v="1"/>
    <n v="0.46"/>
    <n v="0.45450000000000002"/>
    <n v="0.88"/>
    <n v="0.29849999999999999"/>
    <x v="17"/>
    <x v="0"/>
    <n v="17"/>
  </r>
  <r>
    <n v="26"/>
    <x v="1"/>
    <s v="Winter"/>
    <s v="January"/>
    <x v="1"/>
    <x v="0"/>
    <x v="1"/>
    <x v="1"/>
    <n v="0.44"/>
    <n v="0.43940000000000001"/>
    <n v="0.94"/>
    <n v="0.25369999999999998"/>
    <x v="5"/>
    <x v="20"/>
    <n v="17"/>
  </r>
  <r>
    <n v="27"/>
    <x v="1"/>
    <s v="Winter"/>
    <s v="January"/>
    <x v="2"/>
    <x v="0"/>
    <x v="1"/>
    <x v="1"/>
    <n v="0.42"/>
    <n v="0.42420000000000002"/>
    <n v="1"/>
    <n v="0.28360000000000002"/>
    <x v="5"/>
    <x v="21"/>
    <n v="9"/>
  </r>
  <r>
    <n v="28"/>
    <x v="1"/>
    <s v="Winter"/>
    <s v="January"/>
    <x v="3"/>
    <x v="0"/>
    <x v="1"/>
    <x v="1"/>
    <n v="0.46"/>
    <n v="0.45450000000000002"/>
    <n v="0.94"/>
    <n v="0.19400000000000001"/>
    <x v="4"/>
    <x v="22"/>
    <n v="6"/>
  </r>
  <r>
    <n v="29"/>
    <x v="1"/>
    <s v="Winter"/>
    <s v="January"/>
    <x v="4"/>
    <x v="0"/>
    <x v="1"/>
    <x v="1"/>
    <n v="0.46"/>
    <n v="0.19700000000000001"/>
    <n v="0.94"/>
    <n v="0.19400000000000001"/>
    <x v="4"/>
    <x v="4"/>
    <n v="3"/>
  </r>
  <r>
    <n v="30"/>
    <x v="1"/>
    <s v="Winter"/>
    <s v="January"/>
    <x v="6"/>
    <x v="0"/>
    <x v="1"/>
    <x v="2"/>
    <n v="0.42"/>
    <n v="0.42420000000000002"/>
    <n v="0.77"/>
    <n v="0.29849999999999999"/>
    <x v="3"/>
    <x v="6"/>
    <n v="2"/>
  </r>
  <r>
    <n v="31"/>
    <x v="1"/>
    <s v="Winter"/>
    <s v="January"/>
    <x v="7"/>
    <x v="0"/>
    <x v="1"/>
    <x v="1"/>
    <n v="0.4"/>
    <n v="0.40910000000000002"/>
    <n v="0.76"/>
    <n v="0.19400000000000001"/>
    <x v="3"/>
    <x v="4"/>
    <n v="1"/>
  </r>
  <r>
    <n v="32"/>
    <x v="1"/>
    <s v="Winter"/>
    <s v="January"/>
    <x v="8"/>
    <x v="0"/>
    <x v="1"/>
    <x v="2"/>
    <n v="0.4"/>
    <n v="0.40910000000000002"/>
    <n v="0.71"/>
    <n v="0.22389999999999999"/>
    <x v="3"/>
    <x v="21"/>
    <n v="8"/>
  </r>
  <r>
    <n v="33"/>
    <x v="1"/>
    <s v="Winter"/>
    <s v="January"/>
    <x v="9"/>
    <x v="0"/>
    <x v="1"/>
    <x v="1"/>
    <n v="0.38"/>
    <n v="0.19700000000000001"/>
    <n v="0.76"/>
    <n v="0.22389999999999999"/>
    <x v="5"/>
    <x v="23"/>
    <n v="20"/>
  </r>
  <r>
    <n v="34"/>
    <x v="1"/>
    <s v="Winter"/>
    <s v="January"/>
    <x v="10"/>
    <x v="0"/>
    <x v="1"/>
    <x v="1"/>
    <n v="0.36"/>
    <n v="0.34849999999999998"/>
    <n v="0.81"/>
    <n v="0.22389999999999999"/>
    <x v="18"/>
    <x v="24"/>
    <n v="53"/>
  </r>
  <r>
    <n v="35"/>
    <x v="1"/>
    <s v="Winter"/>
    <s v="January"/>
    <x v="11"/>
    <x v="0"/>
    <x v="1"/>
    <x v="1"/>
    <n v="0.36"/>
    <n v="0.33329999999999999"/>
    <n v="0.71"/>
    <n v="0.25369999999999998"/>
    <x v="19"/>
    <x v="25"/>
    <n v="70"/>
  </r>
  <r>
    <n v="36"/>
    <x v="1"/>
    <s v="Winter"/>
    <s v="January"/>
    <x v="12"/>
    <x v="0"/>
    <x v="1"/>
    <x v="1"/>
    <n v="0.36"/>
    <n v="0.33329999999999999"/>
    <n v="0.66"/>
    <n v="0.29849999999999999"/>
    <x v="20"/>
    <x v="26"/>
    <n v="93"/>
  </r>
  <r>
    <n v="37"/>
    <x v="1"/>
    <s v="Winter"/>
    <s v="January"/>
    <x v="13"/>
    <x v="0"/>
    <x v="1"/>
    <x v="1"/>
    <n v="0.36"/>
    <n v="0.34849999999999998"/>
    <n v="0.66"/>
    <n v="0.1343"/>
    <x v="16"/>
    <x v="27"/>
    <n v="75"/>
  </r>
  <r>
    <n v="38"/>
    <x v="1"/>
    <s v="Winter"/>
    <s v="January"/>
    <x v="14"/>
    <x v="0"/>
    <x v="1"/>
    <x v="2"/>
    <n v="0.36"/>
    <n v="0.19700000000000001"/>
    <n v="0.76"/>
    <n v="0.19400000000000001"/>
    <x v="17"/>
    <x v="11"/>
    <n v="59"/>
  </r>
  <r>
    <n v="39"/>
    <x v="1"/>
    <s v="Winter"/>
    <s v="January"/>
    <x v="15"/>
    <x v="0"/>
    <x v="1"/>
    <x v="2"/>
    <n v="0.34"/>
    <n v="0.33329999999999999"/>
    <n v="0.81"/>
    <n v="0.16420000000000001"/>
    <x v="21"/>
    <x v="11"/>
    <n v="74"/>
  </r>
  <r>
    <n v="40"/>
    <x v="1"/>
    <s v="Winter"/>
    <s v="January"/>
    <x v="16"/>
    <x v="0"/>
    <x v="1"/>
    <x v="2"/>
    <n v="0.34"/>
    <n v="0.33329999999999999"/>
    <n v="0.71"/>
    <n v="0.16420000000000001"/>
    <x v="14"/>
    <x v="28"/>
    <n v="76"/>
  </r>
  <r>
    <n v="41"/>
    <x v="1"/>
    <s v="Winter"/>
    <s v="January"/>
    <x v="17"/>
    <x v="0"/>
    <x v="1"/>
    <x v="0"/>
    <n v="0.34"/>
    <n v="0.33329999999999999"/>
    <n v="0.56999999999999995"/>
    <n v="0.19400000000000001"/>
    <x v="18"/>
    <x v="29"/>
    <n v="65"/>
  </r>
  <r>
    <n v="42"/>
    <x v="1"/>
    <s v="Winter"/>
    <s v="January"/>
    <x v="18"/>
    <x v="0"/>
    <x v="1"/>
    <x v="1"/>
    <n v="0.36"/>
    <n v="0.33329999999999999"/>
    <n v="0.46"/>
    <n v="0.32840000000000003"/>
    <x v="22"/>
    <x v="30"/>
    <n v="53"/>
  </r>
  <r>
    <n v="43"/>
    <x v="1"/>
    <s v="Winter"/>
    <s v="January"/>
    <x v="19"/>
    <x v="0"/>
    <x v="1"/>
    <x v="0"/>
    <n v="0.32"/>
    <n v="0.28789999999999999"/>
    <n v="0.42"/>
    <n v="0.44779999999999998"/>
    <x v="5"/>
    <x v="31"/>
    <n v="30"/>
  </r>
  <r>
    <n v="44"/>
    <x v="1"/>
    <s v="Winter"/>
    <s v="January"/>
    <x v="20"/>
    <x v="0"/>
    <x v="1"/>
    <x v="0"/>
    <n v="0.3"/>
    <n v="0.19700000000000001"/>
    <n v="0.39"/>
    <n v="0.35820000000000002"/>
    <x v="2"/>
    <x v="19"/>
    <n v="22"/>
  </r>
  <r>
    <n v="45"/>
    <x v="1"/>
    <s v="Winter"/>
    <s v="January"/>
    <x v="21"/>
    <x v="0"/>
    <x v="1"/>
    <x v="0"/>
    <n v="0.26"/>
    <n v="0.2273"/>
    <n v="0.44"/>
    <n v="0.32840000000000003"/>
    <x v="16"/>
    <x v="32"/>
    <n v="31"/>
  </r>
  <r>
    <n v="46"/>
    <x v="1"/>
    <s v="Winter"/>
    <s v="January"/>
    <x v="22"/>
    <x v="0"/>
    <x v="1"/>
    <x v="0"/>
    <n v="0.24"/>
    <n v="0.21210000000000001"/>
    <n v="0.44"/>
    <n v="0.29849999999999999"/>
    <x v="3"/>
    <x v="33"/>
    <n v="9"/>
  </r>
  <r>
    <n v="47"/>
    <x v="1"/>
    <s v="Winter"/>
    <s v="January"/>
    <x v="23"/>
    <x v="0"/>
    <x v="1"/>
    <x v="0"/>
    <n v="0.22"/>
    <n v="0.2273"/>
    <n v="0.47"/>
    <n v="0.16420000000000001"/>
    <x v="3"/>
    <x v="21"/>
    <n v="8"/>
  </r>
  <r>
    <n v="48"/>
    <x v="2"/>
    <s v="Winter"/>
    <s v="January"/>
    <x v="0"/>
    <x v="0"/>
    <x v="2"/>
    <x v="0"/>
    <n v="0.22"/>
    <n v="0.19700000000000001"/>
    <n v="0.44"/>
    <n v="0.35820000000000002"/>
    <x v="3"/>
    <x v="34"/>
    <n v="5"/>
  </r>
  <r>
    <n v="49"/>
    <x v="2"/>
    <s v="Winter"/>
    <s v="January"/>
    <x v="1"/>
    <x v="0"/>
    <x v="2"/>
    <x v="0"/>
    <n v="0.2"/>
    <n v="0.19700000000000001"/>
    <n v="0.44"/>
    <n v="0.41789999999999999"/>
    <x v="3"/>
    <x v="6"/>
    <n v="2"/>
  </r>
  <r>
    <n v="50"/>
    <x v="2"/>
    <s v="Winter"/>
    <s v="January"/>
    <x v="4"/>
    <x v="0"/>
    <x v="2"/>
    <x v="0"/>
    <n v="0.16"/>
    <n v="0.13639999999999999"/>
    <n v="0.47"/>
    <n v="0.3881"/>
    <x v="3"/>
    <x v="4"/>
    <n v="1"/>
  </r>
  <r>
    <n v="51"/>
    <x v="2"/>
    <s v="Winter"/>
    <s v="January"/>
    <x v="5"/>
    <x v="0"/>
    <x v="2"/>
    <x v="0"/>
    <n v="0.16"/>
    <n v="0.13639999999999999"/>
    <n v="0.47"/>
    <n v="0.28360000000000002"/>
    <x v="3"/>
    <x v="35"/>
    <n v="3"/>
  </r>
  <r>
    <n v="52"/>
    <x v="2"/>
    <s v="Winter"/>
    <s v="January"/>
    <x v="6"/>
    <x v="0"/>
    <x v="2"/>
    <x v="0"/>
    <n v="0.14000000000000001"/>
    <n v="0.1061"/>
    <n v="0.5"/>
    <n v="0.3881"/>
    <x v="3"/>
    <x v="10"/>
    <n v="30"/>
  </r>
  <r>
    <n v="53"/>
    <x v="2"/>
    <s v="Winter"/>
    <s v="January"/>
    <x v="7"/>
    <x v="0"/>
    <x v="2"/>
    <x v="0"/>
    <n v="0.14000000000000001"/>
    <n v="0.13639999999999999"/>
    <n v="0.5"/>
    <n v="0.19400000000000001"/>
    <x v="5"/>
    <x v="36"/>
    <n v="64"/>
  </r>
  <r>
    <n v="54"/>
    <x v="2"/>
    <s v="Winter"/>
    <s v="January"/>
    <x v="8"/>
    <x v="0"/>
    <x v="2"/>
    <x v="0"/>
    <n v="0.14000000000000001"/>
    <n v="0.1212"/>
    <n v="0.5"/>
    <n v="0.28360000000000002"/>
    <x v="5"/>
    <x v="37"/>
    <n v="154"/>
  </r>
  <r>
    <n v="55"/>
    <x v="2"/>
    <s v="Winter"/>
    <s v="January"/>
    <x v="9"/>
    <x v="0"/>
    <x v="2"/>
    <x v="0"/>
    <n v="0.16"/>
    <n v="0.13639999999999999"/>
    <n v="0.43"/>
    <n v="0.3881"/>
    <x v="18"/>
    <x v="38"/>
    <n v="88"/>
  </r>
  <r>
    <n v="56"/>
    <x v="2"/>
    <s v="Winter"/>
    <s v="January"/>
    <x v="10"/>
    <x v="0"/>
    <x v="2"/>
    <x v="0"/>
    <n v="0.18"/>
    <n v="0.16669999999999999"/>
    <n v="0.43"/>
    <n v="0.25369999999999998"/>
    <x v="16"/>
    <x v="39"/>
    <n v="44"/>
  </r>
  <r>
    <n v="57"/>
    <x v="2"/>
    <s v="Winter"/>
    <s v="January"/>
    <x v="11"/>
    <x v="0"/>
    <x v="2"/>
    <x v="0"/>
    <n v="0.2"/>
    <n v="0.18179999999999999"/>
    <n v="0.4"/>
    <n v="0.32840000000000003"/>
    <x v="22"/>
    <x v="40"/>
    <n v="51"/>
  </r>
  <r>
    <n v="58"/>
    <x v="2"/>
    <s v="Winter"/>
    <s v="January"/>
    <x v="12"/>
    <x v="0"/>
    <x v="2"/>
    <x v="0"/>
    <n v="0.22"/>
    <n v="0.21210000000000001"/>
    <n v="0.35"/>
    <n v="0.29849999999999999"/>
    <x v="23"/>
    <x v="41"/>
    <n v="61"/>
  </r>
  <r>
    <n v="59"/>
    <x v="2"/>
    <s v="Winter"/>
    <s v="January"/>
    <x v="13"/>
    <x v="0"/>
    <x v="2"/>
    <x v="0"/>
    <n v="0.24"/>
    <n v="0.19700000000000001"/>
    <n v="0.35"/>
    <n v="0.28360000000000002"/>
    <x v="1"/>
    <x v="42"/>
    <n v="61"/>
  </r>
  <r>
    <n v="60"/>
    <x v="2"/>
    <s v="Winter"/>
    <s v="January"/>
    <x v="14"/>
    <x v="0"/>
    <x v="2"/>
    <x v="0"/>
    <n v="0.26"/>
    <n v="0.2424"/>
    <n v="0.3"/>
    <n v="0.28360000000000002"/>
    <x v="16"/>
    <x v="43"/>
    <n v="77"/>
  </r>
  <r>
    <n v="61"/>
    <x v="2"/>
    <s v="Winter"/>
    <s v="January"/>
    <x v="15"/>
    <x v="0"/>
    <x v="2"/>
    <x v="0"/>
    <n v="0.26"/>
    <n v="0.2424"/>
    <n v="0.3"/>
    <n v="0.25369999999999998"/>
    <x v="24"/>
    <x v="29"/>
    <n v="72"/>
  </r>
  <r>
    <n v="62"/>
    <x v="2"/>
    <s v="Winter"/>
    <s v="January"/>
    <x v="16"/>
    <x v="0"/>
    <x v="2"/>
    <x v="0"/>
    <n v="0.26"/>
    <n v="0.2424"/>
    <n v="0.3"/>
    <n v="0.25369999999999998"/>
    <x v="14"/>
    <x v="28"/>
    <n v="76"/>
  </r>
  <r>
    <n v="63"/>
    <x v="2"/>
    <s v="Winter"/>
    <s v="January"/>
    <x v="17"/>
    <x v="0"/>
    <x v="2"/>
    <x v="0"/>
    <n v="0.24"/>
    <n v="0.2273"/>
    <n v="0.3"/>
    <n v="0.22389999999999999"/>
    <x v="16"/>
    <x v="44"/>
    <n v="157"/>
  </r>
  <r>
    <n v="64"/>
    <x v="2"/>
    <s v="Winter"/>
    <s v="January"/>
    <x v="18"/>
    <x v="0"/>
    <x v="2"/>
    <x v="0"/>
    <n v="0.24"/>
    <n v="0.2576"/>
    <n v="0.32"/>
    <n v="0.1045"/>
    <x v="14"/>
    <x v="45"/>
    <n v="157"/>
  </r>
  <r>
    <n v="65"/>
    <x v="2"/>
    <s v="Winter"/>
    <s v="January"/>
    <x v="19"/>
    <x v="0"/>
    <x v="2"/>
    <x v="0"/>
    <n v="0.2"/>
    <n v="0.2576"/>
    <n v="0.47"/>
    <n v="0"/>
    <x v="1"/>
    <x v="46"/>
    <n v="110"/>
  </r>
  <r>
    <n v="66"/>
    <x v="2"/>
    <s v="Winter"/>
    <s v="January"/>
    <x v="20"/>
    <x v="0"/>
    <x v="2"/>
    <x v="0"/>
    <n v="0.2"/>
    <n v="0.19700000000000001"/>
    <n v="0.47"/>
    <n v="0.1045"/>
    <x v="0"/>
    <x v="47"/>
    <n v="52"/>
  </r>
  <r>
    <n v="67"/>
    <x v="2"/>
    <s v="Winter"/>
    <s v="January"/>
    <x v="21"/>
    <x v="0"/>
    <x v="2"/>
    <x v="0"/>
    <n v="0.18"/>
    <n v="0.19700000000000001"/>
    <n v="0.64"/>
    <n v="0.1343"/>
    <x v="0"/>
    <x v="47"/>
    <n v="52"/>
  </r>
  <r>
    <n v="68"/>
    <x v="2"/>
    <s v="Winter"/>
    <s v="January"/>
    <x v="22"/>
    <x v="0"/>
    <x v="2"/>
    <x v="0"/>
    <n v="0.14000000000000001"/>
    <n v="0.1515"/>
    <n v="0.69"/>
    <n v="0.1343"/>
    <x v="3"/>
    <x v="32"/>
    <n v="20"/>
  </r>
  <r>
    <n v="69"/>
    <x v="2"/>
    <s v="Winter"/>
    <s v="January"/>
    <x v="23"/>
    <x v="0"/>
    <x v="2"/>
    <x v="0"/>
    <n v="0.18"/>
    <n v="0.21210000000000001"/>
    <n v="0.55000000000000004"/>
    <n v="0.1045"/>
    <x v="5"/>
    <x v="48"/>
    <n v="12"/>
  </r>
  <r>
    <n v="70"/>
    <x v="3"/>
    <s v="Winter"/>
    <s v="January"/>
    <x v="0"/>
    <x v="0"/>
    <x v="3"/>
    <x v="0"/>
    <n v="0.16"/>
    <n v="0.19700000000000001"/>
    <n v="0.55000000000000004"/>
    <n v="0.1045"/>
    <x v="3"/>
    <x v="34"/>
    <n v="5"/>
  </r>
  <r>
    <n v="71"/>
    <x v="3"/>
    <s v="Winter"/>
    <s v="January"/>
    <x v="1"/>
    <x v="0"/>
    <x v="3"/>
    <x v="0"/>
    <n v="0.16"/>
    <n v="0.18179999999999999"/>
    <n v="0.59"/>
    <n v="0.1045"/>
    <x v="3"/>
    <x v="6"/>
    <n v="2"/>
  </r>
  <r>
    <n v="72"/>
    <x v="3"/>
    <s v="Winter"/>
    <s v="January"/>
    <x v="2"/>
    <x v="0"/>
    <x v="3"/>
    <x v="0"/>
    <n v="0.14000000000000001"/>
    <n v="0.1515"/>
    <n v="0.63"/>
    <n v="0.1343"/>
    <x v="3"/>
    <x v="4"/>
    <n v="1"/>
  </r>
  <r>
    <n v="73"/>
    <x v="3"/>
    <s v="Winter"/>
    <s v="January"/>
    <x v="4"/>
    <x v="0"/>
    <x v="3"/>
    <x v="0"/>
    <n v="0.14000000000000001"/>
    <n v="0.18179999999999999"/>
    <n v="0.63"/>
    <n v="8.9599999999999999E-2"/>
    <x v="3"/>
    <x v="6"/>
    <n v="2"/>
  </r>
  <r>
    <n v="74"/>
    <x v="3"/>
    <s v="Winter"/>
    <s v="January"/>
    <x v="5"/>
    <x v="0"/>
    <x v="3"/>
    <x v="0"/>
    <n v="0.12"/>
    <n v="0.1515"/>
    <n v="0.68"/>
    <n v="0.1045"/>
    <x v="3"/>
    <x v="22"/>
    <n v="4"/>
  </r>
  <r>
    <n v="75"/>
    <x v="3"/>
    <s v="Winter"/>
    <s v="January"/>
    <x v="6"/>
    <x v="0"/>
    <x v="3"/>
    <x v="0"/>
    <n v="0.12"/>
    <n v="0.1515"/>
    <n v="0.74"/>
    <n v="0.1045"/>
    <x v="3"/>
    <x v="49"/>
    <n v="36"/>
  </r>
  <r>
    <n v="76"/>
    <x v="3"/>
    <s v="Winter"/>
    <s v="January"/>
    <x v="7"/>
    <x v="0"/>
    <x v="3"/>
    <x v="0"/>
    <n v="0.12"/>
    <n v="0.1515"/>
    <n v="0.74"/>
    <n v="0.1343"/>
    <x v="4"/>
    <x v="50"/>
    <n v="94"/>
  </r>
  <r>
    <n v="77"/>
    <x v="3"/>
    <s v="Winter"/>
    <s v="January"/>
    <x v="8"/>
    <x v="0"/>
    <x v="3"/>
    <x v="0"/>
    <n v="0.14000000000000001"/>
    <n v="0.1515"/>
    <n v="0.69"/>
    <n v="0.16420000000000001"/>
    <x v="4"/>
    <x v="51"/>
    <n v="179"/>
  </r>
  <r>
    <n v="78"/>
    <x v="3"/>
    <s v="Winter"/>
    <s v="January"/>
    <x v="9"/>
    <x v="0"/>
    <x v="3"/>
    <x v="0"/>
    <n v="0.16"/>
    <n v="0.1515"/>
    <n v="0.64"/>
    <n v="0.22389999999999999"/>
    <x v="4"/>
    <x v="52"/>
    <n v="100"/>
  </r>
  <r>
    <n v="79"/>
    <x v="3"/>
    <s v="Winter"/>
    <s v="January"/>
    <x v="10"/>
    <x v="0"/>
    <x v="3"/>
    <x v="1"/>
    <n v="0.16"/>
    <n v="0.13639999999999999"/>
    <n v="0.69"/>
    <n v="0.32840000000000003"/>
    <x v="2"/>
    <x v="53"/>
    <n v="42"/>
  </r>
  <r>
    <n v="80"/>
    <x v="3"/>
    <s v="Winter"/>
    <s v="January"/>
    <x v="11"/>
    <x v="0"/>
    <x v="3"/>
    <x v="0"/>
    <n v="0.22"/>
    <n v="0.21210000000000001"/>
    <n v="0.51"/>
    <n v="0.29849999999999999"/>
    <x v="18"/>
    <x v="54"/>
    <n v="57"/>
  </r>
  <r>
    <n v="81"/>
    <x v="3"/>
    <s v="Winter"/>
    <s v="January"/>
    <x v="12"/>
    <x v="0"/>
    <x v="3"/>
    <x v="0"/>
    <n v="0.22"/>
    <n v="0.2273"/>
    <n v="0.51"/>
    <n v="0.16420000000000001"/>
    <x v="6"/>
    <x v="43"/>
    <n v="78"/>
  </r>
  <r>
    <n v="82"/>
    <x v="3"/>
    <s v="Winter"/>
    <s v="January"/>
    <x v="13"/>
    <x v="0"/>
    <x v="3"/>
    <x v="0"/>
    <n v="0.24"/>
    <n v="0.2273"/>
    <n v="0.56000000000000005"/>
    <n v="0.19400000000000001"/>
    <x v="25"/>
    <x v="55"/>
    <n v="97"/>
  </r>
  <r>
    <n v="83"/>
    <x v="3"/>
    <s v="Winter"/>
    <s v="January"/>
    <x v="14"/>
    <x v="0"/>
    <x v="3"/>
    <x v="0"/>
    <n v="0.26"/>
    <n v="0.2576"/>
    <n v="0.52"/>
    <n v="0.22389999999999999"/>
    <x v="14"/>
    <x v="25"/>
    <n v="63"/>
  </r>
  <r>
    <n v="84"/>
    <x v="3"/>
    <s v="Winter"/>
    <s v="January"/>
    <x v="15"/>
    <x v="0"/>
    <x v="3"/>
    <x v="0"/>
    <n v="0.28000000000000003"/>
    <n v="0.2727"/>
    <n v="0.52"/>
    <n v="0.25369999999999998"/>
    <x v="26"/>
    <x v="41"/>
    <n v="65"/>
  </r>
  <r>
    <n v="85"/>
    <x v="3"/>
    <s v="Winter"/>
    <s v="January"/>
    <x v="16"/>
    <x v="0"/>
    <x v="3"/>
    <x v="0"/>
    <n v="0.3"/>
    <n v="0.28789999999999999"/>
    <n v="0.49"/>
    <n v="0.25369999999999998"/>
    <x v="13"/>
    <x v="56"/>
    <n v="83"/>
  </r>
  <r>
    <n v="86"/>
    <x v="3"/>
    <s v="Winter"/>
    <s v="January"/>
    <x v="17"/>
    <x v="0"/>
    <x v="3"/>
    <x v="0"/>
    <n v="0.28000000000000003"/>
    <n v="0.2727"/>
    <n v="0.48"/>
    <n v="0.22389999999999999"/>
    <x v="22"/>
    <x v="57"/>
    <n v="212"/>
  </r>
  <r>
    <n v="87"/>
    <x v="3"/>
    <s v="Winter"/>
    <s v="January"/>
    <x v="18"/>
    <x v="0"/>
    <x v="3"/>
    <x v="0"/>
    <n v="0.26"/>
    <n v="0.2576"/>
    <n v="0.48"/>
    <n v="0.19400000000000001"/>
    <x v="0"/>
    <x v="58"/>
    <n v="182"/>
  </r>
  <r>
    <n v="88"/>
    <x v="3"/>
    <s v="Winter"/>
    <s v="January"/>
    <x v="19"/>
    <x v="0"/>
    <x v="3"/>
    <x v="0"/>
    <n v="0.24"/>
    <n v="0.2576"/>
    <n v="0.48"/>
    <n v="0.1045"/>
    <x v="4"/>
    <x v="59"/>
    <n v="112"/>
  </r>
  <r>
    <n v="89"/>
    <x v="3"/>
    <s v="Winter"/>
    <s v="January"/>
    <x v="20"/>
    <x v="0"/>
    <x v="3"/>
    <x v="0"/>
    <n v="0.24"/>
    <n v="0.2576"/>
    <n v="0.48"/>
    <n v="0.1045"/>
    <x v="5"/>
    <x v="42"/>
    <n v="54"/>
  </r>
  <r>
    <n v="90"/>
    <x v="3"/>
    <s v="Winter"/>
    <s v="January"/>
    <x v="21"/>
    <x v="0"/>
    <x v="3"/>
    <x v="0"/>
    <n v="0.22"/>
    <n v="0.2727"/>
    <n v="0.64"/>
    <n v="0"/>
    <x v="3"/>
    <x v="41"/>
    <n v="48"/>
  </r>
  <r>
    <n v="91"/>
    <x v="3"/>
    <s v="Winter"/>
    <s v="January"/>
    <x v="22"/>
    <x v="0"/>
    <x v="3"/>
    <x v="0"/>
    <n v="0.22"/>
    <n v="0.2576"/>
    <n v="0.64"/>
    <n v="8.9599999999999999E-2"/>
    <x v="5"/>
    <x v="60"/>
    <n v="35"/>
  </r>
  <r>
    <n v="92"/>
    <x v="3"/>
    <s v="Winter"/>
    <s v="January"/>
    <x v="23"/>
    <x v="0"/>
    <x v="3"/>
    <x v="0"/>
    <n v="0.2"/>
    <n v="0.2273"/>
    <n v="0.69"/>
    <n v="8.9599999999999999E-2"/>
    <x v="4"/>
    <x v="33"/>
    <n v="11"/>
  </r>
  <r>
    <n v="93"/>
    <x v="4"/>
    <s v="Winter"/>
    <s v="January"/>
    <x v="0"/>
    <x v="0"/>
    <x v="4"/>
    <x v="0"/>
    <n v="0.2"/>
    <n v="0.2576"/>
    <n v="0.64"/>
    <n v="0"/>
    <x v="3"/>
    <x v="8"/>
    <n v="6"/>
  </r>
  <r>
    <n v="94"/>
    <x v="4"/>
    <s v="Winter"/>
    <s v="January"/>
    <x v="1"/>
    <x v="0"/>
    <x v="4"/>
    <x v="0"/>
    <n v="0.16"/>
    <n v="0.19700000000000001"/>
    <n v="0.74"/>
    <n v="8.9599999999999999E-2"/>
    <x v="3"/>
    <x v="8"/>
    <n v="6"/>
  </r>
  <r>
    <n v="95"/>
    <x v="4"/>
    <s v="Winter"/>
    <s v="January"/>
    <x v="2"/>
    <x v="0"/>
    <x v="4"/>
    <x v="0"/>
    <n v="0.16"/>
    <n v="0.19700000000000001"/>
    <n v="0.74"/>
    <n v="8.9599999999999999E-2"/>
    <x v="3"/>
    <x v="6"/>
    <n v="2"/>
  </r>
  <r>
    <n v="96"/>
    <x v="4"/>
    <s v="Winter"/>
    <s v="January"/>
    <x v="4"/>
    <x v="0"/>
    <x v="4"/>
    <x v="0"/>
    <n v="0.24"/>
    <n v="0.2273"/>
    <n v="0.48"/>
    <n v="0.22389999999999999"/>
    <x v="3"/>
    <x v="6"/>
    <n v="2"/>
  </r>
  <r>
    <n v="97"/>
    <x v="4"/>
    <s v="Winter"/>
    <s v="January"/>
    <x v="5"/>
    <x v="0"/>
    <x v="4"/>
    <x v="0"/>
    <n v="0.22"/>
    <n v="0.2273"/>
    <n v="0.47"/>
    <n v="0.16420000000000001"/>
    <x v="3"/>
    <x v="35"/>
    <n v="3"/>
  </r>
  <r>
    <n v="98"/>
    <x v="4"/>
    <s v="Winter"/>
    <s v="January"/>
    <x v="6"/>
    <x v="0"/>
    <x v="4"/>
    <x v="0"/>
    <n v="0.2"/>
    <n v="0.19700000000000001"/>
    <n v="0.47"/>
    <n v="0.22389999999999999"/>
    <x v="3"/>
    <x v="39"/>
    <n v="33"/>
  </r>
  <r>
    <n v="99"/>
    <x v="4"/>
    <s v="Winter"/>
    <s v="January"/>
    <x v="7"/>
    <x v="0"/>
    <x v="4"/>
    <x v="0"/>
    <n v="0.18"/>
    <n v="0.18179999999999999"/>
    <n v="0.43"/>
    <n v="0.19400000000000001"/>
    <x v="5"/>
    <x v="61"/>
    <n v="88"/>
  </r>
  <r>
    <n v="100"/>
    <x v="4"/>
    <s v="Winter"/>
    <s v="January"/>
    <x v="8"/>
    <x v="0"/>
    <x v="4"/>
    <x v="0"/>
    <n v="0.2"/>
    <n v="0.18179999999999999"/>
    <n v="0.4"/>
    <n v="0.29849999999999999"/>
    <x v="0"/>
    <x v="62"/>
    <n v="195"/>
  </r>
  <r>
    <n v="101"/>
    <x v="4"/>
    <s v="Winter"/>
    <s v="January"/>
    <x v="9"/>
    <x v="0"/>
    <x v="4"/>
    <x v="0"/>
    <n v="0.22"/>
    <n v="0.19700000000000001"/>
    <n v="0.37"/>
    <n v="0.32840000000000003"/>
    <x v="15"/>
    <x v="63"/>
    <n v="115"/>
  </r>
  <r>
    <n v="102"/>
    <x v="4"/>
    <s v="Winter"/>
    <s v="January"/>
    <x v="10"/>
    <x v="0"/>
    <x v="4"/>
    <x v="0"/>
    <n v="0.22"/>
    <n v="0.19700000000000001"/>
    <n v="0.37"/>
    <n v="0.32840000000000003"/>
    <x v="17"/>
    <x v="42"/>
    <n v="57"/>
  </r>
  <r>
    <n v="103"/>
    <x v="4"/>
    <s v="Winter"/>
    <s v="January"/>
    <x v="11"/>
    <x v="0"/>
    <x v="4"/>
    <x v="0"/>
    <n v="0.26"/>
    <n v="0.2273"/>
    <n v="0.33"/>
    <n v="0.32840000000000003"/>
    <x v="6"/>
    <x v="60"/>
    <n v="46"/>
  </r>
  <r>
    <n v="104"/>
    <x v="4"/>
    <s v="Winter"/>
    <s v="January"/>
    <x v="12"/>
    <x v="0"/>
    <x v="4"/>
    <x v="0"/>
    <n v="0.26"/>
    <n v="0.2273"/>
    <n v="0.33"/>
    <n v="0.32840000000000003"/>
    <x v="2"/>
    <x v="64"/>
    <n v="79"/>
  </r>
  <r>
    <n v="105"/>
    <x v="4"/>
    <s v="Winter"/>
    <s v="January"/>
    <x v="13"/>
    <x v="0"/>
    <x v="4"/>
    <x v="0"/>
    <n v="0.28000000000000003"/>
    <n v="0.2576"/>
    <n v="0.3"/>
    <n v="0.29849999999999999"/>
    <x v="15"/>
    <x v="65"/>
    <n v="71"/>
  </r>
  <r>
    <n v="106"/>
    <x v="4"/>
    <s v="Winter"/>
    <s v="January"/>
    <x v="14"/>
    <x v="0"/>
    <x v="4"/>
    <x v="0"/>
    <n v="0.3"/>
    <n v="0.28789999999999999"/>
    <n v="0.28000000000000003"/>
    <n v="0.19400000000000001"/>
    <x v="22"/>
    <x v="15"/>
    <n v="62"/>
  </r>
  <r>
    <n v="107"/>
    <x v="4"/>
    <s v="Winter"/>
    <s v="January"/>
    <x v="15"/>
    <x v="0"/>
    <x v="4"/>
    <x v="0"/>
    <n v="0.3"/>
    <n v="0.28789999999999999"/>
    <n v="0.28000000000000003"/>
    <n v="0.19400000000000001"/>
    <x v="18"/>
    <x v="11"/>
    <n v="62"/>
  </r>
  <r>
    <n v="108"/>
    <x v="4"/>
    <s v="Winter"/>
    <s v="January"/>
    <x v="16"/>
    <x v="0"/>
    <x v="4"/>
    <x v="0"/>
    <n v="0.3"/>
    <n v="0.31819999999999998"/>
    <n v="0.28000000000000003"/>
    <n v="8.9599999999999999E-2"/>
    <x v="17"/>
    <x v="66"/>
    <n v="89"/>
  </r>
  <r>
    <n v="109"/>
    <x v="4"/>
    <s v="Winter"/>
    <s v="January"/>
    <x v="17"/>
    <x v="0"/>
    <x v="4"/>
    <x v="0"/>
    <n v="0.24"/>
    <n v="0.2273"/>
    <n v="0.38"/>
    <n v="0.19400000000000001"/>
    <x v="17"/>
    <x v="67"/>
    <n v="190"/>
  </r>
  <r>
    <n v="110"/>
    <x v="4"/>
    <s v="Winter"/>
    <s v="January"/>
    <x v="18"/>
    <x v="0"/>
    <x v="4"/>
    <x v="0"/>
    <n v="0.24"/>
    <n v="0.2424"/>
    <n v="0.38"/>
    <n v="0.1343"/>
    <x v="0"/>
    <x v="68"/>
    <n v="169"/>
  </r>
  <r>
    <n v="111"/>
    <x v="4"/>
    <s v="Winter"/>
    <s v="January"/>
    <x v="19"/>
    <x v="0"/>
    <x v="4"/>
    <x v="0"/>
    <n v="0.24"/>
    <n v="0.2576"/>
    <n v="0.38"/>
    <n v="0.1045"/>
    <x v="2"/>
    <x v="69"/>
    <n v="132"/>
  </r>
  <r>
    <n v="112"/>
    <x v="4"/>
    <s v="Winter"/>
    <s v="January"/>
    <x v="20"/>
    <x v="0"/>
    <x v="4"/>
    <x v="0"/>
    <n v="0.22"/>
    <n v="0.2273"/>
    <n v="0.47"/>
    <n v="0.16420000000000001"/>
    <x v="18"/>
    <x v="70"/>
    <n v="89"/>
  </r>
  <r>
    <n v="113"/>
    <x v="4"/>
    <s v="Winter"/>
    <s v="January"/>
    <x v="21"/>
    <x v="0"/>
    <x v="4"/>
    <x v="0"/>
    <n v="0.2"/>
    <n v="0.19700000000000001"/>
    <n v="0.51"/>
    <n v="0.19400000000000001"/>
    <x v="0"/>
    <x v="71"/>
    <n v="43"/>
  </r>
  <r>
    <n v="114"/>
    <x v="4"/>
    <s v="Winter"/>
    <s v="January"/>
    <x v="22"/>
    <x v="0"/>
    <x v="4"/>
    <x v="0"/>
    <n v="0.18"/>
    <n v="0.19700000000000001"/>
    <n v="0.55000000000000004"/>
    <n v="0.1343"/>
    <x v="5"/>
    <x v="40"/>
    <n v="42"/>
  </r>
  <r>
    <n v="115"/>
    <x v="4"/>
    <s v="Winter"/>
    <s v="January"/>
    <x v="23"/>
    <x v="0"/>
    <x v="4"/>
    <x v="0"/>
    <n v="0.2"/>
    <n v="0.2576"/>
    <n v="0.47"/>
    <n v="0"/>
    <x v="5"/>
    <x v="72"/>
    <n v="19"/>
  </r>
  <r>
    <n v="116"/>
    <x v="5"/>
    <s v="Winter"/>
    <s v="January"/>
    <x v="0"/>
    <x v="0"/>
    <x v="5"/>
    <x v="0"/>
    <n v="0.18"/>
    <n v="0.2424"/>
    <n v="0.55000000000000004"/>
    <n v="0"/>
    <x v="3"/>
    <x v="48"/>
    <n v="11"/>
  </r>
  <r>
    <n v="117"/>
    <x v="5"/>
    <s v="Winter"/>
    <s v="January"/>
    <x v="1"/>
    <x v="0"/>
    <x v="5"/>
    <x v="0"/>
    <n v="0.16"/>
    <n v="0.2273"/>
    <n v="0.64"/>
    <n v="0"/>
    <x v="3"/>
    <x v="22"/>
    <n v="4"/>
  </r>
  <r>
    <n v="118"/>
    <x v="5"/>
    <s v="Winter"/>
    <s v="January"/>
    <x v="2"/>
    <x v="0"/>
    <x v="5"/>
    <x v="0"/>
    <n v="0.16"/>
    <n v="0.2273"/>
    <n v="0.64"/>
    <n v="0"/>
    <x v="3"/>
    <x v="6"/>
    <n v="2"/>
  </r>
  <r>
    <n v="119"/>
    <x v="5"/>
    <s v="Winter"/>
    <s v="January"/>
    <x v="4"/>
    <x v="0"/>
    <x v="5"/>
    <x v="1"/>
    <n v="0.16"/>
    <n v="0.19700000000000001"/>
    <n v="0.64"/>
    <n v="8.9599999999999999E-2"/>
    <x v="3"/>
    <x v="4"/>
    <n v="1"/>
  </r>
  <r>
    <n v="120"/>
    <x v="5"/>
    <s v="Winter"/>
    <s v="January"/>
    <x v="5"/>
    <x v="0"/>
    <x v="5"/>
    <x v="1"/>
    <n v="0.14000000000000001"/>
    <n v="0.18179999999999999"/>
    <n v="0.69"/>
    <n v="8.9599999999999999E-2"/>
    <x v="3"/>
    <x v="22"/>
    <n v="4"/>
  </r>
  <r>
    <n v="121"/>
    <x v="5"/>
    <s v="Winter"/>
    <s v="January"/>
    <x v="6"/>
    <x v="0"/>
    <x v="5"/>
    <x v="1"/>
    <n v="0.14000000000000001"/>
    <n v="0.16669999999999999"/>
    <n v="0.63"/>
    <n v="0.1045"/>
    <x v="3"/>
    <x v="49"/>
    <n v="36"/>
  </r>
  <r>
    <n v="122"/>
    <x v="5"/>
    <s v="Winter"/>
    <s v="January"/>
    <x v="7"/>
    <x v="0"/>
    <x v="5"/>
    <x v="1"/>
    <n v="0.16"/>
    <n v="0.2273"/>
    <n v="0.59"/>
    <n v="0"/>
    <x v="3"/>
    <x v="73"/>
    <n v="95"/>
  </r>
  <r>
    <n v="123"/>
    <x v="5"/>
    <s v="Winter"/>
    <s v="January"/>
    <x v="8"/>
    <x v="0"/>
    <x v="5"/>
    <x v="0"/>
    <n v="0.16"/>
    <n v="0.2273"/>
    <n v="0.59"/>
    <n v="0"/>
    <x v="0"/>
    <x v="74"/>
    <n v="219"/>
  </r>
  <r>
    <n v="124"/>
    <x v="5"/>
    <s v="Winter"/>
    <s v="January"/>
    <x v="9"/>
    <x v="0"/>
    <x v="5"/>
    <x v="1"/>
    <n v="0.18"/>
    <n v="0.2424"/>
    <n v="0.51"/>
    <n v="0"/>
    <x v="15"/>
    <x v="75"/>
    <n v="122"/>
  </r>
  <r>
    <n v="125"/>
    <x v="5"/>
    <s v="Winter"/>
    <s v="January"/>
    <x v="10"/>
    <x v="0"/>
    <x v="5"/>
    <x v="0"/>
    <n v="0.2"/>
    <n v="0.2576"/>
    <n v="0.47"/>
    <n v="0"/>
    <x v="0"/>
    <x v="76"/>
    <n v="45"/>
  </r>
  <r>
    <n v="126"/>
    <x v="5"/>
    <s v="Winter"/>
    <s v="January"/>
    <x v="11"/>
    <x v="0"/>
    <x v="5"/>
    <x v="0"/>
    <n v="0.22"/>
    <n v="0.2576"/>
    <n v="0.44"/>
    <n v="8.9599999999999999E-2"/>
    <x v="4"/>
    <x v="77"/>
    <n v="59"/>
  </r>
  <r>
    <n v="127"/>
    <x v="5"/>
    <s v="Winter"/>
    <s v="January"/>
    <x v="12"/>
    <x v="0"/>
    <x v="5"/>
    <x v="0"/>
    <n v="0.26"/>
    <n v="0.28789999999999999"/>
    <n v="0.35"/>
    <n v="0"/>
    <x v="15"/>
    <x v="78"/>
    <n v="84"/>
  </r>
  <r>
    <n v="128"/>
    <x v="5"/>
    <s v="Winter"/>
    <s v="January"/>
    <x v="13"/>
    <x v="0"/>
    <x v="5"/>
    <x v="0"/>
    <n v="0.26"/>
    <n v="0.2727"/>
    <n v="0.35"/>
    <n v="0.1045"/>
    <x v="6"/>
    <x v="11"/>
    <n v="67"/>
  </r>
  <r>
    <n v="129"/>
    <x v="5"/>
    <s v="Winter"/>
    <s v="January"/>
    <x v="14"/>
    <x v="0"/>
    <x v="5"/>
    <x v="0"/>
    <n v="0.28000000000000003"/>
    <n v="0.2727"/>
    <n v="0.36"/>
    <n v="0.16420000000000001"/>
    <x v="16"/>
    <x v="79"/>
    <n v="70"/>
  </r>
  <r>
    <n v="130"/>
    <x v="5"/>
    <s v="Winter"/>
    <s v="January"/>
    <x v="15"/>
    <x v="0"/>
    <x v="5"/>
    <x v="0"/>
    <n v="0.28000000000000003"/>
    <n v="0.2727"/>
    <n v="0.36"/>
    <n v="0"/>
    <x v="1"/>
    <x v="25"/>
    <n v="62"/>
  </r>
  <r>
    <n v="131"/>
    <x v="5"/>
    <s v="Winter"/>
    <s v="January"/>
    <x v="16"/>
    <x v="0"/>
    <x v="5"/>
    <x v="0"/>
    <n v="0.26"/>
    <n v="0.2576"/>
    <n v="0.38"/>
    <n v="0.16420000000000001"/>
    <x v="6"/>
    <x v="64"/>
    <n v="86"/>
  </r>
  <r>
    <n v="132"/>
    <x v="5"/>
    <s v="Winter"/>
    <s v="January"/>
    <x v="17"/>
    <x v="0"/>
    <x v="5"/>
    <x v="0"/>
    <n v="0.22"/>
    <n v="0.2273"/>
    <n v="0.51"/>
    <n v="0.16420000000000001"/>
    <x v="14"/>
    <x v="80"/>
    <n v="172"/>
  </r>
  <r>
    <n v="133"/>
    <x v="5"/>
    <s v="Winter"/>
    <s v="January"/>
    <x v="18"/>
    <x v="0"/>
    <x v="5"/>
    <x v="0"/>
    <n v="0.22"/>
    <n v="0.2273"/>
    <n v="0.51"/>
    <n v="0.1343"/>
    <x v="2"/>
    <x v="81"/>
    <n v="163"/>
  </r>
  <r>
    <n v="134"/>
    <x v="5"/>
    <s v="Winter"/>
    <s v="January"/>
    <x v="19"/>
    <x v="0"/>
    <x v="5"/>
    <x v="0"/>
    <n v="0.22"/>
    <n v="0.2576"/>
    <n v="0.55000000000000004"/>
    <n v="8.9599999999999999E-2"/>
    <x v="0"/>
    <x v="63"/>
    <n v="112"/>
  </r>
  <r>
    <n v="135"/>
    <x v="5"/>
    <s v="Winter"/>
    <s v="January"/>
    <x v="20"/>
    <x v="0"/>
    <x v="5"/>
    <x v="0"/>
    <n v="0.2"/>
    <n v="0.21210000000000001"/>
    <n v="0.51"/>
    <n v="0.16420000000000001"/>
    <x v="0"/>
    <x v="43"/>
    <n v="69"/>
  </r>
  <r>
    <n v="136"/>
    <x v="5"/>
    <s v="Winter"/>
    <s v="January"/>
    <x v="21"/>
    <x v="0"/>
    <x v="5"/>
    <x v="1"/>
    <n v="0.22"/>
    <n v="0.21210000000000001"/>
    <n v="0.55000000000000004"/>
    <n v="0.22389999999999999"/>
    <x v="3"/>
    <x v="41"/>
    <n v="48"/>
  </r>
  <r>
    <n v="137"/>
    <x v="5"/>
    <s v="Winter"/>
    <s v="January"/>
    <x v="22"/>
    <x v="0"/>
    <x v="5"/>
    <x v="1"/>
    <n v="0.22"/>
    <n v="0.21210000000000001"/>
    <n v="0.51"/>
    <n v="0.28360000000000002"/>
    <x v="5"/>
    <x v="82"/>
    <n v="52"/>
  </r>
  <r>
    <n v="138"/>
    <x v="5"/>
    <s v="Winter"/>
    <s v="January"/>
    <x v="23"/>
    <x v="0"/>
    <x v="5"/>
    <x v="1"/>
    <n v="0.2"/>
    <n v="0.19700000000000001"/>
    <n v="0.59"/>
    <n v="0.19400000000000001"/>
    <x v="17"/>
    <x v="23"/>
    <n v="23"/>
  </r>
  <r>
    <n v="139"/>
    <x v="6"/>
    <s v="Winter"/>
    <s v="January"/>
    <x v="0"/>
    <x v="0"/>
    <x v="6"/>
    <x v="1"/>
    <n v="0.2"/>
    <n v="0.19700000000000001"/>
    <n v="0.64"/>
    <n v="0.19400000000000001"/>
    <x v="17"/>
    <x v="0"/>
    <n v="17"/>
  </r>
  <r>
    <n v="140"/>
    <x v="6"/>
    <s v="Winter"/>
    <s v="January"/>
    <x v="1"/>
    <x v="0"/>
    <x v="6"/>
    <x v="1"/>
    <n v="0.2"/>
    <n v="0.19700000000000001"/>
    <n v="0.69"/>
    <n v="0.22389999999999999"/>
    <x v="4"/>
    <x v="34"/>
    <n v="7"/>
  </r>
  <r>
    <n v="141"/>
    <x v="6"/>
    <s v="Winter"/>
    <s v="January"/>
    <x v="2"/>
    <x v="0"/>
    <x v="6"/>
    <x v="1"/>
    <n v="0.2"/>
    <n v="0.19700000000000001"/>
    <n v="0.69"/>
    <n v="0.22389999999999999"/>
    <x v="3"/>
    <x v="4"/>
    <n v="1"/>
  </r>
  <r>
    <n v="142"/>
    <x v="6"/>
    <s v="Winter"/>
    <s v="January"/>
    <x v="4"/>
    <x v="0"/>
    <x v="6"/>
    <x v="1"/>
    <n v="0.2"/>
    <n v="0.21210000000000001"/>
    <n v="0.69"/>
    <n v="0.1343"/>
    <x v="3"/>
    <x v="4"/>
    <n v="1"/>
  </r>
  <r>
    <n v="143"/>
    <x v="6"/>
    <s v="Winter"/>
    <s v="January"/>
    <x v="5"/>
    <x v="0"/>
    <x v="6"/>
    <x v="2"/>
    <n v="0.22"/>
    <n v="0.2727"/>
    <n v="0.55000000000000004"/>
    <n v="0"/>
    <x v="3"/>
    <x v="34"/>
    <n v="5"/>
  </r>
  <r>
    <n v="144"/>
    <x v="6"/>
    <s v="Winter"/>
    <s v="January"/>
    <x v="6"/>
    <x v="0"/>
    <x v="6"/>
    <x v="1"/>
    <n v="0.2"/>
    <n v="0.2576"/>
    <n v="0.69"/>
    <n v="0"/>
    <x v="1"/>
    <x v="16"/>
    <n v="34"/>
  </r>
  <r>
    <n v="145"/>
    <x v="6"/>
    <s v="Winter"/>
    <s v="January"/>
    <x v="7"/>
    <x v="0"/>
    <x v="6"/>
    <x v="0"/>
    <n v="0.2"/>
    <n v="0.21210000000000001"/>
    <n v="0.69"/>
    <n v="0.1343"/>
    <x v="1"/>
    <x v="83"/>
    <n v="84"/>
  </r>
  <r>
    <n v="146"/>
    <x v="6"/>
    <s v="Winter"/>
    <s v="January"/>
    <x v="8"/>
    <x v="0"/>
    <x v="6"/>
    <x v="0"/>
    <n v="0.2"/>
    <n v="0.19700000000000001"/>
    <n v="0.51"/>
    <n v="0.25369999999999998"/>
    <x v="20"/>
    <x v="84"/>
    <n v="210"/>
  </r>
  <r>
    <n v="147"/>
    <x v="6"/>
    <s v="Winter"/>
    <s v="January"/>
    <x v="9"/>
    <x v="0"/>
    <x v="6"/>
    <x v="0"/>
    <n v="0.2"/>
    <n v="0.18179999999999999"/>
    <n v="0.47"/>
    <n v="0.29849999999999999"/>
    <x v="14"/>
    <x v="85"/>
    <n v="134"/>
  </r>
  <r>
    <n v="148"/>
    <x v="6"/>
    <s v="Winter"/>
    <s v="January"/>
    <x v="10"/>
    <x v="0"/>
    <x v="6"/>
    <x v="0"/>
    <n v="0.22"/>
    <n v="0.19700000000000001"/>
    <n v="0.37"/>
    <n v="0.32840000000000003"/>
    <x v="19"/>
    <x v="12"/>
    <n v="63"/>
  </r>
  <r>
    <n v="149"/>
    <x v="6"/>
    <s v="Winter"/>
    <s v="January"/>
    <x v="11"/>
    <x v="0"/>
    <x v="6"/>
    <x v="1"/>
    <n v="0.2"/>
    <n v="0.19700000000000001"/>
    <n v="0.4"/>
    <n v="0.22389999999999999"/>
    <x v="21"/>
    <x v="41"/>
    <n v="67"/>
  </r>
  <r>
    <n v="150"/>
    <x v="6"/>
    <s v="Winter"/>
    <s v="January"/>
    <x v="12"/>
    <x v="0"/>
    <x v="6"/>
    <x v="1"/>
    <n v="0.2"/>
    <n v="0.19700000000000001"/>
    <n v="0.37"/>
    <n v="0.25369999999999998"/>
    <x v="14"/>
    <x v="54"/>
    <n v="59"/>
  </r>
  <r>
    <n v="151"/>
    <x v="6"/>
    <s v="Winter"/>
    <s v="January"/>
    <x v="13"/>
    <x v="0"/>
    <x v="6"/>
    <x v="1"/>
    <n v="0.2"/>
    <n v="0.18179999999999999"/>
    <n v="0.37"/>
    <n v="0.28360000000000002"/>
    <x v="14"/>
    <x v="27"/>
    <n v="73"/>
  </r>
  <r>
    <n v="152"/>
    <x v="6"/>
    <s v="Winter"/>
    <s v="January"/>
    <x v="14"/>
    <x v="0"/>
    <x v="6"/>
    <x v="1"/>
    <n v="0.2"/>
    <n v="0.19700000000000001"/>
    <n v="0.4"/>
    <n v="0.25369999999999998"/>
    <x v="18"/>
    <x v="30"/>
    <n v="50"/>
  </r>
  <r>
    <n v="153"/>
    <x v="6"/>
    <s v="Winter"/>
    <s v="January"/>
    <x v="15"/>
    <x v="0"/>
    <x v="6"/>
    <x v="1"/>
    <n v="0.2"/>
    <n v="0.21210000000000001"/>
    <n v="0.37"/>
    <n v="0.16420000000000001"/>
    <x v="14"/>
    <x v="36"/>
    <n v="72"/>
  </r>
  <r>
    <n v="154"/>
    <x v="6"/>
    <s v="Winter"/>
    <s v="January"/>
    <x v="16"/>
    <x v="0"/>
    <x v="6"/>
    <x v="1"/>
    <n v="0.2"/>
    <n v="0.21210000000000001"/>
    <n v="0.37"/>
    <n v="0.16420000000000001"/>
    <x v="2"/>
    <x v="70"/>
    <n v="87"/>
  </r>
  <r>
    <n v="155"/>
    <x v="6"/>
    <s v="Winter"/>
    <s v="January"/>
    <x v="17"/>
    <x v="0"/>
    <x v="6"/>
    <x v="1"/>
    <n v="0.2"/>
    <n v="0.2576"/>
    <n v="0.37"/>
    <n v="0"/>
    <x v="14"/>
    <x v="86"/>
    <n v="187"/>
  </r>
  <r>
    <n v="156"/>
    <x v="6"/>
    <s v="Winter"/>
    <s v="January"/>
    <x v="18"/>
    <x v="0"/>
    <x v="6"/>
    <x v="0"/>
    <n v="0.2"/>
    <n v="0.2273"/>
    <n v="0.4"/>
    <n v="8.9599999999999999E-2"/>
    <x v="18"/>
    <x v="75"/>
    <n v="123"/>
  </r>
  <r>
    <n v="157"/>
    <x v="6"/>
    <s v="Winter"/>
    <s v="January"/>
    <x v="19"/>
    <x v="0"/>
    <x v="6"/>
    <x v="0"/>
    <n v="0.16"/>
    <n v="0.19700000000000001"/>
    <n v="0.55000000000000004"/>
    <n v="8.9599999999999999E-2"/>
    <x v="0"/>
    <x v="50"/>
    <n v="95"/>
  </r>
  <r>
    <n v="158"/>
    <x v="6"/>
    <s v="Winter"/>
    <s v="January"/>
    <x v="20"/>
    <x v="0"/>
    <x v="6"/>
    <x v="0"/>
    <n v="0.18"/>
    <n v="0.21210000000000001"/>
    <n v="0.47"/>
    <n v="0.1045"/>
    <x v="5"/>
    <x v="54"/>
    <n v="51"/>
  </r>
  <r>
    <n v="159"/>
    <x v="6"/>
    <s v="Winter"/>
    <s v="January"/>
    <x v="21"/>
    <x v="0"/>
    <x v="6"/>
    <x v="0"/>
    <n v="0.18"/>
    <n v="0.19700000000000001"/>
    <n v="0.47"/>
    <n v="0.1343"/>
    <x v="3"/>
    <x v="87"/>
    <n v="39"/>
  </r>
  <r>
    <n v="160"/>
    <x v="6"/>
    <s v="Winter"/>
    <s v="January"/>
    <x v="22"/>
    <x v="0"/>
    <x v="6"/>
    <x v="1"/>
    <n v="0.18"/>
    <n v="0.19700000000000001"/>
    <n v="0.43"/>
    <n v="0.16420000000000001"/>
    <x v="4"/>
    <x v="60"/>
    <n v="36"/>
  </r>
  <r>
    <n v="161"/>
    <x v="6"/>
    <s v="Winter"/>
    <s v="January"/>
    <x v="23"/>
    <x v="0"/>
    <x v="6"/>
    <x v="1"/>
    <n v="0.18"/>
    <n v="0.19700000000000001"/>
    <n v="0.51"/>
    <n v="0.16420000000000001"/>
    <x v="5"/>
    <x v="88"/>
    <n v="15"/>
  </r>
  <r>
    <n v="162"/>
    <x v="7"/>
    <s v="Winter"/>
    <s v="January"/>
    <x v="0"/>
    <x v="0"/>
    <x v="0"/>
    <x v="1"/>
    <n v="0.18"/>
    <n v="0.19700000000000001"/>
    <n v="0.51"/>
    <n v="0.16420000000000001"/>
    <x v="5"/>
    <x v="9"/>
    <n v="25"/>
  </r>
  <r>
    <n v="163"/>
    <x v="7"/>
    <s v="Winter"/>
    <s v="January"/>
    <x v="1"/>
    <x v="0"/>
    <x v="0"/>
    <x v="1"/>
    <n v="0.18"/>
    <n v="0.21210000000000001"/>
    <n v="0.55000000000000004"/>
    <n v="8.9599999999999999E-2"/>
    <x v="5"/>
    <x v="89"/>
    <n v="16"/>
  </r>
  <r>
    <n v="164"/>
    <x v="7"/>
    <s v="Winter"/>
    <s v="January"/>
    <x v="2"/>
    <x v="0"/>
    <x v="0"/>
    <x v="1"/>
    <n v="0.18"/>
    <n v="0.2424"/>
    <n v="0.55000000000000004"/>
    <n v="0"/>
    <x v="0"/>
    <x v="0"/>
    <n v="16"/>
  </r>
  <r>
    <n v="165"/>
    <x v="7"/>
    <s v="Winter"/>
    <s v="January"/>
    <x v="3"/>
    <x v="0"/>
    <x v="0"/>
    <x v="2"/>
    <n v="0.18"/>
    <n v="0.19700000000000001"/>
    <n v="0.55000000000000004"/>
    <n v="0.16420000000000001"/>
    <x v="3"/>
    <x v="7"/>
    <n v="7"/>
  </r>
  <r>
    <n v="166"/>
    <x v="7"/>
    <s v="Winter"/>
    <s v="January"/>
    <x v="4"/>
    <x v="0"/>
    <x v="0"/>
    <x v="2"/>
    <n v="0.18"/>
    <n v="0.19700000000000001"/>
    <n v="0.55000000000000004"/>
    <n v="0.16420000000000001"/>
    <x v="3"/>
    <x v="4"/>
    <n v="1"/>
  </r>
  <r>
    <n v="167"/>
    <x v="7"/>
    <s v="Winter"/>
    <s v="January"/>
    <x v="5"/>
    <x v="0"/>
    <x v="0"/>
    <x v="1"/>
    <n v="0.16"/>
    <n v="0.16669999999999999"/>
    <n v="0.74"/>
    <n v="0.16420000000000001"/>
    <x v="3"/>
    <x v="34"/>
    <n v="5"/>
  </r>
  <r>
    <n v="168"/>
    <x v="7"/>
    <s v="Winter"/>
    <s v="January"/>
    <x v="6"/>
    <x v="0"/>
    <x v="0"/>
    <x v="1"/>
    <n v="0.16"/>
    <n v="0.16669999999999999"/>
    <n v="0.74"/>
    <n v="0.16420000000000001"/>
    <x v="3"/>
    <x v="6"/>
    <n v="2"/>
  </r>
  <r>
    <n v="169"/>
    <x v="7"/>
    <s v="Winter"/>
    <s v="January"/>
    <x v="7"/>
    <x v="0"/>
    <x v="0"/>
    <x v="1"/>
    <n v="0.16"/>
    <n v="0.18179999999999999"/>
    <n v="0.74"/>
    <n v="0.1045"/>
    <x v="5"/>
    <x v="21"/>
    <n v="9"/>
  </r>
  <r>
    <n v="170"/>
    <x v="7"/>
    <s v="Winter"/>
    <s v="January"/>
    <x v="8"/>
    <x v="0"/>
    <x v="0"/>
    <x v="2"/>
    <n v="0.16"/>
    <n v="0.18179999999999999"/>
    <n v="0.93"/>
    <n v="0.1045"/>
    <x v="3"/>
    <x v="89"/>
    <n v="15"/>
  </r>
  <r>
    <n v="171"/>
    <x v="7"/>
    <s v="Winter"/>
    <s v="January"/>
    <x v="9"/>
    <x v="0"/>
    <x v="0"/>
    <x v="2"/>
    <n v="0.16"/>
    <n v="0.18179999999999999"/>
    <n v="0.93"/>
    <n v="0.1045"/>
    <x v="3"/>
    <x v="32"/>
    <n v="20"/>
  </r>
  <r>
    <n v="172"/>
    <x v="7"/>
    <s v="Winter"/>
    <s v="January"/>
    <x v="10"/>
    <x v="0"/>
    <x v="0"/>
    <x v="1"/>
    <n v="0.18"/>
    <n v="0.19700000000000001"/>
    <n v="0.8"/>
    <n v="0.16420000000000001"/>
    <x v="2"/>
    <x v="90"/>
    <n v="61"/>
  </r>
  <r>
    <n v="173"/>
    <x v="7"/>
    <s v="Winter"/>
    <s v="January"/>
    <x v="11"/>
    <x v="0"/>
    <x v="0"/>
    <x v="1"/>
    <n v="0.2"/>
    <n v="0.18179999999999999"/>
    <n v="0.69"/>
    <n v="0.3881"/>
    <x v="4"/>
    <x v="91"/>
    <n v="62"/>
  </r>
  <r>
    <n v="174"/>
    <x v="7"/>
    <s v="Winter"/>
    <s v="January"/>
    <x v="12"/>
    <x v="0"/>
    <x v="0"/>
    <x v="1"/>
    <n v="0.2"/>
    <n v="0.18179999999999999"/>
    <n v="0.59"/>
    <n v="0.35820000000000002"/>
    <x v="1"/>
    <x v="92"/>
    <n v="98"/>
  </r>
  <r>
    <n v="175"/>
    <x v="7"/>
    <s v="Winter"/>
    <s v="January"/>
    <x v="13"/>
    <x v="0"/>
    <x v="0"/>
    <x v="0"/>
    <n v="0.2"/>
    <n v="0.18179999999999999"/>
    <n v="0.44"/>
    <n v="0.32840000000000003"/>
    <x v="18"/>
    <x v="73"/>
    <n v="102"/>
  </r>
  <r>
    <n v="176"/>
    <x v="7"/>
    <s v="Winter"/>
    <s v="January"/>
    <x v="14"/>
    <x v="0"/>
    <x v="0"/>
    <x v="0"/>
    <n v="0.2"/>
    <n v="0.16669999999999999"/>
    <n v="0.32"/>
    <n v="0.49249999999999999"/>
    <x v="6"/>
    <x v="93"/>
    <n v="95"/>
  </r>
  <r>
    <n v="177"/>
    <x v="7"/>
    <s v="Winter"/>
    <s v="January"/>
    <x v="15"/>
    <x v="0"/>
    <x v="0"/>
    <x v="0"/>
    <n v="0.2"/>
    <n v="0.16669999999999999"/>
    <n v="0.32"/>
    <n v="0.44779999999999998"/>
    <x v="2"/>
    <x v="94"/>
    <n v="74"/>
  </r>
  <r>
    <n v="178"/>
    <x v="7"/>
    <s v="Winter"/>
    <s v="January"/>
    <x v="16"/>
    <x v="0"/>
    <x v="0"/>
    <x v="0"/>
    <n v="0.18"/>
    <n v="0.13639999999999999"/>
    <n v="0.28999999999999998"/>
    <n v="0.44779999999999998"/>
    <x v="1"/>
    <x v="56"/>
    <n v="76"/>
  </r>
  <r>
    <n v="179"/>
    <x v="7"/>
    <s v="Winter"/>
    <s v="January"/>
    <x v="17"/>
    <x v="0"/>
    <x v="0"/>
    <x v="0"/>
    <n v="0.16"/>
    <n v="0.1212"/>
    <n v="0.37"/>
    <n v="0.55220000000000002"/>
    <x v="2"/>
    <x v="27"/>
    <n v="69"/>
  </r>
  <r>
    <n v="180"/>
    <x v="7"/>
    <s v="Winter"/>
    <s v="January"/>
    <x v="18"/>
    <x v="0"/>
    <x v="0"/>
    <x v="0"/>
    <n v="0.14000000000000001"/>
    <n v="0.1212"/>
    <n v="0.39"/>
    <n v="0.29849999999999999"/>
    <x v="0"/>
    <x v="15"/>
    <n v="55"/>
  </r>
  <r>
    <n v="181"/>
    <x v="7"/>
    <s v="Winter"/>
    <s v="January"/>
    <x v="19"/>
    <x v="0"/>
    <x v="0"/>
    <x v="0"/>
    <n v="0.14000000000000001"/>
    <n v="0.1212"/>
    <n v="0.36"/>
    <n v="0.25369999999999998"/>
    <x v="17"/>
    <x v="16"/>
    <n v="30"/>
  </r>
  <r>
    <n v="182"/>
    <x v="7"/>
    <s v="Winter"/>
    <s v="January"/>
    <x v="20"/>
    <x v="0"/>
    <x v="0"/>
    <x v="0"/>
    <n v="0.12"/>
    <n v="0.1212"/>
    <n v="0.36"/>
    <n v="0.25369999999999998"/>
    <x v="3"/>
    <x v="95"/>
    <n v="28"/>
  </r>
  <r>
    <n v="183"/>
    <x v="7"/>
    <s v="Winter"/>
    <s v="January"/>
    <x v="21"/>
    <x v="0"/>
    <x v="0"/>
    <x v="0"/>
    <n v="0.12"/>
    <n v="0.1061"/>
    <n v="0.39"/>
    <n v="0.35820000000000002"/>
    <x v="4"/>
    <x v="96"/>
    <n v="37"/>
  </r>
  <r>
    <n v="184"/>
    <x v="7"/>
    <s v="Winter"/>
    <s v="January"/>
    <x v="22"/>
    <x v="0"/>
    <x v="0"/>
    <x v="0"/>
    <n v="0.12"/>
    <n v="0.1061"/>
    <n v="0.36"/>
    <n v="0.3881"/>
    <x v="5"/>
    <x v="39"/>
    <n v="34"/>
  </r>
  <r>
    <n v="185"/>
    <x v="7"/>
    <s v="Winter"/>
    <s v="January"/>
    <x v="23"/>
    <x v="0"/>
    <x v="0"/>
    <x v="0"/>
    <n v="0.1"/>
    <n v="6.0600000000000001E-2"/>
    <n v="0.39"/>
    <n v="0.44779999999999998"/>
    <x v="3"/>
    <x v="97"/>
    <n v="22"/>
  </r>
  <r>
    <n v="186"/>
    <x v="8"/>
    <s v="Winter"/>
    <s v="January"/>
    <x v="0"/>
    <x v="0"/>
    <x v="1"/>
    <x v="0"/>
    <n v="0.1"/>
    <n v="7.5800000000000006E-2"/>
    <n v="0.42"/>
    <n v="0.3881"/>
    <x v="5"/>
    <x v="9"/>
    <n v="25"/>
  </r>
  <r>
    <n v="187"/>
    <x v="8"/>
    <s v="Winter"/>
    <s v="January"/>
    <x v="1"/>
    <x v="0"/>
    <x v="1"/>
    <x v="0"/>
    <n v="0.1"/>
    <n v="6.0600000000000001E-2"/>
    <n v="0.42"/>
    <n v="0.4627"/>
    <x v="3"/>
    <x v="98"/>
    <n v="12"/>
  </r>
  <r>
    <n v="188"/>
    <x v="8"/>
    <s v="Winter"/>
    <s v="January"/>
    <x v="2"/>
    <x v="0"/>
    <x v="1"/>
    <x v="0"/>
    <n v="0.1"/>
    <n v="6.0600000000000001E-2"/>
    <n v="0.46"/>
    <n v="0.4627"/>
    <x v="3"/>
    <x v="48"/>
    <n v="11"/>
  </r>
  <r>
    <n v="189"/>
    <x v="8"/>
    <s v="Winter"/>
    <s v="January"/>
    <x v="3"/>
    <x v="0"/>
    <x v="1"/>
    <x v="0"/>
    <n v="0.1"/>
    <n v="7.5800000000000006E-2"/>
    <n v="0.46"/>
    <n v="0.41789999999999999"/>
    <x v="3"/>
    <x v="22"/>
    <n v="4"/>
  </r>
  <r>
    <n v="190"/>
    <x v="8"/>
    <s v="Winter"/>
    <s v="January"/>
    <x v="4"/>
    <x v="0"/>
    <x v="1"/>
    <x v="0"/>
    <n v="0.08"/>
    <n v="9.0899999999999995E-2"/>
    <n v="0.53"/>
    <n v="0.19400000000000001"/>
    <x v="3"/>
    <x v="4"/>
    <n v="1"/>
  </r>
  <r>
    <n v="191"/>
    <x v="8"/>
    <s v="Winter"/>
    <s v="January"/>
    <x v="5"/>
    <x v="0"/>
    <x v="1"/>
    <x v="0"/>
    <n v="0.08"/>
    <n v="9.0899999999999995E-2"/>
    <n v="0.53"/>
    <n v="0.19400000000000001"/>
    <x v="3"/>
    <x v="4"/>
    <n v="1"/>
  </r>
  <r>
    <n v="192"/>
    <x v="8"/>
    <s v="Winter"/>
    <s v="January"/>
    <x v="6"/>
    <x v="0"/>
    <x v="1"/>
    <x v="0"/>
    <n v="0.1"/>
    <n v="9.0899999999999995E-2"/>
    <n v="0.49"/>
    <n v="0.28360000000000002"/>
    <x v="3"/>
    <x v="4"/>
    <n v="1"/>
  </r>
  <r>
    <n v="193"/>
    <x v="8"/>
    <s v="Winter"/>
    <s v="January"/>
    <x v="7"/>
    <x v="0"/>
    <x v="1"/>
    <x v="0"/>
    <n v="0.08"/>
    <n v="9.0899999999999995E-2"/>
    <n v="0.53"/>
    <n v="0.19400000000000001"/>
    <x v="5"/>
    <x v="34"/>
    <n v="6"/>
  </r>
  <r>
    <n v="194"/>
    <x v="8"/>
    <s v="Winter"/>
    <s v="January"/>
    <x v="8"/>
    <x v="0"/>
    <x v="1"/>
    <x v="0"/>
    <n v="0.1"/>
    <n v="9.0899999999999995E-2"/>
    <n v="0.49"/>
    <n v="0.28360000000000002"/>
    <x v="3"/>
    <x v="3"/>
    <n v="10"/>
  </r>
  <r>
    <n v="195"/>
    <x v="8"/>
    <s v="Winter"/>
    <s v="January"/>
    <x v="9"/>
    <x v="0"/>
    <x v="1"/>
    <x v="0"/>
    <n v="0.12"/>
    <n v="7.5800000000000006E-2"/>
    <n v="0.46"/>
    <n v="0.52239999999999998"/>
    <x v="3"/>
    <x v="23"/>
    <n v="19"/>
  </r>
  <r>
    <n v="196"/>
    <x v="8"/>
    <s v="Winter"/>
    <s v="January"/>
    <x v="10"/>
    <x v="0"/>
    <x v="1"/>
    <x v="0"/>
    <n v="0.14000000000000001"/>
    <n v="0.1061"/>
    <n v="0.43"/>
    <n v="0.3881"/>
    <x v="3"/>
    <x v="47"/>
    <n v="49"/>
  </r>
  <r>
    <n v="197"/>
    <x v="8"/>
    <s v="Winter"/>
    <s v="January"/>
    <x v="11"/>
    <x v="0"/>
    <x v="1"/>
    <x v="0"/>
    <n v="0.16"/>
    <n v="0.1212"/>
    <n v="0.4"/>
    <n v="0.52239999999999998"/>
    <x v="4"/>
    <x v="12"/>
    <n v="49"/>
  </r>
  <r>
    <n v="198"/>
    <x v="8"/>
    <s v="Winter"/>
    <s v="January"/>
    <x v="12"/>
    <x v="0"/>
    <x v="1"/>
    <x v="0"/>
    <n v="0.18"/>
    <n v="0.13639999999999999"/>
    <n v="0.37"/>
    <n v="0.44779999999999998"/>
    <x v="17"/>
    <x v="55"/>
    <n v="83"/>
  </r>
  <r>
    <n v="199"/>
    <x v="8"/>
    <s v="Winter"/>
    <s v="January"/>
    <x v="13"/>
    <x v="0"/>
    <x v="1"/>
    <x v="0"/>
    <n v="0.2"/>
    <n v="0.16669999999999999"/>
    <n v="0.34"/>
    <n v="0.44779999999999998"/>
    <x v="15"/>
    <x v="94"/>
    <n v="75"/>
  </r>
  <r>
    <n v="200"/>
    <x v="8"/>
    <s v="Winter"/>
    <s v="January"/>
    <x v="14"/>
    <x v="0"/>
    <x v="1"/>
    <x v="0"/>
    <n v="0.22"/>
    <n v="0.18179999999999999"/>
    <n v="0.32"/>
    <n v="0.4627"/>
    <x v="1"/>
    <x v="27"/>
    <n v="72"/>
  </r>
  <r>
    <n v="201"/>
    <x v="8"/>
    <s v="Winter"/>
    <s v="January"/>
    <x v="15"/>
    <x v="0"/>
    <x v="1"/>
    <x v="0"/>
    <n v="0.22"/>
    <n v="0.19700000000000001"/>
    <n v="0.35"/>
    <n v="0.35820000000000002"/>
    <x v="2"/>
    <x v="99"/>
    <n v="82"/>
  </r>
  <r>
    <n v="202"/>
    <x v="8"/>
    <s v="Winter"/>
    <s v="January"/>
    <x v="16"/>
    <x v="0"/>
    <x v="1"/>
    <x v="0"/>
    <n v="0.2"/>
    <n v="0.16669999999999999"/>
    <n v="0.34"/>
    <n v="0.44779999999999998"/>
    <x v="23"/>
    <x v="55"/>
    <n v="92"/>
  </r>
  <r>
    <n v="203"/>
    <x v="8"/>
    <s v="Winter"/>
    <s v="January"/>
    <x v="17"/>
    <x v="0"/>
    <x v="1"/>
    <x v="0"/>
    <n v="0.18"/>
    <n v="0.1515"/>
    <n v="0.37"/>
    <n v="0.3881"/>
    <x v="0"/>
    <x v="79"/>
    <n v="62"/>
  </r>
  <r>
    <n v="204"/>
    <x v="8"/>
    <s v="Winter"/>
    <s v="January"/>
    <x v="18"/>
    <x v="0"/>
    <x v="1"/>
    <x v="0"/>
    <n v="0.16"/>
    <n v="0.13639999999999999"/>
    <n v="0.4"/>
    <n v="0.32840000000000003"/>
    <x v="17"/>
    <x v="100"/>
    <n v="48"/>
  </r>
  <r>
    <n v="205"/>
    <x v="8"/>
    <s v="Winter"/>
    <s v="January"/>
    <x v="19"/>
    <x v="0"/>
    <x v="1"/>
    <x v="0"/>
    <n v="0.16"/>
    <n v="0.13639999999999999"/>
    <n v="0.43"/>
    <n v="0.32840000000000003"/>
    <x v="5"/>
    <x v="71"/>
    <n v="41"/>
  </r>
  <r>
    <n v="206"/>
    <x v="8"/>
    <s v="Winter"/>
    <s v="January"/>
    <x v="20"/>
    <x v="0"/>
    <x v="1"/>
    <x v="0"/>
    <n v="0.14000000000000001"/>
    <n v="0.1212"/>
    <n v="0.46"/>
    <n v="0.25369999999999998"/>
    <x v="3"/>
    <x v="101"/>
    <n v="38"/>
  </r>
  <r>
    <n v="207"/>
    <x v="8"/>
    <s v="Winter"/>
    <s v="January"/>
    <x v="21"/>
    <x v="0"/>
    <x v="1"/>
    <x v="0"/>
    <n v="0.14000000000000001"/>
    <n v="0.1061"/>
    <n v="0.46"/>
    <n v="0.41789999999999999"/>
    <x v="5"/>
    <x v="23"/>
    <n v="20"/>
  </r>
  <r>
    <n v="208"/>
    <x v="8"/>
    <s v="Winter"/>
    <s v="January"/>
    <x v="22"/>
    <x v="0"/>
    <x v="1"/>
    <x v="0"/>
    <n v="0.14000000000000001"/>
    <n v="0.1212"/>
    <n v="0.46"/>
    <n v="0.29849999999999999"/>
    <x v="2"/>
    <x v="3"/>
    <n v="15"/>
  </r>
  <r>
    <n v="209"/>
    <x v="8"/>
    <s v="Winter"/>
    <s v="January"/>
    <x v="23"/>
    <x v="0"/>
    <x v="1"/>
    <x v="0"/>
    <n v="0.12"/>
    <n v="0.13639999999999999"/>
    <n v="0.5"/>
    <n v="0.19400000000000001"/>
    <x v="3"/>
    <x v="8"/>
    <n v="6"/>
  </r>
  <r>
    <n v="210"/>
    <x v="9"/>
    <s v="Winter"/>
    <s v="January"/>
    <x v="0"/>
    <x v="0"/>
    <x v="2"/>
    <x v="0"/>
    <n v="0.12"/>
    <n v="0.1212"/>
    <n v="0.5"/>
    <n v="0.28360000000000002"/>
    <x v="4"/>
    <x v="35"/>
    <n v="5"/>
  </r>
  <r>
    <n v="211"/>
    <x v="9"/>
    <s v="Winter"/>
    <s v="January"/>
    <x v="1"/>
    <x v="0"/>
    <x v="2"/>
    <x v="0"/>
    <n v="0.12"/>
    <n v="0.1212"/>
    <n v="0.5"/>
    <n v="0.28360000000000002"/>
    <x v="5"/>
    <x v="5"/>
    <n v="1"/>
  </r>
  <r>
    <n v="212"/>
    <x v="9"/>
    <s v="Winter"/>
    <s v="January"/>
    <x v="2"/>
    <x v="0"/>
    <x v="2"/>
    <x v="0"/>
    <n v="0.12"/>
    <n v="0.1212"/>
    <n v="0.5"/>
    <n v="0.22389999999999999"/>
    <x v="3"/>
    <x v="35"/>
    <n v="3"/>
  </r>
  <r>
    <n v="213"/>
    <x v="9"/>
    <s v="Winter"/>
    <s v="January"/>
    <x v="3"/>
    <x v="0"/>
    <x v="2"/>
    <x v="0"/>
    <n v="0.12"/>
    <n v="0.1212"/>
    <n v="0.5"/>
    <n v="0.22389999999999999"/>
    <x v="3"/>
    <x v="4"/>
    <n v="1"/>
  </r>
  <r>
    <n v="214"/>
    <x v="9"/>
    <s v="Winter"/>
    <s v="January"/>
    <x v="4"/>
    <x v="0"/>
    <x v="2"/>
    <x v="0"/>
    <n v="0.1"/>
    <n v="0.1212"/>
    <n v="0.54"/>
    <n v="0.1343"/>
    <x v="5"/>
    <x v="6"/>
    <n v="3"/>
  </r>
  <r>
    <n v="215"/>
    <x v="9"/>
    <s v="Winter"/>
    <s v="January"/>
    <x v="5"/>
    <x v="0"/>
    <x v="2"/>
    <x v="0"/>
    <n v="0.1"/>
    <n v="0.1061"/>
    <n v="0.54"/>
    <n v="0.25369999999999998"/>
    <x v="3"/>
    <x v="35"/>
    <n v="3"/>
  </r>
  <r>
    <n v="216"/>
    <x v="9"/>
    <s v="Winter"/>
    <s v="January"/>
    <x v="6"/>
    <x v="0"/>
    <x v="2"/>
    <x v="0"/>
    <n v="0.12"/>
    <n v="0.1212"/>
    <n v="0.5"/>
    <n v="0.28360000000000002"/>
    <x v="3"/>
    <x v="17"/>
    <n v="31"/>
  </r>
  <r>
    <n v="217"/>
    <x v="9"/>
    <s v="Winter"/>
    <s v="January"/>
    <x v="7"/>
    <x v="0"/>
    <x v="2"/>
    <x v="0"/>
    <n v="0.12"/>
    <n v="0.1212"/>
    <n v="0.5"/>
    <n v="0.22389999999999999"/>
    <x v="4"/>
    <x v="102"/>
    <n v="77"/>
  </r>
  <r>
    <n v="218"/>
    <x v="9"/>
    <s v="Winter"/>
    <s v="January"/>
    <x v="8"/>
    <x v="0"/>
    <x v="2"/>
    <x v="1"/>
    <n v="0.12"/>
    <n v="0.1212"/>
    <n v="0.5"/>
    <n v="0.28360000000000002"/>
    <x v="17"/>
    <x v="103"/>
    <n v="188"/>
  </r>
  <r>
    <n v="219"/>
    <x v="9"/>
    <s v="Winter"/>
    <s v="January"/>
    <x v="9"/>
    <x v="0"/>
    <x v="2"/>
    <x v="1"/>
    <n v="0.14000000000000001"/>
    <n v="0.1212"/>
    <n v="0.5"/>
    <n v="0.25369999999999998"/>
    <x v="4"/>
    <x v="50"/>
    <n v="94"/>
  </r>
  <r>
    <n v="220"/>
    <x v="9"/>
    <s v="Winter"/>
    <s v="January"/>
    <x v="10"/>
    <x v="0"/>
    <x v="2"/>
    <x v="1"/>
    <n v="0.14000000000000001"/>
    <n v="0.1212"/>
    <n v="0.5"/>
    <n v="0.29849999999999999"/>
    <x v="3"/>
    <x v="17"/>
    <n v="31"/>
  </r>
  <r>
    <n v="221"/>
    <x v="9"/>
    <s v="Winter"/>
    <s v="January"/>
    <x v="11"/>
    <x v="0"/>
    <x v="2"/>
    <x v="1"/>
    <n v="0.16"/>
    <n v="0.13639999999999999"/>
    <n v="0.47"/>
    <n v="0.28360000000000002"/>
    <x v="4"/>
    <x v="95"/>
    <n v="30"/>
  </r>
  <r>
    <n v="222"/>
    <x v="9"/>
    <s v="Winter"/>
    <s v="January"/>
    <x v="12"/>
    <x v="0"/>
    <x v="2"/>
    <x v="1"/>
    <n v="0.2"/>
    <n v="0.18179999999999999"/>
    <n v="0.4"/>
    <n v="0.28360000000000002"/>
    <x v="2"/>
    <x v="12"/>
    <n v="52"/>
  </r>
  <r>
    <n v="223"/>
    <x v="9"/>
    <s v="Winter"/>
    <s v="January"/>
    <x v="13"/>
    <x v="0"/>
    <x v="2"/>
    <x v="1"/>
    <n v="0.2"/>
    <n v="0.18179999999999999"/>
    <n v="0.4"/>
    <n v="0.28360000000000002"/>
    <x v="17"/>
    <x v="54"/>
    <n v="54"/>
  </r>
  <r>
    <n v="224"/>
    <x v="9"/>
    <s v="Winter"/>
    <s v="January"/>
    <x v="14"/>
    <x v="0"/>
    <x v="2"/>
    <x v="1"/>
    <n v="0.2"/>
    <n v="0.19700000000000001"/>
    <n v="0.4"/>
    <n v="0.22389999999999999"/>
    <x v="3"/>
    <x v="12"/>
    <n v="47"/>
  </r>
  <r>
    <n v="225"/>
    <x v="9"/>
    <s v="Winter"/>
    <s v="January"/>
    <x v="15"/>
    <x v="0"/>
    <x v="2"/>
    <x v="1"/>
    <n v="0.2"/>
    <n v="0.19700000000000001"/>
    <n v="0.4"/>
    <n v="0.22389999999999999"/>
    <x v="4"/>
    <x v="30"/>
    <n v="45"/>
  </r>
  <r>
    <n v="226"/>
    <x v="9"/>
    <s v="Winter"/>
    <s v="January"/>
    <x v="16"/>
    <x v="0"/>
    <x v="2"/>
    <x v="0"/>
    <n v="0.2"/>
    <n v="0.21210000000000001"/>
    <n v="0.4"/>
    <n v="0.1343"/>
    <x v="17"/>
    <x v="14"/>
    <n v="74"/>
  </r>
  <r>
    <n v="227"/>
    <x v="9"/>
    <s v="Winter"/>
    <s v="January"/>
    <x v="17"/>
    <x v="0"/>
    <x v="2"/>
    <x v="0"/>
    <n v="0.2"/>
    <n v="0.2273"/>
    <n v="0.4"/>
    <n v="0.1045"/>
    <x v="17"/>
    <x v="104"/>
    <n v="178"/>
  </r>
  <r>
    <n v="228"/>
    <x v="9"/>
    <s v="Winter"/>
    <s v="January"/>
    <x v="18"/>
    <x v="0"/>
    <x v="2"/>
    <x v="0"/>
    <n v="0.2"/>
    <n v="0.19700000000000001"/>
    <n v="0.4"/>
    <n v="0.22389999999999999"/>
    <x v="5"/>
    <x v="105"/>
    <n v="155"/>
  </r>
  <r>
    <n v="229"/>
    <x v="9"/>
    <s v="Winter"/>
    <s v="January"/>
    <x v="19"/>
    <x v="0"/>
    <x v="2"/>
    <x v="0"/>
    <n v="0.16"/>
    <n v="0.16669999999999999"/>
    <n v="0.47"/>
    <n v="0.16420000000000001"/>
    <x v="0"/>
    <x v="50"/>
    <n v="95"/>
  </r>
  <r>
    <n v="230"/>
    <x v="9"/>
    <s v="Winter"/>
    <s v="January"/>
    <x v="20"/>
    <x v="0"/>
    <x v="2"/>
    <x v="0"/>
    <n v="0.16"/>
    <n v="0.16669999999999999"/>
    <n v="0.5"/>
    <n v="0.16420000000000001"/>
    <x v="5"/>
    <x v="26"/>
    <n v="74"/>
  </r>
  <r>
    <n v="231"/>
    <x v="9"/>
    <s v="Winter"/>
    <s v="January"/>
    <x v="21"/>
    <x v="0"/>
    <x v="2"/>
    <x v="0"/>
    <n v="0.14000000000000001"/>
    <n v="0.13639999999999999"/>
    <n v="0.59"/>
    <n v="0.19400000000000001"/>
    <x v="5"/>
    <x v="53"/>
    <n v="38"/>
  </r>
  <r>
    <n v="232"/>
    <x v="9"/>
    <s v="Winter"/>
    <s v="January"/>
    <x v="22"/>
    <x v="0"/>
    <x v="2"/>
    <x v="0"/>
    <n v="0.14000000000000001"/>
    <n v="0.1515"/>
    <n v="0.59"/>
    <n v="0.16420000000000001"/>
    <x v="4"/>
    <x v="97"/>
    <n v="24"/>
  </r>
  <r>
    <n v="233"/>
    <x v="9"/>
    <s v="Winter"/>
    <s v="January"/>
    <x v="23"/>
    <x v="0"/>
    <x v="2"/>
    <x v="0"/>
    <n v="0.14000000000000001"/>
    <n v="0.1515"/>
    <n v="0.59"/>
    <n v="0.16420000000000001"/>
    <x v="3"/>
    <x v="72"/>
    <n v="18"/>
  </r>
  <r>
    <n v="234"/>
    <x v="10"/>
    <s v="Winter"/>
    <s v="January"/>
    <x v="0"/>
    <x v="0"/>
    <x v="3"/>
    <x v="0"/>
    <n v="0.14000000000000001"/>
    <n v="0.16669999999999999"/>
    <n v="0.59"/>
    <n v="0.1045"/>
    <x v="4"/>
    <x v="3"/>
    <n v="12"/>
  </r>
  <r>
    <n v="235"/>
    <x v="10"/>
    <s v="Winter"/>
    <s v="January"/>
    <x v="1"/>
    <x v="0"/>
    <x v="3"/>
    <x v="0"/>
    <n v="0.14000000000000001"/>
    <n v="0.1515"/>
    <n v="0.59"/>
    <n v="0.16420000000000001"/>
    <x v="3"/>
    <x v="35"/>
    <n v="3"/>
  </r>
  <r>
    <n v="236"/>
    <x v="10"/>
    <s v="Winter"/>
    <s v="January"/>
    <x v="2"/>
    <x v="0"/>
    <x v="3"/>
    <x v="1"/>
    <n v="0.16"/>
    <n v="0.1515"/>
    <n v="0.55000000000000004"/>
    <n v="0.19400000000000001"/>
    <x v="3"/>
    <x v="35"/>
    <n v="3"/>
  </r>
  <r>
    <n v="237"/>
    <x v="10"/>
    <s v="Winter"/>
    <s v="January"/>
    <x v="5"/>
    <x v="0"/>
    <x v="3"/>
    <x v="1"/>
    <n v="0.16"/>
    <n v="0.18179999999999999"/>
    <n v="0.55000000000000004"/>
    <n v="0.1343"/>
    <x v="3"/>
    <x v="8"/>
    <n v="6"/>
  </r>
  <r>
    <n v="238"/>
    <x v="10"/>
    <s v="Winter"/>
    <s v="January"/>
    <x v="6"/>
    <x v="0"/>
    <x v="3"/>
    <x v="1"/>
    <n v="0.16"/>
    <n v="0.18179999999999999"/>
    <n v="0.55000000000000004"/>
    <n v="0.1343"/>
    <x v="3"/>
    <x v="2"/>
    <n v="27"/>
  </r>
  <r>
    <n v="239"/>
    <x v="10"/>
    <s v="Winter"/>
    <s v="January"/>
    <x v="7"/>
    <x v="0"/>
    <x v="3"/>
    <x v="1"/>
    <n v="0.16"/>
    <n v="0.2273"/>
    <n v="0.55000000000000004"/>
    <n v="0"/>
    <x v="4"/>
    <x v="106"/>
    <n v="99"/>
  </r>
  <r>
    <n v="240"/>
    <x v="10"/>
    <s v="Winter"/>
    <s v="January"/>
    <x v="8"/>
    <x v="0"/>
    <x v="3"/>
    <x v="1"/>
    <n v="0.18"/>
    <n v="0.21210000000000001"/>
    <n v="0.51"/>
    <n v="8.9599999999999999E-2"/>
    <x v="0"/>
    <x v="107"/>
    <n v="217"/>
  </r>
  <r>
    <n v="241"/>
    <x v="10"/>
    <s v="Winter"/>
    <s v="January"/>
    <x v="9"/>
    <x v="0"/>
    <x v="3"/>
    <x v="1"/>
    <n v="0.18"/>
    <n v="0.19700000000000001"/>
    <n v="0.51"/>
    <n v="0.16420000000000001"/>
    <x v="0"/>
    <x v="69"/>
    <n v="130"/>
  </r>
  <r>
    <n v="242"/>
    <x v="10"/>
    <s v="Winter"/>
    <s v="January"/>
    <x v="10"/>
    <x v="0"/>
    <x v="3"/>
    <x v="1"/>
    <n v="0.2"/>
    <n v="0.21210000000000001"/>
    <n v="0.51"/>
    <n v="0.16420000000000001"/>
    <x v="0"/>
    <x v="82"/>
    <n v="54"/>
  </r>
  <r>
    <n v="243"/>
    <x v="10"/>
    <s v="Winter"/>
    <s v="January"/>
    <x v="11"/>
    <x v="0"/>
    <x v="3"/>
    <x v="1"/>
    <n v="0.2"/>
    <n v="0.21210000000000001"/>
    <n v="0.47"/>
    <n v="0.1343"/>
    <x v="17"/>
    <x v="17"/>
    <n v="35"/>
  </r>
  <r>
    <n v="244"/>
    <x v="10"/>
    <s v="Winter"/>
    <s v="January"/>
    <x v="12"/>
    <x v="0"/>
    <x v="3"/>
    <x v="1"/>
    <n v="0.2"/>
    <n v="0.2273"/>
    <n v="0.51"/>
    <n v="0.1045"/>
    <x v="4"/>
    <x v="11"/>
    <n v="57"/>
  </r>
  <r>
    <n v="245"/>
    <x v="10"/>
    <s v="Winter"/>
    <s v="January"/>
    <x v="13"/>
    <x v="0"/>
    <x v="3"/>
    <x v="1"/>
    <n v="0.2"/>
    <n v="0.2273"/>
    <n v="0.59"/>
    <n v="8.9599999999999999E-2"/>
    <x v="15"/>
    <x v="24"/>
    <n v="52"/>
  </r>
  <r>
    <n v="246"/>
    <x v="10"/>
    <s v="Winter"/>
    <s v="January"/>
    <x v="14"/>
    <x v="0"/>
    <x v="3"/>
    <x v="1"/>
    <n v="0.2"/>
    <n v="0.2273"/>
    <n v="0.59"/>
    <n v="8.9599999999999999E-2"/>
    <x v="0"/>
    <x v="91"/>
    <n v="63"/>
  </r>
  <r>
    <n v="247"/>
    <x v="10"/>
    <s v="Winter"/>
    <s v="January"/>
    <x v="15"/>
    <x v="0"/>
    <x v="3"/>
    <x v="1"/>
    <n v="0.16"/>
    <n v="0.19700000000000001"/>
    <n v="0.8"/>
    <n v="8.9599999999999999E-2"/>
    <x v="4"/>
    <x v="108"/>
    <n v="47"/>
  </r>
  <r>
    <n v="248"/>
    <x v="10"/>
    <s v="Winter"/>
    <s v="January"/>
    <x v="16"/>
    <x v="0"/>
    <x v="3"/>
    <x v="1"/>
    <n v="0.16"/>
    <n v="0.1515"/>
    <n v="0.86"/>
    <n v="0.22389999999999999"/>
    <x v="17"/>
    <x v="109"/>
    <n v="76"/>
  </r>
  <r>
    <n v="249"/>
    <x v="10"/>
    <s v="Winter"/>
    <s v="January"/>
    <x v="17"/>
    <x v="0"/>
    <x v="3"/>
    <x v="1"/>
    <n v="0.16"/>
    <n v="0.1515"/>
    <n v="0.86"/>
    <n v="0.22389999999999999"/>
    <x v="15"/>
    <x v="110"/>
    <n v="136"/>
  </r>
  <r>
    <n v="250"/>
    <x v="10"/>
    <s v="Winter"/>
    <s v="January"/>
    <x v="18"/>
    <x v="0"/>
    <x v="3"/>
    <x v="2"/>
    <n v="0.16"/>
    <n v="0.18179999999999999"/>
    <n v="0.93"/>
    <n v="0.1045"/>
    <x v="5"/>
    <x v="111"/>
    <n v="95"/>
  </r>
  <r>
    <n v="251"/>
    <x v="10"/>
    <s v="Winter"/>
    <s v="January"/>
    <x v="19"/>
    <x v="0"/>
    <x v="3"/>
    <x v="2"/>
    <n v="0.16"/>
    <n v="0.2273"/>
    <n v="0.93"/>
    <n v="0"/>
    <x v="3"/>
    <x v="82"/>
    <n v="51"/>
  </r>
  <r>
    <n v="252"/>
    <x v="10"/>
    <s v="Winter"/>
    <s v="January"/>
    <x v="20"/>
    <x v="0"/>
    <x v="3"/>
    <x v="2"/>
    <n v="0.16"/>
    <n v="0.1515"/>
    <n v="0.93"/>
    <n v="0.19400000000000001"/>
    <x v="3"/>
    <x v="1"/>
    <n v="32"/>
  </r>
  <r>
    <n v="253"/>
    <x v="10"/>
    <s v="Winter"/>
    <s v="January"/>
    <x v="21"/>
    <x v="0"/>
    <x v="3"/>
    <x v="2"/>
    <n v="0.16"/>
    <n v="0.19700000000000001"/>
    <n v="0.86"/>
    <n v="8.9599999999999999E-2"/>
    <x v="3"/>
    <x v="32"/>
    <n v="20"/>
  </r>
  <r>
    <n v="254"/>
    <x v="10"/>
    <s v="Winter"/>
    <s v="January"/>
    <x v="22"/>
    <x v="0"/>
    <x v="3"/>
    <x v="2"/>
    <n v="0.16"/>
    <n v="0.18179999999999999"/>
    <n v="0.93"/>
    <n v="0.1045"/>
    <x v="5"/>
    <x v="95"/>
    <n v="29"/>
  </r>
  <r>
    <n v="255"/>
    <x v="10"/>
    <s v="Winter"/>
    <s v="January"/>
    <x v="23"/>
    <x v="0"/>
    <x v="3"/>
    <x v="2"/>
    <n v="0.16"/>
    <n v="0.19700000000000001"/>
    <n v="0.93"/>
    <n v="8.9599999999999999E-2"/>
    <x v="5"/>
    <x v="72"/>
    <n v="19"/>
  </r>
  <r>
    <n v="256"/>
    <x v="11"/>
    <s v="Winter"/>
    <s v="January"/>
    <x v="0"/>
    <x v="0"/>
    <x v="4"/>
    <x v="1"/>
    <n v="0.16"/>
    <n v="0.19700000000000001"/>
    <n v="0.86"/>
    <n v="8.9599999999999999E-2"/>
    <x v="3"/>
    <x v="7"/>
    <n v="7"/>
  </r>
  <r>
    <n v="257"/>
    <x v="11"/>
    <s v="Winter"/>
    <s v="January"/>
    <x v="1"/>
    <x v="0"/>
    <x v="4"/>
    <x v="1"/>
    <n v="0.16"/>
    <n v="0.18179999999999999"/>
    <n v="0.86"/>
    <n v="0.1045"/>
    <x v="3"/>
    <x v="8"/>
    <n v="6"/>
  </r>
  <r>
    <n v="258"/>
    <x v="11"/>
    <s v="Winter"/>
    <s v="January"/>
    <x v="2"/>
    <x v="0"/>
    <x v="4"/>
    <x v="0"/>
    <n v="0.14000000000000001"/>
    <n v="0.1515"/>
    <n v="0.86"/>
    <n v="0.1343"/>
    <x v="3"/>
    <x v="4"/>
    <n v="1"/>
  </r>
  <r>
    <n v="259"/>
    <x v="11"/>
    <s v="Winter"/>
    <s v="January"/>
    <x v="5"/>
    <x v="0"/>
    <x v="4"/>
    <x v="0"/>
    <n v="0.14000000000000001"/>
    <n v="0.1515"/>
    <n v="0.86"/>
    <n v="0.16420000000000001"/>
    <x v="3"/>
    <x v="34"/>
    <n v="5"/>
  </r>
  <r>
    <n v="260"/>
    <x v="11"/>
    <s v="Winter"/>
    <s v="January"/>
    <x v="6"/>
    <x v="0"/>
    <x v="4"/>
    <x v="0"/>
    <n v="0.12"/>
    <n v="0.1515"/>
    <n v="0.93"/>
    <n v="0.1343"/>
    <x v="3"/>
    <x v="20"/>
    <n v="16"/>
  </r>
  <r>
    <n v="261"/>
    <x v="11"/>
    <s v="Winter"/>
    <s v="January"/>
    <x v="7"/>
    <x v="0"/>
    <x v="4"/>
    <x v="0"/>
    <n v="0.14000000000000001"/>
    <n v="0.1515"/>
    <n v="0.69"/>
    <n v="0.1343"/>
    <x v="3"/>
    <x v="25"/>
    <n v="54"/>
  </r>
  <r>
    <n v="262"/>
    <x v="11"/>
    <s v="Winter"/>
    <s v="January"/>
    <x v="8"/>
    <x v="0"/>
    <x v="4"/>
    <x v="0"/>
    <n v="0.16"/>
    <n v="0.16669999999999999"/>
    <n v="0.59"/>
    <n v="0.16420000000000001"/>
    <x v="0"/>
    <x v="85"/>
    <n v="128"/>
  </r>
  <r>
    <n v="263"/>
    <x v="11"/>
    <s v="Winter"/>
    <s v="January"/>
    <x v="9"/>
    <x v="0"/>
    <x v="4"/>
    <x v="0"/>
    <n v="0.16"/>
    <n v="0.13639999999999999"/>
    <n v="0.59"/>
    <n v="0.32840000000000003"/>
    <x v="0"/>
    <x v="78"/>
    <n v="81"/>
  </r>
  <r>
    <n v="264"/>
    <x v="11"/>
    <s v="Winter"/>
    <s v="January"/>
    <x v="10"/>
    <x v="0"/>
    <x v="4"/>
    <x v="0"/>
    <n v="0.18"/>
    <n v="0.18179999999999999"/>
    <n v="0.55000000000000004"/>
    <n v="0.22389999999999999"/>
    <x v="3"/>
    <x v="87"/>
    <n v="39"/>
  </r>
  <r>
    <n v="265"/>
    <x v="11"/>
    <s v="Winter"/>
    <s v="January"/>
    <x v="11"/>
    <x v="0"/>
    <x v="4"/>
    <x v="0"/>
    <n v="0.2"/>
    <n v="0.18179999999999999"/>
    <n v="0.51"/>
    <n v="0.3881"/>
    <x v="0"/>
    <x v="1"/>
    <n v="35"/>
  </r>
  <r>
    <n v="266"/>
    <x v="11"/>
    <s v="Winter"/>
    <s v="January"/>
    <x v="12"/>
    <x v="0"/>
    <x v="4"/>
    <x v="0"/>
    <n v="0.2"/>
    <n v="0.1515"/>
    <n v="0.47"/>
    <n v="0.58209999999999995"/>
    <x v="0"/>
    <x v="15"/>
    <n v="55"/>
  </r>
  <r>
    <n v="267"/>
    <x v="11"/>
    <s v="Winter"/>
    <s v="January"/>
    <x v="13"/>
    <x v="0"/>
    <x v="4"/>
    <x v="0"/>
    <n v="0.22"/>
    <n v="0.19700000000000001"/>
    <n v="0.44"/>
    <n v="0.35820000000000002"/>
    <x v="3"/>
    <x v="47"/>
    <n v="49"/>
  </r>
  <r>
    <n v="268"/>
    <x v="11"/>
    <s v="Winter"/>
    <s v="January"/>
    <x v="14"/>
    <x v="0"/>
    <x v="4"/>
    <x v="0"/>
    <n v="0.2"/>
    <n v="0.18179999999999999"/>
    <n v="0.47"/>
    <n v="0.32840000000000003"/>
    <x v="3"/>
    <x v="100"/>
    <n v="44"/>
  </r>
  <r>
    <n v="269"/>
    <x v="11"/>
    <s v="Winter"/>
    <s v="January"/>
    <x v="15"/>
    <x v="0"/>
    <x v="4"/>
    <x v="0"/>
    <n v="0.2"/>
    <n v="0.16669999999999999"/>
    <n v="0.47"/>
    <n v="0.41789999999999999"/>
    <x v="5"/>
    <x v="41"/>
    <n v="49"/>
  </r>
  <r>
    <n v="270"/>
    <x v="11"/>
    <s v="Winter"/>
    <s v="January"/>
    <x v="16"/>
    <x v="0"/>
    <x v="4"/>
    <x v="0"/>
    <n v="0.22"/>
    <n v="0.19700000000000001"/>
    <n v="0.44"/>
    <n v="0.32840000000000003"/>
    <x v="2"/>
    <x v="36"/>
    <n v="68"/>
  </r>
  <r>
    <n v="271"/>
    <x v="11"/>
    <s v="Winter"/>
    <s v="January"/>
    <x v="17"/>
    <x v="0"/>
    <x v="4"/>
    <x v="0"/>
    <n v="0.2"/>
    <n v="0.18179999999999999"/>
    <n v="0.47"/>
    <n v="0.35820000000000002"/>
    <x v="3"/>
    <x v="112"/>
    <n v="139"/>
  </r>
  <r>
    <n v="272"/>
    <x v="11"/>
    <s v="Winter"/>
    <s v="January"/>
    <x v="18"/>
    <x v="0"/>
    <x v="4"/>
    <x v="0"/>
    <n v="0.2"/>
    <n v="0.1515"/>
    <n v="0.47"/>
    <n v="0.52239999999999998"/>
    <x v="4"/>
    <x v="113"/>
    <n v="137"/>
  </r>
  <r>
    <n v="273"/>
    <x v="11"/>
    <s v="Winter"/>
    <s v="January"/>
    <x v="19"/>
    <x v="0"/>
    <x v="4"/>
    <x v="0"/>
    <n v="0.18"/>
    <n v="0.1515"/>
    <n v="0.47"/>
    <n v="0.41789999999999999"/>
    <x v="5"/>
    <x v="70"/>
    <n v="83"/>
  </r>
  <r>
    <n v="274"/>
    <x v="11"/>
    <s v="Winter"/>
    <s v="January"/>
    <x v="20"/>
    <x v="0"/>
    <x v="4"/>
    <x v="0"/>
    <n v="0.16"/>
    <n v="0.13639999999999999"/>
    <n v="0.5"/>
    <n v="0.32840000000000003"/>
    <x v="4"/>
    <x v="25"/>
    <n v="56"/>
  </r>
  <r>
    <n v="275"/>
    <x v="11"/>
    <s v="Winter"/>
    <s v="January"/>
    <x v="21"/>
    <x v="0"/>
    <x v="4"/>
    <x v="0"/>
    <n v="0.16"/>
    <n v="0.13639999999999999"/>
    <n v="0.55000000000000004"/>
    <n v="0.32840000000000003"/>
    <x v="3"/>
    <x v="77"/>
    <n v="57"/>
  </r>
  <r>
    <n v="276"/>
    <x v="11"/>
    <s v="Winter"/>
    <s v="January"/>
    <x v="22"/>
    <x v="0"/>
    <x v="4"/>
    <x v="0"/>
    <n v="0.16"/>
    <n v="0.1212"/>
    <n v="0.55000000000000004"/>
    <n v="0.44779999999999998"/>
    <x v="5"/>
    <x v="1"/>
    <n v="33"/>
  </r>
  <r>
    <n v="277"/>
    <x v="11"/>
    <s v="Winter"/>
    <s v="January"/>
    <x v="23"/>
    <x v="0"/>
    <x v="4"/>
    <x v="0"/>
    <n v="0.14000000000000001"/>
    <n v="0.1061"/>
    <n v="0.59"/>
    <n v="0.41789999999999999"/>
    <x v="5"/>
    <x v="23"/>
    <n v="20"/>
  </r>
  <r>
    <n v="278"/>
    <x v="12"/>
    <s v="Winter"/>
    <s v="January"/>
    <x v="0"/>
    <x v="0"/>
    <x v="5"/>
    <x v="0"/>
    <n v="0.14000000000000001"/>
    <n v="0.1212"/>
    <n v="0.59"/>
    <n v="0.28360000000000002"/>
    <x v="5"/>
    <x v="8"/>
    <n v="7"/>
  </r>
  <r>
    <n v="279"/>
    <x v="12"/>
    <s v="Winter"/>
    <s v="January"/>
    <x v="1"/>
    <x v="0"/>
    <x v="5"/>
    <x v="0"/>
    <n v="0.14000000000000001"/>
    <n v="0.1212"/>
    <n v="0.5"/>
    <n v="0.28360000000000002"/>
    <x v="3"/>
    <x v="6"/>
    <n v="2"/>
  </r>
  <r>
    <n v="280"/>
    <x v="12"/>
    <s v="Winter"/>
    <s v="January"/>
    <x v="2"/>
    <x v="0"/>
    <x v="5"/>
    <x v="0"/>
    <n v="0.14000000000000001"/>
    <n v="0.1212"/>
    <n v="0.5"/>
    <n v="0.35820000000000002"/>
    <x v="3"/>
    <x v="6"/>
    <n v="2"/>
  </r>
  <r>
    <n v="281"/>
    <x v="12"/>
    <s v="Winter"/>
    <s v="January"/>
    <x v="3"/>
    <x v="0"/>
    <x v="5"/>
    <x v="0"/>
    <n v="0.14000000000000001"/>
    <n v="0.1212"/>
    <n v="0.5"/>
    <n v="0.32840000000000003"/>
    <x v="3"/>
    <x v="35"/>
    <n v="3"/>
  </r>
  <r>
    <n v="282"/>
    <x v="12"/>
    <s v="Winter"/>
    <s v="January"/>
    <x v="4"/>
    <x v="0"/>
    <x v="5"/>
    <x v="0"/>
    <n v="0.14000000000000001"/>
    <n v="0.1212"/>
    <n v="0.5"/>
    <n v="0.25369999999999998"/>
    <x v="3"/>
    <x v="22"/>
    <n v="4"/>
  </r>
  <r>
    <n v="283"/>
    <x v="12"/>
    <s v="Winter"/>
    <s v="January"/>
    <x v="5"/>
    <x v="0"/>
    <x v="5"/>
    <x v="0"/>
    <n v="0.14000000000000001"/>
    <n v="0.1212"/>
    <n v="0.5"/>
    <n v="0.29849999999999999"/>
    <x v="3"/>
    <x v="35"/>
    <n v="3"/>
  </r>
  <r>
    <n v="284"/>
    <x v="12"/>
    <s v="Winter"/>
    <s v="January"/>
    <x v="6"/>
    <x v="0"/>
    <x v="5"/>
    <x v="0"/>
    <n v="0.12"/>
    <n v="0.1515"/>
    <n v="0.54"/>
    <n v="0.1343"/>
    <x v="3"/>
    <x v="95"/>
    <n v="28"/>
  </r>
  <r>
    <n v="285"/>
    <x v="12"/>
    <s v="Winter"/>
    <s v="January"/>
    <x v="7"/>
    <x v="0"/>
    <x v="5"/>
    <x v="0"/>
    <n v="0.12"/>
    <n v="0.1515"/>
    <n v="0.54"/>
    <n v="0.1343"/>
    <x v="3"/>
    <x v="109"/>
    <n v="72"/>
  </r>
  <r>
    <n v="286"/>
    <x v="12"/>
    <s v="Winter"/>
    <s v="January"/>
    <x v="8"/>
    <x v="0"/>
    <x v="5"/>
    <x v="0"/>
    <n v="0.14000000000000001"/>
    <n v="0.13639999999999999"/>
    <n v="0.5"/>
    <n v="0.19400000000000001"/>
    <x v="2"/>
    <x v="114"/>
    <n v="202"/>
  </r>
  <r>
    <n v="287"/>
    <x v="12"/>
    <s v="Winter"/>
    <s v="January"/>
    <x v="9"/>
    <x v="0"/>
    <x v="5"/>
    <x v="0"/>
    <n v="0.14000000000000001"/>
    <n v="0.1212"/>
    <n v="0.5"/>
    <n v="0.32840000000000003"/>
    <x v="4"/>
    <x v="115"/>
    <n v="139"/>
  </r>
  <r>
    <n v="288"/>
    <x v="12"/>
    <s v="Winter"/>
    <s v="January"/>
    <x v="10"/>
    <x v="0"/>
    <x v="5"/>
    <x v="1"/>
    <n v="0.16"/>
    <n v="0.13639999999999999"/>
    <n v="0.5"/>
    <n v="0.35820000000000002"/>
    <x v="4"/>
    <x v="49"/>
    <n v="38"/>
  </r>
  <r>
    <n v="289"/>
    <x v="12"/>
    <s v="Winter"/>
    <s v="January"/>
    <x v="11"/>
    <x v="0"/>
    <x v="5"/>
    <x v="1"/>
    <n v="0.2"/>
    <n v="0.16669999999999999"/>
    <n v="0.44"/>
    <n v="0.44779999999999998"/>
    <x v="17"/>
    <x v="39"/>
    <n v="37"/>
  </r>
  <r>
    <n v="290"/>
    <x v="12"/>
    <s v="Winter"/>
    <s v="January"/>
    <x v="12"/>
    <x v="0"/>
    <x v="5"/>
    <x v="0"/>
    <n v="0.2"/>
    <n v="0.16669999999999999"/>
    <n v="0.44"/>
    <n v="0.41789999999999999"/>
    <x v="0"/>
    <x v="47"/>
    <n v="52"/>
  </r>
  <r>
    <n v="291"/>
    <x v="12"/>
    <s v="Winter"/>
    <s v="January"/>
    <x v="13"/>
    <x v="0"/>
    <x v="5"/>
    <x v="0"/>
    <n v="0.22"/>
    <n v="0.19700000000000001"/>
    <n v="0.41"/>
    <n v="0.44779999999999998"/>
    <x v="4"/>
    <x v="38"/>
    <n v="83"/>
  </r>
  <r>
    <n v="292"/>
    <x v="12"/>
    <s v="Winter"/>
    <s v="January"/>
    <x v="14"/>
    <x v="0"/>
    <x v="5"/>
    <x v="0"/>
    <n v="0.22"/>
    <n v="0.19700000000000001"/>
    <n v="0.41"/>
    <n v="0.3881"/>
    <x v="0"/>
    <x v="87"/>
    <n v="42"/>
  </r>
  <r>
    <n v="293"/>
    <x v="12"/>
    <s v="Winter"/>
    <s v="January"/>
    <x v="15"/>
    <x v="0"/>
    <x v="5"/>
    <x v="0"/>
    <n v="0.24"/>
    <n v="0.21210000000000001"/>
    <n v="0.38"/>
    <n v="0.29849999999999999"/>
    <x v="2"/>
    <x v="11"/>
    <n v="60"/>
  </r>
  <r>
    <n v="294"/>
    <x v="12"/>
    <s v="Winter"/>
    <s v="January"/>
    <x v="16"/>
    <x v="0"/>
    <x v="5"/>
    <x v="0"/>
    <n v="0.24"/>
    <n v="0.21210000000000001"/>
    <n v="0.38"/>
    <n v="0.35820000000000002"/>
    <x v="4"/>
    <x v="83"/>
    <n v="78"/>
  </r>
  <r>
    <n v="295"/>
    <x v="12"/>
    <s v="Winter"/>
    <s v="January"/>
    <x v="17"/>
    <x v="0"/>
    <x v="5"/>
    <x v="0"/>
    <n v="0.2"/>
    <n v="0.18179999999999999"/>
    <n v="0.4"/>
    <n v="0.28360000000000002"/>
    <x v="17"/>
    <x v="81"/>
    <n v="162"/>
  </r>
  <r>
    <n v="296"/>
    <x v="12"/>
    <s v="Winter"/>
    <s v="January"/>
    <x v="18"/>
    <x v="0"/>
    <x v="5"/>
    <x v="0"/>
    <n v="0.2"/>
    <n v="0.18179999999999999"/>
    <n v="0.4"/>
    <n v="0.32840000000000003"/>
    <x v="0"/>
    <x v="116"/>
    <n v="144"/>
  </r>
  <r>
    <n v="297"/>
    <x v="12"/>
    <s v="Winter"/>
    <s v="January"/>
    <x v="19"/>
    <x v="0"/>
    <x v="5"/>
    <x v="0"/>
    <n v="0.16"/>
    <n v="0.1515"/>
    <n v="0.47"/>
    <n v="0.25369999999999998"/>
    <x v="5"/>
    <x v="52"/>
    <n v="99"/>
  </r>
  <r>
    <n v="298"/>
    <x v="12"/>
    <s v="Winter"/>
    <s v="January"/>
    <x v="20"/>
    <x v="0"/>
    <x v="5"/>
    <x v="0"/>
    <n v="0.16"/>
    <n v="0.1515"/>
    <n v="0.47"/>
    <n v="0.22389999999999999"/>
    <x v="3"/>
    <x v="27"/>
    <n v="64"/>
  </r>
  <r>
    <n v="299"/>
    <x v="12"/>
    <s v="Winter"/>
    <s v="January"/>
    <x v="21"/>
    <x v="0"/>
    <x v="5"/>
    <x v="0"/>
    <n v="0.14000000000000001"/>
    <n v="0.1212"/>
    <n v="0.46"/>
    <n v="0.29849999999999999"/>
    <x v="3"/>
    <x v="71"/>
    <n v="40"/>
  </r>
  <r>
    <n v="300"/>
    <x v="12"/>
    <s v="Winter"/>
    <s v="January"/>
    <x v="22"/>
    <x v="0"/>
    <x v="5"/>
    <x v="0"/>
    <n v="0.14000000000000001"/>
    <n v="0.1212"/>
    <n v="0.46"/>
    <n v="0.32840000000000003"/>
    <x v="3"/>
    <x v="10"/>
    <n v="30"/>
  </r>
  <r>
    <n v="301"/>
    <x v="12"/>
    <s v="Winter"/>
    <s v="January"/>
    <x v="23"/>
    <x v="0"/>
    <x v="5"/>
    <x v="0"/>
    <n v="0.12"/>
    <n v="0.13639999999999999"/>
    <n v="0.5"/>
    <n v="0.19400000000000001"/>
    <x v="5"/>
    <x v="88"/>
    <n v="15"/>
  </r>
  <r>
    <n v="302"/>
    <x v="13"/>
    <s v="Winter"/>
    <s v="January"/>
    <x v="0"/>
    <x v="0"/>
    <x v="6"/>
    <x v="0"/>
    <n v="0.12"/>
    <n v="0.13639999999999999"/>
    <n v="0.5"/>
    <n v="0.19400000000000001"/>
    <x v="3"/>
    <x v="88"/>
    <n v="14"/>
  </r>
  <r>
    <n v="303"/>
    <x v="13"/>
    <s v="Winter"/>
    <s v="January"/>
    <x v="1"/>
    <x v="0"/>
    <x v="6"/>
    <x v="0"/>
    <n v="0.1"/>
    <n v="0.1212"/>
    <n v="0.54"/>
    <n v="0.16420000000000001"/>
    <x v="3"/>
    <x v="34"/>
    <n v="5"/>
  </r>
  <r>
    <n v="304"/>
    <x v="13"/>
    <s v="Winter"/>
    <s v="January"/>
    <x v="2"/>
    <x v="0"/>
    <x v="6"/>
    <x v="0"/>
    <n v="0.1"/>
    <n v="0.1212"/>
    <n v="0.54"/>
    <n v="0.1343"/>
    <x v="3"/>
    <x v="4"/>
    <n v="1"/>
  </r>
  <r>
    <n v="305"/>
    <x v="13"/>
    <s v="Winter"/>
    <s v="January"/>
    <x v="3"/>
    <x v="0"/>
    <x v="6"/>
    <x v="0"/>
    <n v="0.1"/>
    <n v="0.13639999999999999"/>
    <n v="0.54"/>
    <n v="0.1045"/>
    <x v="3"/>
    <x v="4"/>
    <n v="1"/>
  </r>
  <r>
    <n v="306"/>
    <x v="13"/>
    <s v="Winter"/>
    <s v="January"/>
    <x v="5"/>
    <x v="0"/>
    <x v="6"/>
    <x v="0"/>
    <n v="0.1"/>
    <n v="0.13639999999999999"/>
    <n v="0.54"/>
    <n v="8.9599999999999999E-2"/>
    <x v="3"/>
    <x v="21"/>
    <n v="8"/>
  </r>
  <r>
    <n v="307"/>
    <x v="13"/>
    <s v="Winter"/>
    <s v="January"/>
    <x v="6"/>
    <x v="0"/>
    <x v="6"/>
    <x v="0"/>
    <n v="0.1"/>
    <n v="0.18179999999999999"/>
    <n v="0.54"/>
    <n v="0"/>
    <x v="3"/>
    <x v="19"/>
    <n v="17"/>
  </r>
  <r>
    <n v="308"/>
    <x v="13"/>
    <s v="Winter"/>
    <s v="January"/>
    <x v="7"/>
    <x v="0"/>
    <x v="6"/>
    <x v="0"/>
    <n v="0.1"/>
    <n v="0.1212"/>
    <n v="0.74"/>
    <n v="0.16420000000000001"/>
    <x v="3"/>
    <x v="14"/>
    <n v="70"/>
  </r>
  <r>
    <n v="309"/>
    <x v="13"/>
    <s v="Winter"/>
    <s v="January"/>
    <x v="8"/>
    <x v="0"/>
    <x v="6"/>
    <x v="0"/>
    <n v="0.12"/>
    <n v="0.16669999999999999"/>
    <n v="0.68"/>
    <n v="0"/>
    <x v="4"/>
    <x v="117"/>
    <n v="158"/>
  </r>
  <r>
    <n v="310"/>
    <x v="13"/>
    <s v="Winter"/>
    <s v="January"/>
    <x v="9"/>
    <x v="0"/>
    <x v="6"/>
    <x v="0"/>
    <n v="0.14000000000000001"/>
    <n v="0.1515"/>
    <n v="0.69"/>
    <n v="0.1343"/>
    <x v="3"/>
    <x v="118"/>
    <n v="117"/>
  </r>
  <r>
    <n v="311"/>
    <x v="13"/>
    <s v="Winter"/>
    <s v="January"/>
    <x v="10"/>
    <x v="0"/>
    <x v="6"/>
    <x v="0"/>
    <n v="0.18"/>
    <n v="0.18179999999999999"/>
    <n v="0.55000000000000004"/>
    <n v="0.19400000000000001"/>
    <x v="17"/>
    <x v="71"/>
    <n v="44"/>
  </r>
  <r>
    <n v="312"/>
    <x v="13"/>
    <s v="Winter"/>
    <s v="January"/>
    <x v="11"/>
    <x v="0"/>
    <x v="6"/>
    <x v="0"/>
    <n v="0.18"/>
    <n v="0.16669999999999999"/>
    <n v="0.51"/>
    <n v="0.28360000000000002"/>
    <x v="15"/>
    <x v="12"/>
    <n v="53"/>
  </r>
  <r>
    <n v="313"/>
    <x v="13"/>
    <s v="Winter"/>
    <s v="January"/>
    <x v="12"/>
    <x v="0"/>
    <x v="6"/>
    <x v="0"/>
    <n v="0.2"/>
    <n v="0.19700000000000001"/>
    <n v="0.44"/>
    <n v="0.25369999999999998"/>
    <x v="4"/>
    <x v="79"/>
    <n v="61"/>
  </r>
  <r>
    <n v="314"/>
    <x v="13"/>
    <s v="Winter"/>
    <s v="January"/>
    <x v="13"/>
    <x v="0"/>
    <x v="6"/>
    <x v="0"/>
    <n v="0.22"/>
    <n v="0.19700000000000001"/>
    <n v="0.37"/>
    <n v="0.3881"/>
    <x v="17"/>
    <x v="26"/>
    <n v="77"/>
  </r>
  <r>
    <n v="315"/>
    <x v="13"/>
    <s v="Winter"/>
    <s v="January"/>
    <x v="14"/>
    <x v="0"/>
    <x v="6"/>
    <x v="0"/>
    <n v="0.22"/>
    <n v="0.21210000000000001"/>
    <n v="0.41"/>
    <n v="0.28360000000000002"/>
    <x v="2"/>
    <x v="79"/>
    <n v="64"/>
  </r>
  <r>
    <n v="316"/>
    <x v="13"/>
    <s v="Winter"/>
    <s v="January"/>
    <x v="15"/>
    <x v="0"/>
    <x v="6"/>
    <x v="0"/>
    <n v="0.24"/>
    <n v="0.2424"/>
    <n v="0.38"/>
    <n v="0.16420000000000001"/>
    <x v="14"/>
    <x v="79"/>
    <n v="68"/>
  </r>
  <r>
    <n v="317"/>
    <x v="13"/>
    <s v="Winter"/>
    <s v="January"/>
    <x v="16"/>
    <x v="0"/>
    <x v="6"/>
    <x v="0"/>
    <n v="0.22"/>
    <n v="0.2424"/>
    <n v="0.41"/>
    <n v="0.1045"/>
    <x v="0"/>
    <x v="61"/>
    <n v="90"/>
  </r>
  <r>
    <n v="318"/>
    <x v="13"/>
    <s v="Winter"/>
    <s v="January"/>
    <x v="17"/>
    <x v="0"/>
    <x v="6"/>
    <x v="0"/>
    <n v="0.22"/>
    <n v="0.2273"/>
    <n v="0.41"/>
    <n v="0.16420000000000001"/>
    <x v="17"/>
    <x v="119"/>
    <n v="159"/>
  </r>
  <r>
    <n v="319"/>
    <x v="13"/>
    <s v="Winter"/>
    <s v="January"/>
    <x v="18"/>
    <x v="0"/>
    <x v="6"/>
    <x v="0"/>
    <n v="0.2"/>
    <n v="0.2576"/>
    <n v="0.47"/>
    <n v="0"/>
    <x v="2"/>
    <x v="120"/>
    <n v="139"/>
  </r>
  <r>
    <n v="320"/>
    <x v="13"/>
    <s v="Winter"/>
    <s v="January"/>
    <x v="19"/>
    <x v="0"/>
    <x v="6"/>
    <x v="0"/>
    <n v="0.16"/>
    <n v="0.19700000000000001"/>
    <n v="0.59"/>
    <n v="8.9599999999999999E-2"/>
    <x v="0"/>
    <x v="121"/>
    <n v="92"/>
  </r>
  <r>
    <n v="321"/>
    <x v="13"/>
    <s v="Winter"/>
    <s v="January"/>
    <x v="20"/>
    <x v="0"/>
    <x v="6"/>
    <x v="0"/>
    <n v="0.18"/>
    <n v="0.2424"/>
    <n v="0.59"/>
    <n v="0"/>
    <x v="3"/>
    <x v="56"/>
    <n v="68"/>
  </r>
  <r>
    <n v="322"/>
    <x v="13"/>
    <s v="Winter"/>
    <s v="January"/>
    <x v="21"/>
    <x v="0"/>
    <x v="6"/>
    <x v="0"/>
    <n v="0.16"/>
    <n v="0.2273"/>
    <n v="0.69"/>
    <n v="0"/>
    <x v="17"/>
    <x v="41"/>
    <n v="52"/>
  </r>
  <r>
    <n v="323"/>
    <x v="13"/>
    <s v="Winter"/>
    <s v="January"/>
    <x v="22"/>
    <x v="0"/>
    <x v="6"/>
    <x v="1"/>
    <n v="0.16"/>
    <n v="0.2273"/>
    <n v="0.69"/>
    <n v="0"/>
    <x v="4"/>
    <x v="60"/>
    <n v="36"/>
  </r>
  <r>
    <n v="324"/>
    <x v="13"/>
    <s v="Winter"/>
    <s v="January"/>
    <x v="23"/>
    <x v="0"/>
    <x v="6"/>
    <x v="1"/>
    <n v="0.18"/>
    <n v="0.2424"/>
    <n v="0.55000000000000004"/>
    <n v="0"/>
    <x v="5"/>
    <x v="16"/>
    <n v="27"/>
  </r>
  <r>
    <n v="325"/>
    <x v="14"/>
    <s v="Winter"/>
    <s v="January"/>
    <x v="0"/>
    <x v="0"/>
    <x v="0"/>
    <x v="0"/>
    <n v="0.18"/>
    <n v="0.2424"/>
    <n v="0.55000000000000004"/>
    <n v="0"/>
    <x v="0"/>
    <x v="18"/>
    <n v="28"/>
  </r>
  <r>
    <n v="326"/>
    <x v="14"/>
    <s v="Winter"/>
    <s v="January"/>
    <x v="1"/>
    <x v="0"/>
    <x v="0"/>
    <x v="1"/>
    <n v="0.16"/>
    <n v="0.19700000000000001"/>
    <n v="0.59"/>
    <n v="8.9599999999999999E-2"/>
    <x v="4"/>
    <x v="72"/>
    <n v="20"/>
  </r>
  <r>
    <n v="327"/>
    <x v="14"/>
    <s v="Winter"/>
    <s v="January"/>
    <x v="2"/>
    <x v="0"/>
    <x v="0"/>
    <x v="1"/>
    <n v="0.16"/>
    <n v="0.19700000000000001"/>
    <n v="0.59"/>
    <n v="8.9599999999999999E-2"/>
    <x v="3"/>
    <x v="98"/>
    <n v="12"/>
  </r>
  <r>
    <n v="328"/>
    <x v="14"/>
    <s v="Winter"/>
    <s v="January"/>
    <x v="3"/>
    <x v="0"/>
    <x v="0"/>
    <x v="1"/>
    <n v="0.16"/>
    <n v="0.2273"/>
    <n v="0.59"/>
    <n v="0"/>
    <x v="5"/>
    <x v="7"/>
    <n v="8"/>
  </r>
  <r>
    <n v="329"/>
    <x v="14"/>
    <s v="Winter"/>
    <s v="January"/>
    <x v="4"/>
    <x v="0"/>
    <x v="0"/>
    <x v="1"/>
    <n v="0.16"/>
    <n v="0.2273"/>
    <n v="0.59"/>
    <n v="0"/>
    <x v="3"/>
    <x v="34"/>
    <n v="5"/>
  </r>
  <r>
    <n v="330"/>
    <x v="14"/>
    <s v="Winter"/>
    <s v="January"/>
    <x v="5"/>
    <x v="0"/>
    <x v="0"/>
    <x v="0"/>
    <n v="0.16"/>
    <n v="0.2273"/>
    <n v="0.59"/>
    <n v="0"/>
    <x v="3"/>
    <x v="4"/>
    <n v="1"/>
  </r>
  <r>
    <n v="331"/>
    <x v="14"/>
    <s v="Winter"/>
    <s v="January"/>
    <x v="6"/>
    <x v="0"/>
    <x v="0"/>
    <x v="0"/>
    <n v="0.14000000000000001"/>
    <n v="0.16669999999999999"/>
    <n v="0.63"/>
    <n v="0.1045"/>
    <x v="5"/>
    <x v="6"/>
    <n v="3"/>
  </r>
  <r>
    <n v="332"/>
    <x v="14"/>
    <s v="Winter"/>
    <s v="January"/>
    <x v="7"/>
    <x v="0"/>
    <x v="0"/>
    <x v="0"/>
    <n v="0.14000000000000001"/>
    <n v="0.21210000000000001"/>
    <n v="0.63"/>
    <n v="0"/>
    <x v="5"/>
    <x v="33"/>
    <n v="10"/>
  </r>
  <r>
    <n v="333"/>
    <x v="14"/>
    <s v="Winter"/>
    <s v="January"/>
    <x v="8"/>
    <x v="0"/>
    <x v="0"/>
    <x v="0"/>
    <n v="0.14000000000000001"/>
    <n v="0.1515"/>
    <n v="0.63"/>
    <n v="0.1343"/>
    <x v="5"/>
    <x v="97"/>
    <n v="23"/>
  </r>
  <r>
    <n v="334"/>
    <x v="14"/>
    <s v="Winter"/>
    <s v="January"/>
    <x v="9"/>
    <x v="0"/>
    <x v="0"/>
    <x v="0"/>
    <n v="0.16"/>
    <n v="0.18179999999999999"/>
    <n v="0.64"/>
    <n v="0.1343"/>
    <x v="4"/>
    <x v="17"/>
    <n v="33"/>
  </r>
  <r>
    <n v="335"/>
    <x v="14"/>
    <s v="Winter"/>
    <s v="January"/>
    <x v="10"/>
    <x v="0"/>
    <x v="0"/>
    <x v="0"/>
    <n v="0.18"/>
    <n v="0.19700000000000001"/>
    <n v="0.59"/>
    <n v="0.16420000000000001"/>
    <x v="4"/>
    <x v="77"/>
    <n v="59"/>
  </r>
  <r>
    <n v="336"/>
    <x v="14"/>
    <s v="Winter"/>
    <s v="January"/>
    <x v="11"/>
    <x v="0"/>
    <x v="0"/>
    <x v="0"/>
    <n v="0.2"/>
    <n v="0.19700000000000001"/>
    <n v="0.55000000000000004"/>
    <n v="0.22389999999999999"/>
    <x v="25"/>
    <x v="25"/>
    <n v="72"/>
  </r>
  <r>
    <n v="337"/>
    <x v="14"/>
    <s v="Winter"/>
    <s v="January"/>
    <x v="12"/>
    <x v="0"/>
    <x v="0"/>
    <x v="0"/>
    <n v="0.24"/>
    <n v="0.2273"/>
    <n v="0.48"/>
    <n v="0.22389999999999999"/>
    <x v="13"/>
    <x v="64"/>
    <n v="89"/>
  </r>
  <r>
    <n v="338"/>
    <x v="14"/>
    <s v="Winter"/>
    <s v="January"/>
    <x v="13"/>
    <x v="0"/>
    <x v="0"/>
    <x v="0"/>
    <n v="0.28000000000000003"/>
    <n v="0.2576"/>
    <n v="0.38"/>
    <n v="0.29849999999999999"/>
    <x v="27"/>
    <x v="122"/>
    <n v="101"/>
  </r>
  <r>
    <n v="339"/>
    <x v="14"/>
    <s v="Winter"/>
    <s v="January"/>
    <x v="14"/>
    <x v="0"/>
    <x v="0"/>
    <x v="0"/>
    <n v="0.3"/>
    <n v="0.28789999999999999"/>
    <n v="0.39"/>
    <n v="0.28360000000000002"/>
    <x v="7"/>
    <x v="50"/>
    <n v="118"/>
  </r>
  <r>
    <n v="340"/>
    <x v="14"/>
    <s v="Winter"/>
    <s v="January"/>
    <x v="15"/>
    <x v="0"/>
    <x v="0"/>
    <x v="1"/>
    <n v="0.32"/>
    <n v="0.31819999999999998"/>
    <n v="0.36"/>
    <n v="0.19400000000000001"/>
    <x v="27"/>
    <x v="123"/>
    <n v="129"/>
  </r>
  <r>
    <n v="341"/>
    <x v="14"/>
    <s v="Winter"/>
    <s v="January"/>
    <x v="16"/>
    <x v="0"/>
    <x v="0"/>
    <x v="1"/>
    <n v="0.34"/>
    <n v="0.33329999999999999"/>
    <n v="0.34"/>
    <n v="0.19400000000000001"/>
    <x v="28"/>
    <x v="73"/>
    <n v="128"/>
  </r>
  <r>
    <n v="342"/>
    <x v="14"/>
    <s v="Winter"/>
    <s v="January"/>
    <x v="17"/>
    <x v="0"/>
    <x v="0"/>
    <x v="1"/>
    <n v="0.32"/>
    <n v="0.30299999999999999"/>
    <n v="0.36"/>
    <n v="0.28360000000000002"/>
    <x v="8"/>
    <x v="25"/>
    <n v="83"/>
  </r>
  <r>
    <n v="343"/>
    <x v="14"/>
    <s v="Winter"/>
    <s v="January"/>
    <x v="18"/>
    <x v="0"/>
    <x v="0"/>
    <x v="1"/>
    <n v="0.3"/>
    <n v="0.28789999999999999"/>
    <n v="0.45"/>
    <n v="0.25369999999999998"/>
    <x v="13"/>
    <x v="94"/>
    <n v="84"/>
  </r>
  <r>
    <n v="344"/>
    <x v="14"/>
    <s v="Winter"/>
    <s v="January"/>
    <x v="19"/>
    <x v="0"/>
    <x v="0"/>
    <x v="1"/>
    <n v="0.32"/>
    <n v="0.30299999999999999"/>
    <n v="0.39"/>
    <n v="0.25369999999999998"/>
    <x v="24"/>
    <x v="91"/>
    <n v="74"/>
  </r>
  <r>
    <n v="345"/>
    <x v="14"/>
    <s v="Winter"/>
    <s v="January"/>
    <x v="20"/>
    <x v="0"/>
    <x v="0"/>
    <x v="1"/>
    <n v="0.32"/>
    <n v="0.30299999999999999"/>
    <n v="0.39"/>
    <n v="0.25369999999999998"/>
    <x v="15"/>
    <x v="96"/>
    <n v="41"/>
  </r>
  <r>
    <n v="346"/>
    <x v="14"/>
    <s v="Winter"/>
    <s v="January"/>
    <x v="21"/>
    <x v="0"/>
    <x v="0"/>
    <x v="1"/>
    <n v="0.32"/>
    <n v="0.30299999999999999"/>
    <n v="0.39"/>
    <n v="0.22389999999999999"/>
    <x v="15"/>
    <x v="82"/>
    <n v="57"/>
  </r>
  <r>
    <n v="347"/>
    <x v="14"/>
    <s v="Winter"/>
    <s v="January"/>
    <x v="22"/>
    <x v="0"/>
    <x v="0"/>
    <x v="1"/>
    <n v="0.3"/>
    <n v="0.31819999999999998"/>
    <n v="0.42"/>
    <n v="0.1045"/>
    <x v="3"/>
    <x v="16"/>
    <n v="26"/>
  </r>
  <r>
    <n v="348"/>
    <x v="14"/>
    <s v="Winter"/>
    <s v="January"/>
    <x v="23"/>
    <x v="0"/>
    <x v="0"/>
    <x v="0"/>
    <n v="0.3"/>
    <n v="0.28789999999999999"/>
    <n v="0.45"/>
    <n v="0.28360000000000002"/>
    <x v="2"/>
    <x v="87"/>
    <n v="44"/>
  </r>
  <r>
    <n v="349"/>
    <x v="15"/>
    <s v="Winter"/>
    <s v="January"/>
    <x v="0"/>
    <x v="0"/>
    <x v="1"/>
    <x v="0"/>
    <n v="0.26"/>
    <n v="0.30299999999999999"/>
    <n v="0.56000000000000005"/>
    <n v="0"/>
    <x v="15"/>
    <x v="39"/>
    <n v="39"/>
  </r>
  <r>
    <n v="350"/>
    <x v="15"/>
    <s v="Winter"/>
    <s v="January"/>
    <x v="1"/>
    <x v="0"/>
    <x v="1"/>
    <x v="0"/>
    <n v="0.26"/>
    <n v="0.2727"/>
    <n v="0.56000000000000005"/>
    <n v="0.1343"/>
    <x v="17"/>
    <x v="23"/>
    <n v="23"/>
  </r>
  <r>
    <n v="351"/>
    <x v="15"/>
    <s v="Winter"/>
    <s v="January"/>
    <x v="2"/>
    <x v="0"/>
    <x v="1"/>
    <x v="0"/>
    <n v="0.26"/>
    <n v="0.28789999999999999"/>
    <n v="0.56000000000000005"/>
    <n v="8.9599999999999999E-2"/>
    <x v="0"/>
    <x v="0"/>
    <n v="16"/>
  </r>
  <r>
    <n v="352"/>
    <x v="15"/>
    <s v="Winter"/>
    <s v="January"/>
    <x v="3"/>
    <x v="0"/>
    <x v="1"/>
    <x v="0"/>
    <n v="0.22"/>
    <n v="0.2727"/>
    <n v="0.69"/>
    <n v="0"/>
    <x v="14"/>
    <x v="8"/>
    <n v="15"/>
  </r>
  <r>
    <n v="353"/>
    <x v="15"/>
    <s v="Winter"/>
    <s v="January"/>
    <x v="4"/>
    <x v="0"/>
    <x v="1"/>
    <x v="0"/>
    <n v="0.26"/>
    <n v="0.2576"/>
    <n v="0.56000000000000005"/>
    <n v="0.16420000000000001"/>
    <x v="3"/>
    <x v="4"/>
    <n v="1"/>
  </r>
  <r>
    <n v="354"/>
    <x v="15"/>
    <s v="Winter"/>
    <s v="January"/>
    <x v="5"/>
    <x v="0"/>
    <x v="1"/>
    <x v="1"/>
    <n v="0.26"/>
    <n v="0.2576"/>
    <n v="0.56000000000000005"/>
    <n v="0.16420000000000001"/>
    <x v="5"/>
    <x v="4"/>
    <n v="2"/>
  </r>
  <r>
    <n v="355"/>
    <x v="15"/>
    <s v="Winter"/>
    <s v="January"/>
    <x v="6"/>
    <x v="0"/>
    <x v="1"/>
    <x v="1"/>
    <n v="0.26"/>
    <n v="0.2576"/>
    <n v="0.56000000000000005"/>
    <n v="0.16420000000000001"/>
    <x v="3"/>
    <x v="4"/>
    <n v="1"/>
  </r>
  <r>
    <n v="356"/>
    <x v="15"/>
    <s v="Winter"/>
    <s v="January"/>
    <x v="7"/>
    <x v="0"/>
    <x v="1"/>
    <x v="1"/>
    <n v="0.24"/>
    <n v="0.21210000000000001"/>
    <n v="0.56000000000000005"/>
    <n v="0.29849999999999999"/>
    <x v="3"/>
    <x v="35"/>
    <n v="3"/>
  </r>
  <r>
    <n v="357"/>
    <x v="15"/>
    <s v="Winter"/>
    <s v="January"/>
    <x v="8"/>
    <x v="0"/>
    <x v="1"/>
    <x v="0"/>
    <n v="0.22"/>
    <n v="0.21210000000000001"/>
    <n v="0.55000000000000004"/>
    <n v="0.28360000000000002"/>
    <x v="3"/>
    <x v="72"/>
    <n v="18"/>
  </r>
  <r>
    <n v="358"/>
    <x v="15"/>
    <s v="Winter"/>
    <s v="January"/>
    <x v="9"/>
    <x v="0"/>
    <x v="1"/>
    <x v="0"/>
    <n v="0.22"/>
    <n v="0.21210000000000001"/>
    <n v="0.51"/>
    <n v="0.25369999999999998"/>
    <x v="0"/>
    <x v="31"/>
    <n v="32"/>
  </r>
  <r>
    <n v="359"/>
    <x v="15"/>
    <s v="Winter"/>
    <s v="January"/>
    <x v="10"/>
    <x v="0"/>
    <x v="1"/>
    <x v="0"/>
    <n v="0.22"/>
    <n v="0.21210000000000001"/>
    <n v="0.51"/>
    <n v="0.28360000000000002"/>
    <x v="1"/>
    <x v="13"/>
    <n v="79"/>
  </r>
  <r>
    <n v="360"/>
    <x v="15"/>
    <s v="Winter"/>
    <s v="January"/>
    <x v="11"/>
    <x v="0"/>
    <x v="1"/>
    <x v="0"/>
    <n v="0.24"/>
    <n v="0.2273"/>
    <n v="0.44"/>
    <n v="0.25369999999999998"/>
    <x v="29"/>
    <x v="14"/>
    <n v="93"/>
  </r>
  <r>
    <n v="361"/>
    <x v="15"/>
    <s v="Winter"/>
    <s v="January"/>
    <x v="12"/>
    <x v="0"/>
    <x v="1"/>
    <x v="0"/>
    <n v="0.24"/>
    <n v="0.21210000000000001"/>
    <n v="0.41"/>
    <n v="0.28360000000000002"/>
    <x v="8"/>
    <x v="102"/>
    <n v="104"/>
  </r>
  <r>
    <n v="362"/>
    <x v="15"/>
    <s v="Winter"/>
    <s v="January"/>
    <x v="13"/>
    <x v="0"/>
    <x v="1"/>
    <x v="0"/>
    <n v="0.26"/>
    <n v="0.2273"/>
    <n v="0.35"/>
    <n v="0.29849999999999999"/>
    <x v="29"/>
    <x v="73"/>
    <n v="118"/>
  </r>
  <r>
    <n v="363"/>
    <x v="15"/>
    <s v="Winter"/>
    <s v="January"/>
    <x v="14"/>
    <x v="0"/>
    <x v="1"/>
    <x v="0"/>
    <n v="0.28000000000000003"/>
    <n v="0.2727"/>
    <n v="0.36"/>
    <n v="0.25369999999999998"/>
    <x v="30"/>
    <x v="94"/>
    <n v="91"/>
  </r>
  <r>
    <n v="364"/>
    <x v="15"/>
    <s v="Winter"/>
    <s v="January"/>
    <x v="15"/>
    <x v="0"/>
    <x v="1"/>
    <x v="0"/>
    <n v="0.26"/>
    <n v="0.2424"/>
    <n v="0.38"/>
    <n v="0.25369999999999998"/>
    <x v="10"/>
    <x v="78"/>
    <n v="113"/>
  </r>
  <r>
    <n v="365"/>
    <x v="15"/>
    <s v="Winter"/>
    <s v="January"/>
    <x v="16"/>
    <x v="0"/>
    <x v="1"/>
    <x v="0"/>
    <n v="0.24"/>
    <n v="0.2273"/>
    <n v="0.38"/>
    <n v="0.22389999999999999"/>
    <x v="30"/>
    <x v="99"/>
    <n v="99"/>
  </r>
  <r>
    <n v="366"/>
    <x v="15"/>
    <s v="Winter"/>
    <s v="January"/>
    <x v="17"/>
    <x v="0"/>
    <x v="1"/>
    <x v="0"/>
    <n v="0.22"/>
    <n v="0.21210000000000001"/>
    <n v="0.37"/>
    <n v="0.25369999999999998"/>
    <x v="29"/>
    <x v="70"/>
    <n v="105"/>
  </r>
  <r>
    <n v="367"/>
    <x v="15"/>
    <s v="Winter"/>
    <s v="January"/>
    <x v="18"/>
    <x v="0"/>
    <x v="1"/>
    <x v="0"/>
    <n v="0.2"/>
    <n v="0.21210000000000001"/>
    <n v="0.4"/>
    <n v="0.16420000000000001"/>
    <x v="16"/>
    <x v="90"/>
    <n v="67"/>
  </r>
  <r>
    <n v="368"/>
    <x v="15"/>
    <s v="Winter"/>
    <s v="January"/>
    <x v="19"/>
    <x v="0"/>
    <x v="1"/>
    <x v="0"/>
    <n v="0.18"/>
    <n v="0.19700000000000001"/>
    <n v="0.47"/>
    <n v="0.1343"/>
    <x v="24"/>
    <x v="12"/>
    <n v="61"/>
  </r>
  <r>
    <n v="369"/>
    <x v="15"/>
    <s v="Winter"/>
    <s v="January"/>
    <x v="20"/>
    <x v="0"/>
    <x v="1"/>
    <x v="0"/>
    <n v="0.18"/>
    <n v="0.19700000000000001"/>
    <n v="0.47"/>
    <n v="0.16420000000000001"/>
    <x v="18"/>
    <x v="54"/>
    <n v="57"/>
  </r>
  <r>
    <n v="370"/>
    <x v="15"/>
    <s v="Winter"/>
    <s v="January"/>
    <x v="21"/>
    <x v="0"/>
    <x v="1"/>
    <x v="0"/>
    <n v="0.18"/>
    <n v="0.19700000000000001"/>
    <n v="0.51"/>
    <n v="0.16420000000000001"/>
    <x v="15"/>
    <x v="97"/>
    <n v="28"/>
  </r>
  <r>
    <n v="371"/>
    <x v="15"/>
    <s v="Winter"/>
    <s v="January"/>
    <x v="22"/>
    <x v="0"/>
    <x v="1"/>
    <x v="1"/>
    <n v="0.2"/>
    <n v="0.21210000000000001"/>
    <n v="0.49"/>
    <n v="0.1343"/>
    <x v="4"/>
    <x v="23"/>
    <n v="21"/>
  </r>
  <r>
    <n v="372"/>
    <x v="15"/>
    <s v="Winter"/>
    <s v="January"/>
    <x v="23"/>
    <x v="0"/>
    <x v="1"/>
    <x v="1"/>
    <n v="0.2"/>
    <n v="0.2273"/>
    <n v="0.4"/>
    <n v="0.1045"/>
    <x v="3"/>
    <x v="72"/>
    <n v="18"/>
  </r>
  <r>
    <n v="373"/>
    <x v="16"/>
    <s v="Winter"/>
    <s v="January"/>
    <x v="0"/>
    <x v="1"/>
    <x v="2"/>
    <x v="1"/>
    <n v="0.2"/>
    <n v="0.19700000000000001"/>
    <n v="0.47"/>
    <n v="0.22389999999999999"/>
    <x v="5"/>
    <x v="20"/>
    <n v="17"/>
  </r>
  <r>
    <n v="374"/>
    <x v="16"/>
    <s v="Winter"/>
    <s v="January"/>
    <x v="1"/>
    <x v="1"/>
    <x v="2"/>
    <x v="1"/>
    <n v="0.2"/>
    <n v="0.19700000000000001"/>
    <n v="0.44"/>
    <n v="0.19400000000000001"/>
    <x v="5"/>
    <x v="89"/>
    <n v="16"/>
  </r>
  <r>
    <n v="375"/>
    <x v="16"/>
    <s v="Winter"/>
    <s v="January"/>
    <x v="2"/>
    <x v="1"/>
    <x v="2"/>
    <x v="1"/>
    <n v="0.18"/>
    <n v="0.16669999999999999"/>
    <n v="0.43"/>
    <n v="0.25369999999999998"/>
    <x v="3"/>
    <x v="21"/>
    <n v="8"/>
  </r>
  <r>
    <n v="376"/>
    <x v="16"/>
    <s v="Winter"/>
    <s v="January"/>
    <x v="3"/>
    <x v="1"/>
    <x v="2"/>
    <x v="1"/>
    <n v="0.18"/>
    <n v="0.18179999999999999"/>
    <n v="0.43"/>
    <n v="0.19400000000000001"/>
    <x v="3"/>
    <x v="6"/>
    <n v="2"/>
  </r>
  <r>
    <n v="377"/>
    <x v="16"/>
    <s v="Winter"/>
    <s v="January"/>
    <x v="4"/>
    <x v="1"/>
    <x v="2"/>
    <x v="1"/>
    <n v="0.18"/>
    <n v="0.19700000000000001"/>
    <n v="0.43"/>
    <n v="0.1343"/>
    <x v="5"/>
    <x v="6"/>
    <n v="3"/>
  </r>
  <r>
    <n v="378"/>
    <x v="16"/>
    <s v="Winter"/>
    <s v="January"/>
    <x v="5"/>
    <x v="1"/>
    <x v="2"/>
    <x v="1"/>
    <n v="0.18"/>
    <n v="0.19700000000000001"/>
    <n v="0.43"/>
    <n v="0.16420000000000001"/>
    <x v="3"/>
    <x v="4"/>
    <n v="1"/>
  </r>
  <r>
    <n v="379"/>
    <x v="16"/>
    <s v="Winter"/>
    <s v="January"/>
    <x v="6"/>
    <x v="1"/>
    <x v="2"/>
    <x v="1"/>
    <n v="0.18"/>
    <n v="0.18179999999999999"/>
    <n v="0.43"/>
    <n v="0.19400000000000001"/>
    <x v="3"/>
    <x v="34"/>
    <n v="5"/>
  </r>
  <r>
    <n v="380"/>
    <x v="16"/>
    <s v="Winter"/>
    <s v="January"/>
    <x v="7"/>
    <x v="1"/>
    <x v="2"/>
    <x v="1"/>
    <n v="0.16"/>
    <n v="0.18179999999999999"/>
    <n v="0.5"/>
    <n v="0.1343"/>
    <x v="17"/>
    <x v="33"/>
    <n v="13"/>
  </r>
  <r>
    <n v="381"/>
    <x v="16"/>
    <s v="Winter"/>
    <s v="January"/>
    <x v="8"/>
    <x v="1"/>
    <x v="2"/>
    <x v="1"/>
    <n v="0.16"/>
    <n v="0.1515"/>
    <n v="0.47"/>
    <n v="0.22389999999999999"/>
    <x v="0"/>
    <x v="10"/>
    <n v="33"/>
  </r>
  <r>
    <n v="382"/>
    <x v="16"/>
    <s v="Winter"/>
    <s v="January"/>
    <x v="9"/>
    <x v="1"/>
    <x v="2"/>
    <x v="1"/>
    <n v="0.16"/>
    <n v="0.1515"/>
    <n v="0.47"/>
    <n v="0.22389999999999999"/>
    <x v="1"/>
    <x v="87"/>
    <n v="47"/>
  </r>
  <r>
    <n v="383"/>
    <x v="16"/>
    <s v="Winter"/>
    <s v="January"/>
    <x v="10"/>
    <x v="1"/>
    <x v="2"/>
    <x v="1"/>
    <n v="0.16"/>
    <n v="0.1515"/>
    <n v="0.5"/>
    <n v="0.25369999999999998"/>
    <x v="18"/>
    <x v="54"/>
    <n v="57"/>
  </r>
  <r>
    <n v="384"/>
    <x v="16"/>
    <s v="Winter"/>
    <s v="January"/>
    <x v="11"/>
    <x v="1"/>
    <x v="2"/>
    <x v="1"/>
    <n v="0.16"/>
    <n v="0.1515"/>
    <n v="0.55000000000000004"/>
    <n v="0.19400000000000001"/>
    <x v="14"/>
    <x v="11"/>
    <n v="64"/>
  </r>
  <r>
    <n v="385"/>
    <x v="16"/>
    <s v="Winter"/>
    <s v="January"/>
    <x v="12"/>
    <x v="1"/>
    <x v="2"/>
    <x v="1"/>
    <n v="0.18"/>
    <n v="0.19700000000000001"/>
    <n v="0.47"/>
    <n v="0.1343"/>
    <x v="22"/>
    <x v="14"/>
    <n v="80"/>
  </r>
  <r>
    <n v="386"/>
    <x v="16"/>
    <s v="Winter"/>
    <s v="January"/>
    <x v="13"/>
    <x v="1"/>
    <x v="2"/>
    <x v="1"/>
    <n v="0.18"/>
    <n v="0.19700000000000001"/>
    <n v="0.47"/>
    <n v="0.1343"/>
    <x v="23"/>
    <x v="122"/>
    <n v="93"/>
  </r>
  <r>
    <n v="387"/>
    <x v="16"/>
    <s v="Winter"/>
    <s v="January"/>
    <x v="14"/>
    <x v="1"/>
    <x v="2"/>
    <x v="1"/>
    <n v="0.18"/>
    <n v="0.21210000000000001"/>
    <n v="0.43"/>
    <n v="0.1045"/>
    <x v="6"/>
    <x v="64"/>
    <n v="86"/>
  </r>
  <r>
    <n v="388"/>
    <x v="16"/>
    <s v="Winter"/>
    <s v="January"/>
    <x v="15"/>
    <x v="1"/>
    <x v="2"/>
    <x v="1"/>
    <n v="0.2"/>
    <n v="0.21210000000000001"/>
    <n v="0.47"/>
    <n v="0.16420000000000001"/>
    <x v="27"/>
    <x v="109"/>
    <n v="93"/>
  </r>
  <r>
    <n v="389"/>
    <x v="16"/>
    <s v="Winter"/>
    <s v="January"/>
    <x v="16"/>
    <x v="1"/>
    <x v="2"/>
    <x v="1"/>
    <n v="0.2"/>
    <n v="0.21210000000000001"/>
    <n v="0.47"/>
    <n v="0.16420000000000001"/>
    <x v="15"/>
    <x v="83"/>
    <n v="82"/>
  </r>
  <r>
    <n v="390"/>
    <x v="16"/>
    <s v="Winter"/>
    <s v="January"/>
    <x v="17"/>
    <x v="1"/>
    <x v="2"/>
    <x v="0"/>
    <n v="0.2"/>
    <n v="0.19700000000000001"/>
    <n v="0.51"/>
    <n v="0.19400000000000001"/>
    <x v="17"/>
    <x v="28"/>
    <n v="71"/>
  </r>
  <r>
    <n v="391"/>
    <x v="16"/>
    <s v="Winter"/>
    <s v="January"/>
    <x v="18"/>
    <x v="1"/>
    <x v="2"/>
    <x v="1"/>
    <n v="0.18"/>
    <n v="0.16669999999999999"/>
    <n v="0.55000000000000004"/>
    <n v="0.25369999999999998"/>
    <x v="18"/>
    <x v="66"/>
    <n v="92"/>
  </r>
  <r>
    <n v="392"/>
    <x v="16"/>
    <s v="Winter"/>
    <s v="January"/>
    <x v="19"/>
    <x v="1"/>
    <x v="2"/>
    <x v="2"/>
    <n v="0.18"/>
    <n v="0.18179999999999999"/>
    <n v="0.59"/>
    <n v="0.19400000000000001"/>
    <x v="4"/>
    <x v="29"/>
    <n v="60"/>
  </r>
  <r>
    <n v="393"/>
    <x v="16"/>
    <s v="Winter"/>
    <s v="January"/>
    <x v="20"/>
    <x v="1"/>
    <x v="2"/>
    <x v="2"/>
    <n v="0.16"/>
    <n v="0.1515"/>
    <n v="0.8"/>
    <n v="0.19400000000000001"/>
    <x v="17"/>
    <x v="31"/>
    <n v="33"/>
  </r>
  <r>
    <n v="394"/>
    <x v="16"/>
    <s v="Winter"/>
    <s v="January"/>
    <x v="21"/>
    <x v="1"/>
    <x v="2"/>
    <x v="2"/>
    <n v="0.16"/>
    <n v="0.1515"/>
    <n v="0.8"/>
    <n v="0.19400000000000001"/>
    <x v="0"/>
    <x v="9"/>
    <n v="27"/>
  </r>
  <r>
    <n v="395"/>
    <x v="16"/>
    <s v="Winter"/>
    <s v="January"/>
    <x v="22"/>
    <x v="1"/>
    <x v="2"/>
    <x v="2"/>
    <n v="0.14000000000000001"/>
    <n v="0.1212"/>
    <n v="0.93"/>
    <n v="0.25369999999999998"/>
    <x v="3"/>
    <x v="0"/>
    <n v="13"/>
  </r>
  <r>
    <n v="396"/>
    <x v="16"/>
    <s v="Winter"/>
    <s v="January"/>
    <x v="23"/>
    <x v="1"/>
    <x v="2"/>
    <x v="2"/>
    <n v="0.16"/>
    <n v="0.13639999999999999"/>
    <n v="0.86"/>
    <n v="0.28360000000000002"/>
    <x v="5"/>
    <x v="35"/>
    <n v="4"/>
  </r>
  <r>
    <n v="397"/>
    <x v="17"/>
    <s v="Winter"/>
    <s v="January"/>
    <x v="12"/>
    <x v="0"/>
    <x v="3"/>
    <x v="1"/>
    <n v="0.2"/>
    <n v="0.18179999999999999"/>
    <n v="0.86"/>
    <n v="0.32840000000000003"/>
    <x v="3"/>
    <x v="35"/>
    <n v="3"/>
  </r>
  <r>
    <n v="398"/>
    <x v="17"/>
    <s v="Winter"/>
    <s v="January"/>
    <x v="13"/>
    <x v="0"/>
    <x v="3"/>
    <x v="1"/>
    <n v="0.2"/>
    <n v="0.19700000000000001"/>
    <n v="0.86"/>
    <n v="0.22389999999999999"/>
    <x v="3"/>
    <x v="97"/>
    <n v="22"/>
  </r>
  <r>
    <n v="399"/>
    <x v="17"/>
    <s v="Winter"/>
    <s v="January"/>
    <x v="14"/>
    <x v="0"/>
    <x v="3"/>
    <x v="1"/>
    <n v="0.22"/>
    <n v="0.2273"/>
    <n v="0.8"/>
    <n v="0.16420000000000001"/>
    <x v="4"/>
    <x v="16"/>
    <n v="28"/>
  </r>
  <r>
    <n v="400"/>
    <x v="17"/>
    <s v="Winter"/>
    <s v="January"/>
    <x v="15"/>
    <x v="0"/>
    <x v="3"/>
    <x v="1"/>
    <n v="0.22"/>
    <n v="0.2273"/>
    <n v="0.87"/>
    <n v="0.16420000000000001"/>
    <x v="0"/>
    <x v="1"/>
    <n v="35"/>
  </r>
  <r>
    <n v="401"/>
    <x v="17"/>
    <s v="Winter"/>
    <s v="January"/>
    <x v="16"/>
    <x v="0"/>
    <x v="3"/>
    <x v="1"/>
    <n v="0.22"/>
    <n v="0.2273"/>
    <n v="0.87"/>
    <n v="0.19400000000000001"/>
    <x v="3"/>
    <x v="124"/>
    <n v="61"/>
  </r>
  <r>
    <n v="402"/>
    <x v="17"/>
    <s v="Winter"/>
    <s v="January"/>
    <x v="17"/>
    <x v="0"/>
    <x v="3"/>
    <x v="1"/>
    <n v="0.22"/>
    <n v="0.2273"/>
    <n v="0.82"/>
    <n v="0.19400000000000001"/>
    <x v="5"/>
    <x v="125"/>
    <n v="125"/>
  </r>
  <r>
    <n v="403"/>
    <x v="17"/>
    <s v="Winter"/>
    <s v="January"/>
    <x v="18"/>
    <x v="0"/>
    <x v="3"/>
    <x v="1"/>
    <n v="0.22"/>
    <n v="0.2273"/>
    <n v="0.8"/>
    <n v="0.16420000000000001"/>
    <x v="5"/>
    <x v="126"/>
    <n v="133"/>
  </r>
  <r>
    <n v="404"/>
    <x v="17"/>
    <s v="Winter"/>
    <s v="January"/>
    <x v="19"/>
    <x v="0"/>
    <x v="3"/>
    <x v="1"/>
    <n v="0.22"/>
    <n v="0.2273"/>
    <n v="0.8"/>
    <n v="0.1343"/>
    <x v="5"/>
    <x v="52"/>
    <n v="99"/>
  </r>
  <r>
    <n v="405"/>
    <x v="17"/>
    <s v="Winter"/>
    <s v="January"/>
    <x v="20"/>
    <x v="0"/>
    <x v="3"/>
    <x v="1"/>
    <n v="0.22"/>
    <n v="0.2727"/>
    <n v="0.87"/>
    <n v="0"/>
    <x v="3"/>
    <x v="93"/>
    <n v="83"/>
  </r>
  <r>
    <n v="406"/>
    <x v="17"/>
    <s v="Winter"/>
    <s v="January"/>
    <x v="21"/>
    <x v="0"/>
    <x v="3"/>
    <x v="1"/>
    <n v="0.22"/>
    <n v="0.2424"/>
    <n v="0.93"/>
    <n v="0.1045"/>
    <x v="3"/>
    <x v="40"/>
    <n v="41"/>
  </r>
  <r>
    <n v="407"/>
    <x v="17"/>
    <s v="Winter"/>
    <s v="January"/>
    <x v="22"/>
    <x v="0"/>
    <x v="3"/>
    <x v="1"/>
    <n v="0.22"/>
    <n v="0.2576"/>
    <n v="0.93"/>
    <n v="8.9599999999999999E-2"/>
    <x v="3"/>
    <x v="39"/>
    <n v="33"/>
  </r>
  <r>
    <n v="408"/>
    <x v="17"/>
    <s v="Winter"/>
    <s v="January"/>
    <x v="23"/>
    <x v="0"/>
    <x v="3"/>
    <x v="1"/>
    <n v="0.22"/>
    <n v="0.2727"/>
    <n v="0.93"/>
    <n v="0"/>
    <x v="5"/>
    <x v="23"/>
    <n v="20"/>
  </r>
  <r>
    <n v="409"/>
    <x v="18"/>
    <s v="Winter"/>
    <s v="January"/>
    <x v="0"/>
    <x v="0"/>
    <x v="4"/>
    <x v="1"/>
    <n v="0.22"/>
    <n v="0.2727"/>
    <n v="0.93"/>
    <n v="0"/>
    <x v="3"/>
    <x v="35"/>
    <n v="3"/>
  </r>
  <r>
    <n v="410"/>
    <x v="18"/>
    <s v="Winter"/>
    <s v="January"/>
    <x v="1"/>
    <x v="0"/>
    <x v="4"/>
    <x v="2"/>
    <n v="0.22"/>
    <n v="0.2273"/>
    <n v="0.93"/>
    <n v="0.1343"/>
    <x v="5"/>
    <x v="8"/>
    <n v="7"/>
  </r>
  <r>
    <n v="411"/>
    <x v="18"/>
    <s v="Winter"/>
    <s v="January"/>
    <x v="2"/>
    <x v="0"/>
    <x v="4"/>
    <x v="2"/>
    <n v="0.22"/>
    <n v="0.2273"/>
    <n v="0.93"/>
    <n v="0.1343"/>
    <x v="3"/>
    <x v="35"/>
    <n v="3"/>
  </r>
  <r>
    <n v="412"/>
    <x v="18"/>
    <s v="Winter"/>
    <s v="January"/>
    <x v="4"/>
    <x v="0"/>
    <x v="4"/>
    <x v="2"/>
    <n v="0.22"/>
    <n v="0.2273"/>
    <n v="0.93"/>
    <n v="0.1343"/>
    <x v="5"/>
    <x v="4"/>
    <n v="2"/>
  </r>
  <r>
    <n v="413"/>
    <x v="18"/>
    <s v="Winter"/>
    <s v="January"/>
    <x v="5"/>
    <x v="0"/>
    <x v="4"/>
    <x v="1"/>
    <n v="0.22"/>
    <n v="0.2576"/>
    <n v="0.93"/>
    <n v="8.9599999999999999E-2"/>
    <x v="3"/>
    <x v="7"/>
    <n v="7"/>
  </r>
  <r>
    <n v="414"/>
    <x v="18"/>
    <s v="Winter"/>
    <s v="January"/>
    <x v="6"/>
    <x v="0"/>
    <x v="4"/>
    <x v="1"/>
    <n v="0.22"/>
    <n v="0.2576"/>
    <n v="0.93"/>
    <n v="8.9599999999999999E-2"/>
    <x v="3"/>
    <x v="1"/>
    <n v="32"/>
  </r>
  <r>
    <n v="415"/>
    <x v="18"/>
    <s v="Winter"/>
    <s v="January"/>
    <x v="7"/>
    <x v="0"/>
    <x v="4"/>
    <x v="1"/>
    <n v="0.24"/>
    <n v="0.2576"/>
    <n v="0.92"/>
    <n v="0.1045"/>
    <x v="5"/>
    <x v="121"/>
    <n v="90"/>
  </r>
  <r>
    <n v="416"/>
    <x v="18"/>
    <s v="Winter"/>
    <s v="January"/>
    <x v="8"/>
    <x v="0"/>
    <x v="4"/>
    <x v="1"/>
    <n v="0.24"/>
    <n v="0.2576"/>
    <n v="0.93"/>
    <n v="0.1045"/>
    <x v="5"/>
    <x v="127"/>
    <n v="197"/>
  </r>
  <r>
    <n v="417"/>
    <x v="18"/>
    <s v="Winter"/>
    <s v="January"/>
    <x v="9"/>
    <x v="0"/>
    <x v="4"/>
    <x v="1"/>
    <n v="0.24"/>
    <n v="0.2576"/>
    <n v="0.93"/>
    <n v="0.1045"/>
    <x v="4"/>
    <x v="128"/>
    <n v="109"/>
  </r>
  <r>
    <n v="418"/>
    <x v="18"/>
    <s v="Winter"/>
    <s v="January"/>
    <x v="10"/>
    <x v="0"/>
    <x v="4"/>
    <x v="1"/>
    <n v="0.26"/>
    <n v="0.2727"/>
    <n v="0.93"/>
    <n v="0.1343"/>
    <x v="5"/>
    <x v="24"/>
    <n v="47"/>
  </r>
  <r>
    <n v="419"/>
    <x v="18"/>
    <s v="Winter"/>
    <s v="January"/>
    <x v="11"/>
    <x v="0"/>
    <x v="4"/>
    <x v="1"/>
    <n v="0.28000000000000003"/>
    <n v="0.30299999999999999"/>
    <n v="0.87"/>
    <n v="8.9599999999999999E-2"/>
    <x v="2"/>
    <x v="12"/>
    <n v="52"/>
  </r>
  <r>
    <n v="420"/>
    <x v="18"/>
    <s v="Winter"/>
    <s v="January"/>
    <x v="12"/>
    <x v="0"/>
    <x v="4"/>
    <x v="1"/>
    <n v="0.3"/>
    <n v="0.31819999999999998"/>
    <n v="0.81"/>
    <n v="8.9599999999999999E-2"/>
    <x v="2"/>
    <x v="65"/>
    <n v="70"/>
  </r>
  <r>
    <n v="421"/>
    <x v="18"/>
    <s v="Winter"/>
    <s v="January"/>
    <x v="13"/>
    <x v="0"/>
    <x v="4"/>
    <x v="0"/>
    <n v="0.4"/>
    <n v="0.40910000000000002"/>
    <n v="0.62"/>
    <n v="0.28360000000000002"/>
    <x v="16"/>
    <x v="28"/>
    <n v="78"/>
  </r>
  <r>
    <n v="422"/>
    <x v="18"/>
    <s v="Winter"/>
    <s v="January"/>
    <x v="14"/>
    <x v="0"/>
    <x v="4"/>
    <x v="0"/>
    <n v="0.4"/>
    <n v="0.40910000000000002"/>
    <n v="0.57999999999999996"/>
    <n v="0.25369999999999998"/>
    <x v="18"/>
    <x v="56"/>
    <n v="75"/>
  </r>
  <r>
    <n v="423"/>
    <x v="18"/>
    <s v="Winter"/>
    <s v="January"/>
    <x v="15"/>
    <x v="0"/>
    <x v="4"/>
    <x v="0"/>
    <n v="0.4"/>
    <n v="0.40910000000000002"/>
    <n v="0.54"/>
    <n v="0.28360000000000002"/>
    <x v="17"/>
    <x v="78"/>
    <n v="82"/>
  </r>
  <r>
    <n v="424"/>
    <x v="18"/>
    <s v="Winter"/>
    <s v="January"/>
    <x v="16"/>
    <x v="0"/>
    <x v="4"/>
    <x v="0"/>
    <n v="0.38"/>
    <n v="0.39389999999999997"/>
    <n v="0.57999999999999996"/>
    <n v="0.3881"/>
    <x v="22"/>
    <x v="111"/>
    <n v="104"/>
  </r>
  <r>
    <n v="425"/>
    <x v="18"/>
    <s v="Winter"/>
    <s v="January"/>
    <x v="17"/>
    <x v="0"/>
    <x v="4"/>
    <x v="0"/>
    <n v="0.36"/>
    <n v="0.33329999999999999"/>
    <n v="0.56999999999999995"/>
    <n v="0.32840000000000003"/>
    <x v="18"/>
    <x v="84"/>
    <n v="197"/>
  </r>
  <r>
    <n v="426"/>
    <x v="18"/>
    <s v="Winter"/>
    <s v="January"/>
    <x v="18"/>
    <x v="0"/>
    <x v="4"/>
    <x v="0"/>
    <n v="0.34"/>
    <n v="0.31819999999999998"/>
    <n v="0.61"/>
    <n v="0.28360000000000002"/>
    <x v="2"/>
    <x v="117"/>
    <n v="161"/>
  </r>
  <r>
    <n v="427"/>
    <x v="18"/>
    <s v="Winter"/>
    <s v="January"/>
    <x v="19"/>
    <x v="0"/>
    <x v="4"/>
    <x v="0"/>
    <n v="0.32"/>
    <n v="0.28789999999999999"/>
    <n v="0.56999999999999995"/>
    <n v="0.41789999999999999"/>
    <x v="17"/>
    <x v="123"/>
    <n v="112"/>
  </r>
  <r>
    <n v="428"/>
    <x v="18"/>
    <s v="Winter"/>
    <s v="January"/>
    <x v="20"/>
    <x v="0"/>
    <x v="4"/>
    <x v="0"/>
    <n v="0.32"/>
    <n v="0.30299999999999999"/>
    <n v="0.49"/>
    <n v="0.29849999999999999"/>
    <x v="4"/>
    <x v="64"/>
    <n v="76"/>
  </r>
  <r>
    <n v="429"/>
    <x v="18"/>
    <s v="Winter"/>
    <s v="January"/>
    <x v="21"/>
    <x v="0"/>
    <x v="4"/>
    <x v="0"/>
    <n v="0.32"/>
    <n v="0.28789999999999999"/>
    <n v="0.49"/>
    <n v="0.41789999999999999"/>
    <x v="17"/>
    <x v="11"/>
    <n v="59"/>
  </r>
  <r>
    <n v="430"/>
    <x v="18"/>
    <s v="Winter"/>
    <s v="January"/>
    <x v="22"/>
    <x v="0"/>
    <x v="4"/>
    <x v="0"/>
    <n v="0.3"/>
    <n v="0.30299999999999999"/>
    <n v="0.52"/>
    <n v="0.16420000000000001"/>
    <x v="15"/>
    <x v="42"/>
    <n v="59"/>
  </r>
  <r>
    <n v="431"/>
    <x v="18"/>
    <s v="Winter"/>
    <s v="January"/>
    <x v="23"/>
    <x v="0"/>
    <x v="4"/>
    <x v="0"/>
    <n v="0.3"/>
    <n v="0.2727"/>
    <n v="0.52"/>
    <n v="0.4627"/>
    <x v="5"/>
    <x v="2"/>
    <n v="28"/>
  </r>
  <r>
    <n v="432"/>
    <x v="19"/>
    <s v="Winter"/>
    <s v="January"/>
    <x v="0"/>
    <x v="0"/>
    <x v="5"/>
    <x v="0"/>
    <n v="0.26"/>
    <n v="0.2273"/>
    <n v="0.56000000000000005"/>
    <n v="0.3881"/>
    <x v="2"/>
    <x v="21"/>
    <n v="13"/>
  </r>
  <r>
    <n v="433"/>
    <x v="19"/>
    <s v="Winter"/>
    <s v="January"/>
    <x v="1"/>
    <x v="0"/>
    <x v="5"/>
    <x v="0"/>
    <n v="0.26"/>
    <n v="0.2727"/>
    <n v="0.56000000000000005"/>
    <n v="0"/>
    <x v="4"/>
    <x v="35"/>
    <n v="5"/>
  </r>
  <r>
    <n v="434"/>
    <x v="19"/>
    <s v="Winter"/>
    <s v="January"/>
    <x v="2"/>
    <x v="0"/>
    <x v="5"/>
    <x v="0"/>
    <n v="0.26"/>
    <n v="0.2727"/>
    <n v="0.56000000000000005"/>
    <n v="0"/>
    <x v="3"/>
    <x v="6"/>
    <n v="2"/>
  </r>
  <r>
    <n v="435"/>
    <x v="19"/>
    <s v="Winter"/>
    <s v="January"/>
    <x v="3"/>
    <x v="0"/>
    <x v="5"/>
    <x v="0"/>
    <n v="0.26"/>
    <n v="0.2576"/>
    <n v="0.56000000000000005"/>
    <n v="0.16420000000000001"/>
    <x v="3"/>
    <x v="4"/>
    <n v="1"/>
  </r>
  <r>
    <n v="436"/>
    <x v="19"/>
    <s v="Winter"/>
    <s v="January"/>
    <x v="4"/>
    <x v="0"/>
    <x v="5"/>
    <x v="0"/>
    <n v="0.26"/>
    <n v="0.2576"/>
    <n v="0.56000000000000005"/>
    <n v="0.16420000000000001"/>
    <x v="3"/>
    <x v="4"/>
    <n v="1"/>
  </r>
  <r>
    <n v="437"/>
    <x v="19"/>
    <s v="Winter"/>
    <s v="January"/>
    <x v="5"/>
    <x v="0"/>
    <x v="5"/>
    <x v="0"/>
    <n v="0.24"/>
    <n v="0.2273"/>
    <n v="0.6"/>
    <n v="0.22389999999999999"/>
    <x v="3"/>
    <x v="8"/>
    <n v="6"/>
  </r>
  <r>
    <n v="438"/>
    <x v="19"/>
    <s v="Winter"/>
    <s v="January"/>
    <x v="6"/>
    <x v="0"/>
    <x v="5"/>
    <x v="0"/>
    <n v="0.22"/>
    <n v="0.21210000000000001"/>
    <n v="0.6"/>
    <n v="0.22389999999999999"/>
    <x v="3"/>
    <x v="96"/>
    <n v="35"/>
  </r>
  <r>
    <n v="439"/>
    <x v="19"/>
    <s v="Winter"/>
    <s v="January"/>
    <x v="7"/>
    <x v="0"/>
    <x v="5"/>
    <x v="0"/>
    <n v="0.22"/>
    <n v="0.21210000000000001"/>
    <n v="0.55000000000000004"/>
    <n v="0.22389999999999999"/>
    <x v="5"/>
    <x v="129"/>
    <n v="101"/>
  </r>
  <r>
    <n v="440"/>
    <x v="19"/>
    <s v="Winter"/>
    <s v="January"/>
    <x v="8"/>
    <x v="0"/>
    <x v="5"/>
    <x v="0"/>
    <n v="0.22"/>
    <n v="0.21210000000000001"/>
    <n v="0.55000000000000004"/>
    <n v="0.28360000000000002"/>
    <x v="4"/>
    <x v="130"/>
    <n v="249"/>
  </r>
  <r>
    <n v="441"/>
    <x v="19"/>
    <s v="Winter"/>
    <s v="January"/>
    <x v="9"/>
    <x v="0"/>
    <x v="5"/>
    <x v="1"/>
    <n v="0.24"/>
    <n v="0.2273"/>
    <n v="0.52"/>
    <n v="0.22389999999999999"/>
    <x v="0"/>
    <x v="131"/>
    <n v="143"/>
  </r>
  <r>
    <n v="442"/>
    <x v="19"/>
    <s v="Winter"/>
    <s v="January"/>
    <x v="10"/>
    <x v="0"/>
    <x v="5"/>
    <x v="0"/>
    <n v="0.26"/>
    <n v="0.2273"/>
    <n v="0.48"/>
    <n v="0.29849999999999999"/>
    <x v="5"/>
    <x v="90"/>
    <n v="57"/>
  </r>
  <r>
    <n v="443"/>
    <x v="19"/>
    <s v="Winter"/>
    <s v="January"/>
    <x v="11"/>
    <x v="0"/>
    <x v="5"/>
    <x v="1"/>
    <n v="0.28000000000000003"/>
    <n v="0.2727"/>
    <n v="0.45"/>
    <n v="0.16420000000000001"/>
    <x v="2"/>
    <x v="36"/>
    <n v="68"/>
  </r>
  <r>
    <n v="444"/>
    <x v="19"/>
    <s v="Winter"/>
    <s v="January"/>
    <x v="12"/>
    <x v="0"/>
    <x v="5"/>
    <x v="1"/>
    <n v="0.3"/>
    <n v="0.33329999999999999"/>
    <n v="0.42"/>
    <n v="0"/>
    <x v="18"/>
    <x v="99"/>
    <n v="84"/>
  </r>
  <r>
    <n v="445"/>
    <x v="19"/>
    <s v="Winter"/>
    <s v="January"/>
    <x v="13"/>
    <x v="0"/>
    <x v="5"/>
    <x v="1"/>
    <n v="0.28000000000000003"/>
    <n v="0.28789999999999999"/>
    <n v="0.45"/>
    <n v="0.1045"/>
    <x v="6"/>
    <x v="132"/>
    <n v="98"/>
  </r>
  <r>
    <n v="446"/>
    <x v="19"/>
    <s v="Winter"/>
    <s v="January"/>
    <x v="14"/>
    <x v="0"/>
    <x v="5"/>
    <x v="1"/>
    <n v="0.3"/>
    <n v="0.30299999999999999"/>
    <n v="0.45"/>
    <n v="0.1343"/>
    <x v="15"/>
    <x v="102"/>
    <n v="81"/>
  </r>
  <r>
    <n v="447"/>
    <x v="19"/>
    <s v="Winter"/>
    <s v="January"/>
    <x v="15"/>
    <x v="0"/>
    <x v="5"/>
    <x v="1"/>
    <n v="0.32"/>
    <n v="0.31819999999999998"/>
    <n v="0.45"/>
    <n v="0.19400000000000001"/>
    <x v="1"/>
    <x v="133"/>
    <n v="70"/>
  </r>
  <r>
    <n v="448"/>
    <x v="19"/>
    <s v="Winter"/>
    <s v="January"/>
    <x v="16"/>
    <x v="0"/>
    <x v="5"/>
    <x v="1"/>
    <n v="0.3"/>
    <n v="0.30299999999999999"/>
    <n v="0.49"/>
    <n v="0.1343"/>
    <x v="1"/>
    <x v="93"/>
    <n v="91"/>
  </r>
  <r>
    <n v="449"/>
    <x v="19"/>
    <s v="Winter"/>
    <s v="January"/>
    <x v="17"/>
    <x v="0"/>
    <x v="5"/>
    <x v="1"/>
    <n v="0.3"/>
    <n v="0.31819999999999998"/>
    <n v="0.49"/>
    <n v="0.1045"/>
    <x v="1"/>
    <x v="134"/>
    <n v="215"/>
  </r>
  <r>
    <n v="450"/>
    <x v="19"/>
    <s v="Winter"/>
    <s v="January"/>
    <x v="18"/>
    <x v="0"/>
    <x v="5"/>
    <x v="1"/>
    <n v="0.26"/>
    <n v="0.2576"/>
    <n v="0.56000000000000005"/>
    <n v="0.19400000000000001"/>
    <x v="5"/>
    <x v="103"/>
    <n v="185"/>
  </r>
  <r>
    <n v="451"/>
    <x v="19"/>
    <s v="Winter"/>
    <s v="January"/>
    <x v="19"/>
    <x v="0"/>
    <x v="5"/>
    <x v="0"/>
    <n v="0.26"/>
    <n v="0.2273"/>
    <n v="0.56000000000000005"/>
    <n v="0.32840000000000003"/>
    <x v="15"/>
    <x v="44"/>
    <n v="152"/>
  </r>
  <r>
    <n v="452"/>
    <x v="19"/>
    <s v="Winter"/>
    <s v="January"/>
    <x v="20"/>
    <x v="0"/>
    <x v="5"/>
    <x v="1"/>
    <n v="0.26"/>
    <n v="0.2424"/>
    <n v="0.6"/>
    <n v="0.28360000000000002"/>
    <x v="4"/>
    <x v="125"/>
    <n v="126"/>
  </r>
  <r>
    <n v="453"/>
    <x v="19"/>
    <s v="Winter"/>
    <s v="January"/>
    <x v="21"/>
    <x v="0"/>
    <x v="5"/>
    <x v="1"/>
    <n v="0.24"/>
    <n v="0.2273"/>
    <n v="0.6"/>
    <n v="0.25369999999999998"/>
    <x v="0"/>
    <x v="25"/>
    <n v="57"/>
  </r>
  <r>
    <n v="454"/>
    <x v="19"/>
    <s v="Winter"/>
    <s v="January"/>
    <x v="22"/>
    <x v="0"/>
    <x v="5"/>
    <x v="1"/>
    <n v="0.24"/>
    <n v="0.21210000000000001"/>
    <n v="0.65"/>
    <n v="0.28360000000000002"/>
    <x v="3"/>
    <x v="90"/>
    <n v="56"/>
  </r>
  <r>
    <n v="455"/>
    <x v="19"/>
    <s v="Winter"/>
    <s v="January"/>
    <x v="23"/>
    <x v="0"/>
    <x v="5"/>
    <x v="1"/>
    <n v="0.24"/>
    <n v="0.21210000000000001"/>
    <n v="0.65"/>
    <n v="0.32840000000000003"/>
    <x v="0"/>
    <x v="95"/>
    <n v="31"/>
  </r>
  <r>
    <n v="456"/>
    <x v="20"/>
    <s v="Winter"/>
    <s v="January"/>
    <x v="0"/>
    <x v="0"/>
    <x v="6"/>
    <x v="1"/>
    <n v="0.24"/>
    <n v="0.2273"/>
    <n v="0.7"/>
    <n v="0.25369999999999998"/>
    <x v="5"/>
    <x v="32"/>
    <n v="21"/>
  </r>
  <r>
    <n v="457"/>
    <x v="20"/>
    <s v="Winter"/>
    <s v="January"/>
    <x v="1"/>
    <x v="0"/>
    <x v="6"/>
    <x v="1"/>
    <n v="0.24"/>
    <n v="0.2273"/>
    <n v="0.7"/>
    <n v="0.25369999999999998"/>
    <x v="3"/>
    <x v="8"/>
    <n v="6"/>
  </r>
  <r>
    <n v="458"/>
    <x v="20"/>
    <s v="Winter"/>
    <s v="January"/>
    <x v="2"/>
    <x v="0"/>
    <x v="6"/>
    <x v="2"/>
    <n v="0.24"/>
    <n v="0.2424"/>
    <n v="0.75"/>
    <n v="0.16420000000000001"/>
    <x v="3"/>
    <x v="6"/>
    <n v="2"/>
  </r>
  <r>
    <n v="459"/>
    <x v="20"/>
    <s v="Winter"/>
    <s v="January"/>
    <x v="3"/>
    <x v="0"/>
    <x v="6"/>
    <x v="2"/>
    <n v="0.22"/>
    <n v="0.21210000000000001"/>
    <n v="0.8"/>
    <n v="0.29849999999999999"/>
    <x v="3"/>
    <x v="4"/>
    <n v="1"/>
  </r>
  <r>
    <n v="460"/>
    <x v="20"/>
    <s v="Winter"/>
    <s v="January"/>
    <x v="4"/>
    <x v="0"/>
    <x v="6"/>
    <x v="1"/>
    <n v="0.22"/>
    <n v="0.2576"/>
    <n v="0.87"/>
    <n v="8.9599999999999999E-2"/>
    <x v="3"/>
    <x v="4"/>
    <n v="1"/>
  </r>
  <r>
    <n v="461"/>
    <x v="20"/>
    <s v="Winter"/>
    <s v="January"/>
    <x v="5"/>
    <x v="0"/>
    <x v="6"/>
    <x v="0"/>
    <n v="0.24"/>
    <n v="0.19700000000000001"/>
    <n v="0.6"/>
    <n v="0.41789999999999999"/>
    <x v="5"/>
    <x v="22"/>
    <n v="5"/>
  </r>
  <r>
    <n v="462"/>
    <x v="20"/>
    <s v="Winter"/>
    <s v="January"/>
    <x v="6"/>
    <x v="0"/>
    <x v="6"/>
    <x v="0"/>
    <n v="0.22"/>
    <n v="0.21210000000000001"/>
    <n v="0.55000000000000004"/>
    <n v="0.25369999999999998"/>
    <x v="3"/>
    <x v="2"/>
    <n v="27"/>
  </r>
  <r>
    <n v="463"/>
    <x v="20"/>
    <s v="Winter"/>
    <s v="January"/>
    <x v="7"/>
    <x v="0"/>
    <x v="6"/>
    <x v="0"/>
    <n v="0.2"/>
    <n v="0.18179999999999999"/>
    <n v="0.51"/>
    <n v="0.28360000000000002"/>
    <x v="4"/>
    <x v="43"/>
    <n v="68"/>
  </r>
  <r>
    <n v="464"/>
    <x v="20"/>
    <s v="Winter"/>
    <s v="January"/>
    <x v="8"/>
    <x v="0"/>
    <x v="6"/>
    <x v="0"/>
    <n v="0.2"/>
    <n v="0.18179999999999999"/>
    <n v="0.47"/>
    <n v="0.32840000000000003"/>
    <x v="18"/>
    <x v="135"/>
    <n v="217"/>
  </r>
  <r>
    <n v="465"/>
    <x v="20"/>
    <s v="Winter"/>
    <s v="January"/>
    <x v="9"/>
    <x v="0"/>
    <x v="6"/>
    <x v="0"/>
    <n v="0.2"/>
    <n v="0.18179999999999999"/>
    <n v="0.51"/>
    <n v="0.35820000000000002"/>
    <x v="18"/>
    <x v="136"/>
    <n v="166"/>
  </r>
  <r>
    <n v="466"/>
    <x v="20"/>
    <s v="Winter"/>
    <s v="January"/>
    <x v="10"/>
    <x v="0"/>
    <x v="6"/>
    <x v="0"/>
    <n v="0.2"/>
    <n v="0.16669999999999999"/>
    <n v="0.47"/>
    <n v="0.4627"/>
    <x v="15"/>
    <x v="77"/>
    <n v="63"/>
  </r>
  <r>
    <n v="467"/>
    <x v="20"/>
    <s v="Winter"/>
    <s v="January"/>
    <x v="11"/>
    <x v="0"/>
    <x v="6"/>
    <x v="0"/>
    <n v="0.22"/>
    <n v="0.18179999999999999"/>
    <n v="0.41"/>
    <n v="0.4627"/>
    <x v="15"/>
    <x v="42"/>
    <n v="59"/>
  </r>
  <r>
    <n v="468"/>
    <x v="20"/>
    <s v="Winter"/>
    <s v="January"/>
    <x v="12"/>
    <x v="0"/>
    <x v="6"/>
    <x v="0"/>
    <n v="0.22"/>
    <n v="0.18179999999999999"/>
    <n v="0.27"/>
    <n v="0.58209999999999995"/>
    <x v="16"/>
    <x v="28"/>
    <n v="78"/>
  </r>
  <r>
    <n v="469"/>
    <x v="20"/>
    <s v="Winter"/>
    <s v="January"/>
    <x v="13"/>
    <x v="0"/>
    <x v="6"/>
    <x v="0"/>
    <n v="0.2"/>
    <n v="0.1515"/>
    <n v="0.21"/>
    <n v="0.58209999999999995"/>
    <x v="1"/>
    <x v="65"/>
    <n v="73"/>
  </r>
  <r>
    <n v="470"/>
    <x v="20"/>
    <s v="Winter"/>
    <s v="January"/>
    <x v="14"/>
    <x v="0"/>
    <x v="6"/>
    <x v="0"/>
    <n v="0.2"/>
    <n v="0.1515"/>
    <n v="0.25"/>
    <n v="0.52239999999999998"/>
    <x v="15"/>
    <x v="90"/>
    <n v="62"/>
  </r>
  <r>
    <n v="471"/>
    <x v="20"/>
    <s v="Winter"/>
    <s v="January"/>
    <x v="15"/>
    <x v="0"/>
    <x v="6"/>
    <x v="0"/>
    <n v="0.16"/>
    <n v="0.1212"/>
    <n v="0.26"/>
    <n v="0.44779999999999998"/>
    <x v="17"/>
    <x v="124"/>
    <n v="65"/>
  </r>
  <r>
    <n v="472"/>
    <x v="20"/>
    <s v="Winter"/>
    <s v="January"/>
    <x v="16"/>
    <x v="0"/>
    <x v="6"/>
    <x v="0"/>
    <n v="0.16"/>
    <n v="0.13639999999999999"/>
    <n v="0.26"/>
    <n v="0.35820000000000002"/>
    <x v="3"/>
    <x v="106"/>
    <n v="97"/>
  </r>
  <r>
    <n v="473"/>
    <x v="20"/>
    <s v="Winter"/>
    <s v="January"/>
    <x v="17"/>
    <x v="0"/>
    <x v="6"/>
    <x v="0"/>
    <n v="0.14000000000000001"/>
    <n v="0.1212"/>
    <n v="0.28000000000000003"/>
    <n v="0.35820000000000002"/>
    <x v="22"/>
    <x v="137"/>
    <n v="161"/>
  </r>
  <r>
    <n v="474"/>
    <x v="20"/>
    <s v="Winter"/>
    <s v="January"/>
    <x v="18"/>
    <x v="0"/>
    <x v="6"/>
    <x v="0"/>
    <n v="0.12"/>
    <n v="0.1212"/>
    <n v="0.3"/>
    <n v="0.25369999999999998"/>
    <x v="5"/>
    <x v="138"/>
    <n v="120"/>
  </r>
  <r>
    <n v="475"/>
    <x v="20"/>
    <s v="Winter"/>
    <s v="January"/>
    <x v="19"/>
    <x v="0"/>
    <x v="6"/>
    <x v="0"/>
    <n v="0.12"/>
    <n v="0.1061"/>
    <n v="0.3"/>
    <n v="0.32840000000000003"/>
    <x v="0"/>
    <x v="139"/>
    <n v="96"/>
  </r>
  <r>
    <n v="476"/>
    <x v="20"/>
    <s v="Winter"/>
    <s v="January"/>
    <x v="20"/>
    <x v="0"/>
    <x v="6"/>
    <x v="0"/>
    <n v="0.1"/>
    <n v="7.5800000000000006E-2"/>
    <n v="0.33"/>
    <n v="0.41789999999999999"/>
    <x v="5"/>
    <x v="15"/>
    <n v="53"/>
  </r>
  <r>
    <n v="477"/>
    <x v="20"/>
    <s v="Winter"/>
    <s v="January"/>
    <x v="21"/>
    <x v="0"/>
    <x v="6"/>
    <x v="0"/>
    <n v="0.08"/>
    <n v="7.5800000000000006E-2"/>
    <n v="0.38"/>
    <n v="0.28360000000000002"/>
    <x v="3"/>
    <x v="40"/>
    <n v="41"/>
  </r>
  <r>
    <n v="478"/>
    <x v="20"/>
    <s v="Winter"/>
    <s v="January"/>
    <x v="22"/>
    <x v="0"/>
    <x v="6"/>
    <x v="0"/>
    <n v="0.06"/>
    <n v="3.0300000000000001E-2"/>
    <n v="0.41"/>
    <n v="0.3881"/>
    <x v="5"/>
    <x v="39"/>
    <n v="34"/>
  </r>
  <r>
    <n v="479"/>
    <x v="20"/>
    <s v="Winter"/>
    <s v="January"/>
    <x v="23"/>
    <x v="0"/>
    <x v="6"/>
    <x v="0"/>
    <n v="0.06"/>
    <n v="4.5499999999999999E-2"/>
    <n v="0.38"/>
    <n v="0.32840000000000003"/>
    <x v="3"/>
    <x v="2"/>
    <n v="27"/>
  </r>
  <r>
    <n v="480"/>
    <x v="21"/>
    <s v="Winter"/>
    <s v="January"/>
    <x v="0"/>
    <x v="0"/>
    <x v="0"/>
    <x v="0"/>
    <n v="0.04"/>
    <n v="3.0300000000000001E-2"/>
    <n v="0.45"/>
    <n v="0.25369999999999998"/>
    <x v="3"/>
    <x v="0"/>
    <n v="13"/>
  </r>
  <r>
    <n v="481"/>
    <x v="21"/>
    <s v="Winter"/>
    <s v="January"/>
    <x v="1"/>
    <x v="0"/>
    <x v="0"/>
    <x v="1"/>
    <n v="0.04"/>
    <n v="0"/>
    <n v="0.41"/>
    <n v="0.3881"/>
    <x v="0"/>
    <x v="33"/>
    <n v="12"/>
  </r>
  <r>
    <n v="482"/>
    <x v="21"/>
    <s v="Winter"/>
    <s v="January"/>
    <x v="2"/>
    <x v="0"/>
    <x v="0"/>
    <x v="1"/>
    <n v="0.04"/>
    <n v="3.0300000000000001E-2"/>
    <n v="0.41"/>
    <n v="0.25369999999999998"/>
    <x v="3"/>
    <x v="48"/>
    <n v="11"/>
  </r>
  <r>
    <n v="483"/>
    <x v="21"/>
    <s v="Winter"/>
    <s v="January"/>
    <x v="3"/>
    <x v="0"/>
    <x v="0"/>
    <x v="1"/>
    <n v="0.04"/>
    <n v="3.0300000000000001E-2"/>
    <n v="0.41"/>
    <n v="0.28360000000000002"/>
    <x v="5"/>
    <x v="8"/>
    <n v="7"/>
  </r>
  <r>
    <n v="484"/>
    <x v="21"/>
    <s v="Winter"/>
    <s v="January"/>
    <x v="4"/>
    <x v="0"/>
    <x v="0"/>
    <x v="1"/>
    <n v="0.02"/>
    <n v="1.52E-2"/>
    <n v="0.48"/>
    <n v="0.29849999999999999"/>
    <x v="3"/>
    <x v="35"/>
    <n v="3"/>
  </r>
  <r>
    <n v="485"/>
    <x v="21"/>
    <s v="Winter"/>
    <s v="January"/>
    <x v="6"/>
    <x v="0"/>
    <x v="0"/>
    <x v="1"/>
    <n v="0.02"/>
    <n v="3.0300000000000001E-2"/>
    <n v="0.44"/>
    <n v="0.22389999999999999"/>
    <x v="3"/>
    <x v="6"/>
    <n v="2"/>
  </r>
  <r>
    <n v="486"/>
    <x v="21"/>
    <s v="Winter"/>
    <s v="January"/>
    <x v="7"/>
    <x v="0"/>
    <x v="0"/>
    <x v="0"/>
    <n v="0.02"/>
    <n v="1.52E-2"/>
    <n v="0.44"/>
    <n v="0.28360000000000002"/>
    <x v="3"/>
    <x v="21"/>
    <n v="8"/>
  </r>
  <r>
    <n v="487"/>
    <x v="21"/>
    <s v="Winter"/>
    <s v="January"/>
    <x v="8"/>
    <x v="0"/>
    <x v="0"/>
    <x v="0"/>
    <n v="0.02"/>
    <n v="0"/>
    <n v="0.44"/>
    <n v="0.32840000000000003"/>
    <x v="5"/>
    <x v="16"/>
    <n v="27"/>
  </r>
  <r>
    <n v="488"/>
    <x v="21"/>
    <s v="Winter"/>
    <s v="January"/>
    <x v="9"/>
    <x v="0"/>
    <x v="0"/>
    <x v="0"/>
    <n v="0.04"/>
    <n v="3.0300000000000001E-2"/>
    <n v="0.41"/>
    <n v="0.25369999999999998"/>
    <x v="0"/>
    <x v="53"/>
    <n v="40"/>
  </r>
  <r>
    <n v="489"/>
    <x v="21"/>
    <s v="Winter"/>
    <s v="January"/>
    <x v="10"/>
    <x v="0"/>
    <x v="0"/>
    <x v="1"/>
    <n v="0.04"/>
    <n v="6.0600000000000001E-2"/>
    <n v="0.41"/>
    <n v="0.16420000000000001"/>
    <x v="0"/>
    <x v="54"/>
    <n v="53"/>
  </r>
  <r>
    <n v="490"/>
    <x v="21"/>
    <s v="Winter"/>
    <s v="January"/>
    <x v="11"/>
    <x v="0"/>
    <x v="0"/>
    <x v="1"/>
    <n v="0.06"/>
    <n v="7.5800000000000006E-2"/>
    <n v="0.38"/>
    <n v="0.1343"/>
    <x v="17"/>
    <x v="79"/>
    <n v="63"/>
  </r>
  <r>
    <n v="491"/>
    <x v="21"/>
    <s v="Winter"/>
    <s v="January"/>
    <x v="12"/>
    <x v="0"/>
    <x v="0"/>
    <x v="1"/>
    <n v="0.06"/>
    <n v="0.1061"/>
    <n v="0.38"/>
    <n v="0.1045"/>
    <x v="22"/>
    <x v="91"/>
    <n v="70"/>
  </r>
  <r>
    <n v="492"/>
    <x v="21"/>
    <s v="Winter"/>
    <s v="January"/>
    <x v="13"/>
    <x v="0"/>
    <x v="0"/>
    <x v="0"/>
    <n v="0.08"/>
    <n v="0.16669999999999999"/>
    <n v="0.35"/>
    <n v="0"/>
    <x v="6"/>
    <x v="109"/>
    <n v="84"/>
  </r>
  <r>
    <n v="493"/>
    <x v="21"/>
    <s v="Winter"/>
    <s v="January"/>
    <x v="14"/>
    <x v="0"/>
    <x v="0"/>
    <x v="0"/>
    <n v="0.1"/>
    <n v="0.13639999999999999"/>
    <n v="0.33"/>
    <n v="0.1045"/>
    <x v="16"/>
    <x v="27"/>
    <n v="75"/>
  </r>
  <r>
    <n v="494"/>
    <x v="21"/>
    <s v="Winter"/>
    <s v="January"/>
    <x v="15"/>
    <x v="0"/>
    <x v="0"/>
    <x v="0"/>
    <n v="0.12"/>
    <n v="0.1515"/>
    <n v="0.28000000000000003"/>
    <n v="0"/>
    <x v="22"/>
    <x v="139"/>
    <n v="103"/>
  </r>
  <r>
    <n v="495"/>
    <x v="21"/>
    <s v="Winter"/>
    <s v="January"/>
    <x v="16"/>
    <x v="0"/>
    <x v="0"/>
    <x v="0"/>
    <n v="0.12"/>
    <n v="0.13639999999999999"/>
    <n v="0.28000000000000003"/>
    <n v="0.19400000000000001"/>
    <x v="16"/>
    <x v="109"/>
    <n v="83"/>
  </r>
  <r>
    <n v="496"/>
    <x v="21"/>
    <s v="Winter"/>
    <s v="January"/>
    <x v="17"/>
    <x v="0"/>
    <x v="0"/>
    <x v="0"/>
    <n v="0.12"/>
    <n v="0.19700000000000001"/>
    <n v="0.28000000000000003"/>
    <n v="0"/>
    <x v="1"/>
    <x v="79"/>
    <n v="67"/>
  </r>
  <r>
    <n v="497"/>
    <x v="21"/>
    <s v="Winter"/>
    <s v="January"/>
    <x v="18"/>
    <x v="0"/>
    <x v="0"/>
    <x v="0"/>
    <n v="0.08"/>
    <n v="9.0899999999999995E-2"/>
    <n v="0.35"/>
    <n v="0.19400000000000001"/>
    <x v="3"/>
    <x v="25"/>
    <n v="54"/>
  </r>
  <r>
    <n v="498"/>
    <x v="21"/>
    <s v="Winter"/>
    <s v="January"/>
    <x v="19"/>
    <x v="0"/>
    <x v="0"/>
    <x v="0"/>
    <n v="0.08"/>
    <n v="0.1061"/>
    <n v="0.35"/>
    <n v="0.1343"/>
    <x v="15"/>
    <x v="42"/>
    <n v="59"/>
  </r>
  <r>
    <n v="499"/>
    <x v="21"/>
    <s v="Winter"/>
    <s v="January"/>
    <x v="20"/>
    <x v="0"/>
    <x v="0"/>
    <x v="0"/>
    <n v="0.06"/>
    <n v="7.5800000000000006E-2"/>
    <n v="0.45"/>
    <n v="0.16420000000000001"/>
    <x v="5"/>
    <x v="100"/>
    <n v="45"/>
  </r>
  <r>
    <n v="500"/>
    <x v="21"/>
    <s v="Winter"/>
    <s v="January"/>
    <x v="21"/>
    <x v="0"/>
    <x v="0"/>
    <x v="0"/>
    <n v="0.06"/>
    <n v="0.1061"/>
    <n v="0.41"/>
    <n v="8.9599999999999999E-2"/>
    <x v="3"/>
    <x v="87"/>
    <n v="39"/>
  </r>
  <r>
    <n v="501"/>
    <x v="21"/>
    <s v="Winter"/>
    <s v="January"/>
    <x v="22"/>
    <x v="0"/>
    <x v="0"/>
    <x v="0"/>
    <n v="0.06"/>
    <n v="0.1515"/>
    <n v="0.49"/>
    <n v="0"/>
    <x v="18"/>
    <x v="140"/>
    <n v="30"/>
  </r>
  <r>
    <n v="502"/>
    <x v="21"/>
    <s v="Winter"/>
    <s v="January"/>
    <x v="23"/>
    <x v="0"/>
    <x v="0"/>
    <x v="0"/>
    <n v="0.04"/>
    <n v="7.5800000000000006E-2"/>
    <n v="0.56999999999999995"/>
    <n v="0.1045"/>
    <x v="4"/>
    <x v="17"/>
    <n v="33"/>
  </r>
  <r>
    <n v="503"/>
    <x v="22"/>
    <s v="Winter"/>
    <s v="January"/>
    <x v="0"/>
    <x v="0"/>
    <x v="1"/>
    <x v="0"/>
    <n v="0.04"/>
    <n v="7.5800000000000006E-2"/>
    <n v="0.56999999999999995"/>
    <n v="0.1045"/>
    <x v="4"/>
    <x v="32"/>
    <n v="22"/>
  </r>
  <r>
    <n v="504"/>
    <x v="22"/>
    <s v="Winter"/>
    <s v="January"/>
    <x v="1"/>
    <x v="0"/>
    <x v="1"/>
    <x v="0"/>
    <n v="0.04"/>
    <n v="7.5800000000000006E-2"/>
    <n v="0.56999999999999995"/>
    <n v="0.1045"/>
    <x v="5"/>
    <x v="98"/>
    <n v="13"/>
  </r>
  <r>
    <n v="505"/>
    <x v="22"/>
    <s v="Winter"/>
    <s v="January"/>
    <x v="2"/>
    <x v="0"/>
    <x v="1"/>
    <x v="0"/>
    <n v="0.02"/>
    <n v="6.0600000000000001E-2"/>
    <n v="0.62"/>
    <n v="0.1343"/>
    <x v="0"/>
    <x v="89"/>
    <n v="18"/>
  </r>
  <r>
    <n v="506"/>
    <x v="22"/>
    <s v="Winter"/>
    <s v="January"/>
    <x v="3"/>
    <x v="0"/>
    <x v="1"/>
    <x v="0"/>
    <n v="0.02"/>
    <n v="6.0600000000000001E-2"/>
    <n v="0.62"/>
    <n v="0.1343"/>
    <x v="5"/>
    <x v="22"/>
    <n v="5"/>
  </r>
  <r>
    <n v="507"/>
    <x v="22"/>
    <s v="Winter"/>
    <s v="January"/>
    <x v="5"/>
    <x v="0"/>
    <x v="1"/>
    <x v="1"/>
    <n v="0.04"/>
    <n v="7.5800000000000006E-2"/>
    <n v="0.56999999999999995"/>
    <n v="0.1045"/>
    <x v="3"/>
    <x v="35"/>
    <n v="3"/>
  </r>
  <r>
    <n v="508"/>
    <x v="22"/>
    <s v="Winter"/>
    <s v="January"/>
    <x v="6"/>
    <x v="0"/>
    <x v="1"/>
    <x v="1"/>
    <n v="0.04"/>
    <n v="7.5800000000000006E-2"/>
    <n v="0.56999999999999995"/>
    <n v="0.1045"/>
    <x v="3"/>
    <x v="4"/>
    <n v="1"/>
  </r>
  <r>
    <n v="509"/>
    <x v="22"/>
    <s v="Winter"/>
    <s v="January"/>
    <x v="7"/>
    <x v="0"/>
    <x v="1"/>
    <x v="0"/>
    <n v="0.08"/>
    <n v="0.1061"/>
    <n v="0.57999999999999996"/>
    <n v="0.16420000000000001"/>
    <x v="5"/>
    <x v="4"/>
    <n v="2"/>
  </r>
  <r>
    <n v="510"/>
    <x v="22"/>
    <s v="Winter"/>
    <s v="January"/>
    <x v="8"/>
    <x v="0"/>
    <x v="1"/>
    <x v="0"/>
    <n v="0.06"/>
    <n v="7.5800000000000006E-2"/>
    <n v="0.62"/>
    <n v="0.16420000000000001"/>
    <x v="4"/>
    <x v="19"/>
    <n v="19"/>
  </r>
  <r>
    <n v="511"/>
    <x v="22"/>
    <s v="Winter"/>
    <s v="January"/>
    <x v="9"/>
    <x v="0"/>
    <x v="1"/>
    <x v="0"/>
    <n v="0.1"/>
    <n v="7.5800000000000006E-2"/>
    <n v="0.54"/>
    <n v="0.35820000000000002"/>
    <x v="0"/>
    <x v="18"/>
    <n v="28"/>
  </r>
  <r>
    <n v="512"/>
    <x v="22"/>
    <s v="Winter"/>
    <s v="January"/>
    <x v="10"/>
    <x v="0"/>
    <x v="1"/>
    <x v="0"/>
    <n v="0.14000000000000001"/>
    <n v="0.1061"/>
    <n v="0.46"/>
    <n v="0.3881"/>
    <x v="18"/>
    <x v="82"/>
    <n v="58"/>
  </r>
  <r>
    <n v="513"/>
    <x v="22"/>
    <s v="Winter"/>
    <s v="January"/>
    <x v="11"/>
    <x v="0"/>
    <x v="1"/>
    <x v="0"/>
    <n v="0.14000000000000001"/>
    <n v="0.13639999999999999"/>
    <n v="0.43"/>
    <n v="0.22389999999999999"/>
    <x v="30"/>
    <x v="99"/>
    <n v="99"/>
  </r>
  <r>
    <n v="514"/>
    <x v="22"/>
    <s v="Winter"/>
    <s v="January"/>
    <x v="12"/>
    <x v="0"/>
    <x v="1"/>
    <x v="0"/>
    <n v="0.16"/>
    <n v="0.1212"/>
    <n v="0.37"/>
    <n v="0.4627"/>
    <x v="31"/>
    <x v="50"/>
    <n v="116"/>
  </r>
  <r>
    <n v="515"/>
    <x v="22"/>
    <s v="Winter"/>
    <s v="January"/>
    <x v="13"/>
    <x v="0"/>
    <x v="1"/>
    <x v="0"/>
    <n v="0.14000000000000001"/>
    <n v="0.1061"/>
    <n v="0.33"/>
    <n v="0.3881"/>
    <x v="6"/>
    <x v="102"/>
    <n v="87"/>
  </r>
  <r>
    <n v="516"/>
    <x v="22"/>
    <s v="Winter"/>
    <s v="January"/>
    <x v="14"/>
    <x v="0"/>
    <x v="1"/>
    <x v="0"/>
    <n v="0.16"/>
    <n v="0.13639999999999999"/>
    <n v="0.28000000000000003"/>
    <n v="0.35820000000000002"/>
    <x v="26"/>
    <x v="139"/>
    <n v="110"/>
  </r>
  <r>
    <n v="517"/>
    <x v="22"/>
    <s v="Winter"/>
    <s v="January"/>
    <x v="15"/>
    <x v="0"/>
    <x v="1"/>
    <x v="0"/>
    <n v="0.16"/>
    <n v="0.13639999999999999"/>
    <n v="0.28000000000000003"/>
    <n v="0.35820000000000002"/>
    <x v="23"/>
    <x v="27"/>
    <n v="77"/>
  </r>
  <r>
    <n v="518"/>
    <x v="22"/>
    <s v="Winter"/>
    <s v="January"/>
    <x v="16"/>
    <x v="0"/>
    <x v="1"/>
    <x v="0"/>
    <n v="0.16"/>
    <n v="0.13639999999999999"/>
    <n v="0.26"/>
    <n v="0.32840000000000003"/>
    <x v="14"/>
    <x v="90"/>
    <n v="65"/>
  </r>
  <r>
    <n v="519"/>
    <x v="22"/>
    <s v="Winter"/>
    <s v="January"/>
    <x v="17"/>
    <x v="0"/>
    <x v="1"/>
    <x v="0"/>
    <n v="0.14000000000000001"/>
    <n v="0.1061"/>
    <n v="0.26"/>
    <n v="0.3881"/>
    <x v="2"/>
    <x v="54"/>
    <n v="55"/>
  </r>
  <r>
    <n v="520"/>
    <x v="22"/>
    <s v="Winter"/>
    <s v="January"/>
    <x v="18"/>
    <x v="0"/>
    <x v="1"/>
    <x v="0"/>
    <n v="0.12"/>
    <n v="0.1212"/>
    <n v="0.3"/>
    <n v="0.25369999999999998"/>
    <x v="2"/>
    <x v="100"/>
    <n v="49"/>
  </r>
  <r>
    <n v="521"/>
    <x v="22"/>
    <s v="Winter"/>
    <s v="January"/>
    <x v="19"/>
    <x v="0"/>
    <x v="1"/>
    <x v="0"/>
    <n v="0.12"/>
    <n v="0.1212"/>
    <n v="0.3"/>
    <n v="0.28360000000000002"/>
    <x v="2"/>
    <x v="108"/>
    <n v="50"/>
  </r>
  <r>
    <n v="522"/>
    <x v="22"/>
    <s v="Winter"/>
    <s v="January"/>
    <x v="20"/>
    <x v="0"/>
    <x v="1"/>
    <x v="0"/>
    <n v="0.1"/>
    <n v="0.1061"/>
    <n v="0.36"/>
    <n v="0.25369999999999998"/>
    <x v="17"/>
    <x v="17"/>
    <n v="35"/>
  </r>
  <r>
    <n v="523"/>
    <x v="22"/>
    <s v="Winter"/>
    <s v="January"/>
    <x v="21"/>
    <x v="0"/>
    <x v="1"/>
    <x v="0"/>
    <n v="0.1"/>
    <n v="0.1061"/>
    <n v="0.36"/>
    <n v="0.19400000000000001"/>
    <x v="2"/>
    <x v="32"/>
    <n v="25"/>
  </r>
  <r>
    <n v="524"/>
    <x v="22"/>
    <s v="Winter"/>
    <s v="January"/>
    <x v="22"/>
    <x v="0"/>
    <x v="1"/>
    <x v="0"/>
    <n v="0.08"/>
    <n v="9.0899999999999995E-2"/>
    <n v="0.38"/>
    <n v="0.19400000000000001"/>
    <x v="2"/>
    <x v="140"/>
    <n v="28"/>
  </r>
  <r>
    <n v="525"/>
    <x v="22"/>
    <s v="Winter"/>
    <s v="January"/>
    <x v="23"/>
    <x v="0"/>
    <x v="1"/>
    <x v="0"/>
    <n v="0.06"/>
    <n v="6.0600000000000001E-2"/>
    <n v="0.41"/>
    <n v="0.22389999999999999"/>
    <x v="17"/>
    <x v="19"/>
    <n v="21"/>
  </r>
  <r>
    <n v="526"/>
    <x v="23"/>
    <s v="Winter"/>
    <s v="January"/>
    <x v="0"/>
    <x v="0"/>
    <x v="2"/>
    <x v="0"/>
    <n v="0.06"/>
    <n v="6.0600000000000001E-2"/>
    <n v="0.41"/>
    <n v="0.19400000000000001"/>
    <x v="3"/>
    <x v="7"/>
    <n v="7"/>
  </r>
  <r>
    <n v="527"/>
    <x v="23"/>
    <s v="Winter"/>
    <s v="January"/>
    <x v="1"/>
    <x v="0"/>
    <x v="2"/>
    <x v="0"/>
    <n v="0.04"/>
    <n v="4.5499999999999999E-2"/>
    <n v="0.45"/>
    <n v="0.19400000000000001"/>
    <x v="3"/>
    <x v="4"/>
    <n v="1"/>
  </r>
  <r>
    <n v="528"/>
    <x v="23"/>
    <s v="Winter"/>
    <s v="January"/>
    <x v="3"/>
    <x v="0"/>
    <x v="2"/>
    <x v="0"/>
    <n v="0.04"/>
    <n v="3.0300000000000001E-2"/>
    <n v="0.45"/>
    <n v="0.25369999999999998"/>
    <x v="3"/>
    <x v="4"/>
    <n v="1"/>
  </r>
  <r>
    <n v="529"/>
    <x v="23"/>
    <s v="Winter"/>
    <s v="January"/>
    <x v="4"/>
    <x v="0"/>
    <x v="2"/>
    <x v="0"/>
    <n v="0.02"/>
    <n v="6.0600000000000001E-2"/>
    <n v="0.48"/>
    <n v="0.1343"/>
    <x v="3"/>
    <x v="4"/>
    <n v="1"/>
  </r>
  <r>
    <n v="530"/>
    <x v="23"/>
    <s v="Winter"/>
    <s v="January"/>
    <x v="5"/>
    <x v="0"/>
    <x v="2"/>
    <x v="0"/>
    <n v="0.02"/>
    <n v="6.0600000000000001E-2"/>
    <n v="0.48"/>
    <n v="0.1343"/>
    <x v="3"/>
    <x v="34"/>
    <n v="5"/>
  </r>
  <r>
    <n v="531"/>
    <x v="23"/>
    <s v="Winter"/>
    <s v="January"/>
    <x v="6"/>
    <x v="0"/>
    <x v="2"/>
    <x v="0"/>
    <n v="0.02"/>
    <n v="7.5800000000000006E-2"/>
    <n v="0.48"/>
    <n v="8.9599999999999999E-2"/>
    <x v="3"/>
    <x v="89"/>
    <n v="15"/>
  </r>
  <r>
    <n v="532"/>
    <x v="23"/>
    <s v="Winter"/>
    <s v="January"/>
    <x v="7"/>
    <x v="0"/>
    <x v="2"/>
    <x v="0"/>
    <n v="0.02"/>
    <n v="0.1212"/>
    <n v="0.48"/>
    <n v="0"/>
    <x v="2"/>
    <x v="55"/>
    <n v="84"/>
  </r>
  <r>
    <n v="533"/>
    <x v="23"/>
    <s v="Winter"/>
    <s v="January"/>
    <x v="8"/>
    <x v="0"/>
    <x v="2"/>
    <x v="0"/>
    <n v="0.04"/>
    <n v="0.13639999999999999"/>
    <n v="0.49"/>
    <n v="0"/>
    <x v="15"/>
    <x v="141"/>
    <n v="177"/>
  </r>
  <r>
    <n v="534"/>
    <x v="23"/>
    <s v="Winter"/>
    <s v="January"/>
    <x v="9"/>
    <x v="0"/>
    <x v="2"/>
    <x v="0"/>
    <n v="0.06"/>
    <n v="0.1515"/>
    <n v="0.41"/>
    <n v="0"/>
    <x v="17"/>
    <x v="52"/>
    <n v="102"/>
  </r>
  <r>
    <n v="535"/>
    <x v="23"/>
    <s v="Winter"/>
    <s v="January"/>
    <x v="10"/>
    <x v="0"/>
    <x v="2"/>
    <x v="0"/>
    <n v="0.1"/>
    <n v="0.13639999999999999"/>
    <n v="0.42"/>
    <n v="0"/>
    <x v="15"/>
    <x v="60"/>
    <n v="40"/>
  </r>
  <r>
    <n v="536"/>
    <x v="23"/>
    <s v="Winter"/>
    <s v="January"/>
    <x v="11"/>
    <x v="0"/>
    <x v="2"/>
    <x v="0"/>
    <n v="0.1"/>
    <n v="0.1212"/>
    <n v="0.46"/>
    <n v="0.1343"/>
    <x v="0"/>
    <x v="30"/>
    <n v="46"/>
  </r>
  <r>
    <n v="537"/>
    <x v="23"/>
    <s v="Winter"/>
    <s v="January"/>
    <x v="12"/>
    <x v="0"/>
    <x v="2"/>
    <x v="1"/>
    <n v="0.12"/>
    <n v="0.13639999999999999"/>
    <n v="0.42"/>
    <n v="0.19400000000000001"/>
    <x v="16"/>
    <x v="15"/>
    <n v="63"/>
  </r>
  <r>
    <n v="538"/>
    <x v="23"/>
    <s v="Winter"/>
    <s v="January"/>
    <x v="13"/>
    <x v="0"/>
    <x v="2"/>
    <x v="1"/>
    <n v="0.14000000000000001"/>
    <n v="0.13639999999999999"/>
    <n v="0.43"/>
    <n v="0.22389999999999999"/>
    <x v="15"/>
    <x v="25"/>
    <n v="60"/>
  </r>
  <r>
    <n v="539"/>
    <x v="23"/>
    <s v="Winter"/>
    <s v="January"/>
    <x v="14"/>
    <x v="0"/>
    <x v="2"/>
    <x v="1"/>
    <n v="0.14000000000000001"/>
    <n v="0.13639999999999999"/>
    <n v="0.46"/>
    <n v="0.22389999999999999"/>
    <x v="4"/>
    <x v="30"/>
    <n v="45"/>
  </r>
  <r>
    <n v="540"/>
    <x v="23"/>
    <s v="Winter"/>
    <s v="January"/>
    <x v="15"/>
    <x v="0"/>
    <x v="2"/>
    <x v="0"/>
    <n v="0.16"/>
    <n v="0.16669999999999999"/>
    <n v="0.4"/>
    <n v="0.16420000000000001"/>
    <x v="18"/>
    <x v="54"/>
    <n v="57"/>
  </r>
  <r>
    <n v="541"/>
    <x v="23"/>
    <s v="Winter"/>
    <s v="January"/>
    <x v="16"/>
    <x v="0"/>
    <x v="2"/>
    <x v="0"/>
    <n v="0.16"/>
    <n v="0.1515"/>
    <n v="0.47"/>
    <n v="0.25369999999999998"/>
    <x v="17"/>
    <x v="43"/>
    <n v="70"/>
  </r>
  <r>
    <n v="542"/>
    <x v="23"/>
    <s v="Winter"/>
    <s v="January"/>
    <x v="17"/>
    <x v="0"/>
    <x v="2"/>
    <x v="0"/>
    <n v="0.14000000000000001"/>
    <n v="0.1212"/>
    <n v="0.5"/>
    <n v="0.25369999999999998"/>
    <x v="15"/>
    <x v="86"/>
    <n v="184"/>
  </r>
  <r>
    <n v="543"/>
    <x v="23"/>
    <s v="Winter"/>
    <s v="January"/>
    <x v="18"/>
    <x v="0"/>
    <x v="2"/>
    <x v="0"/>
    <n v="0.14000000000000001"/>
    <n v="0.13639999999999999"/>
    <n v="0.59"/>
    <n v="0.19400000000000001"/>
    <x v="1"/>
    <x v="142"/>
    <n v="153"/>
  </r>
  <r>
    <n v="544"/>
    <x v="23"/>
    <s v="Winter"/>
    <s v="January"/>
    <x v="19"/>
    <x v="0"/>
    <x v="2"/>
    <x v="0"/>
    <n v="0.14000000000000001"/>
    <n v="0.1515"/>
    <n v="0.54"/>
    <n v="0.16420000000000001"/>
    <x v="2"/>
    <x v="143"/>
    <n v="106"/>
  </r>
  <r>
    <n v="545"/>
    <x v="23"/>
    <s v="Winter"/>
    <s v="January"/>
    <x v="20"/>
    <x v="0"/>
    <x v="2"/>
    <x v="0"/>
    <n v="0.14000000000000001"/>
    <n v="0.13639999999999999"/>
    <n v="0.59"/>
    <n v="0.19400000000000001"/>
    <x v="5"/>
    <x v="122"/>
    <n v="81"/>
  </r>
  <r>
    <n v="546"/>
    <x v="23"/>
    <s v="Winter"/>
    <s v="January"/>
    <x v="21"/>
    <x v="0"/>
    <x v="2"/>
    <x v="0"/>
    <n v="0.14000000000000001"/>
    <n v="0.1515"/>
    <n v="0.63"/>
    <n v="0.16420000000000001"/>
    <x v="15"/>
    <x v="42"/>
    <n v="59"/>
  </r>
  <r>
    <n v="547"/>
    <x v="23"/>
    <s v="Winter"/>
    <s v="January"/>
    <x v="22"/>
    <x v="0"/>
    <x v="2"/>
    <x v="1"/>
    <n v="0.14000000000000001"/>
    <n v="0.13639999999999999"/>
    <n v="0.63"/>
    <n v="0.22389999999999999"/>
    <x v="0"/>
    <x v="1"/>
    <n v="35"/>
  </r>
  <r>
    <n v="548"/>
    <x v="23"/>
    <s v="Winter"/>
    <s v="January"/>
    <x v="23"/>
    <x v="0"/>
    <x v="2"/>
    <x v="1"/>
    <n v="0.16"/>
    <n v="0.1515"/>
    <n v="0.64"/>
    <n v="0.25369999999999998"/>
    <x v="0"/>
    <x v="144"/>
    <n v="24"/>
  </r>
  <r>
    <n v="549"/>
    <x v="24"/>
    <s v="Winter"/>
    <s v="January"/>
    <x v="0"/>
    <x v="0"/>
    <x v="3"/>
    <x v="1"/>
    <n v="0.16"/>
    <n v="0.13639999999999999"/>
    <n v="0.69"/>
    <n v="0.28360000000000002"/>
    <x v="0"/>
    <x v="8"/>
    <n v="9"/>
  </r>
  <r>
    <n v="550"/>
    <x v="24"/>
    <s v="Winter"/>
    <s v="January"/>
    <x v="1"/>
    <x v="0"/>
    <x v="3"/>
    <x v="1"/>
    <n v="0.16"/>
    <n v="0.16669999999999999"/>
    <n v="0.69"/>
    <n v="0.16420000000000001"/>
    <x v="3"/>
    <x v="34"/>
    <n v="5"/>
  </r>
  <r>
    <n v="551"/>
    <x v="24"/>
    <s v="Winter"/>
    <s v="January"/>
    <x v="2"/>
    <x v="0"/>
    <x v="3"/>
    <x v="0"/>
    <n v="0.16"/>
    <n v="0.1515"/>
    <n v="0.69"/>
    <n v="0.22389999999999999"/>
    <x v="3"/>
    <x v="6"/>
    <n v="2"/>
  </r>
  <r>
    <n v="552"/>
    <x v="24"/>
    <s v="Winter"/>
    <s v="January"/>
    <x v="4"/>
    <x v="0"/>
    <x v="3"/>
    <x v="0"/>
    <n v="0.14000000000000001"/>
    <n v="0.16669999999999999"/>
    <n v="0.74"/>
    <n v="0.1045"/>
    <x v="3"/>
    <x v="4"/>
    <n v="1"/>
  </r>
  <r>
    <n v="553"/>
    <x v="24"/>
    <s v="Winter"/>
    <s v="January"/>
    <x v="5"/>
    <x v="0"/>
    <x v="3"/>
    <x v="0"/>
    <n v="0.14000000000000001"/>
    <n v="0.13639999999999999"/>
    <n v="0.74"/>
    <n v="0.22389999999999999"/>
    <x v="3"/>
    <x v="33"/>
    <n v="9"/>
  </r>
  <r>
    <n v="554"/>
    <x v="24"/>
    <s v="Winter"/>
    <s v="January"/>
    <x v="6"/>
    <x v="0"/>
    <x v="3"/>
    <x v="0"/>
    <n v="0.16"/>
    <n v="0.18179999999999999"/>
    <n v="0.74"/>
    <n v="0.1045"/>
    <x v="5"/>
    <x v="96"/>
    <n v="36"/>
  </r>
  <r>
    <n v="555"/>
    <x v="24"/>
    <s v="Winter"/>
    <s v="January"/>
    <x v="7"/>
    <x v="0"/>
    <x v="3"/>
    <x v="0"/>
    <n v="0.16"/>
    <n v="0.1515"/>
    <n v="0.74"/>
    <n v="0.22389999999999999"/>
    <x v="2"/>
    <x v="145"/>
    <n v="108"/>
  </r>
  <r>
    <n v="556"/>
    <x v="24"/>
    <s v="Winter"/>
    <s v="January"/>
    <x v="8"/>
    <x v="0"/>
    <x v="3"/>
    <x v="1"/>
    <n v="0.16"/>
    <n v="0.18179999999999999"/>
    <n v="0.74"/>
    <n v="0.1343"/>
    <x v="2"/>
    <x v="146"/>
    <n v="238"/>
  </r>
  <r>
    <n v="557"/>
    <x v="24"/>
    <s v="Winter"/>
    <s v="January"/>
    <x v="9"/>
    <x v="0"/>
    <x v="3"/>
    <x v="1"/>
    <n v="0.2"/>
    <n v="0.2273"/>
    <n v="0.64"/>
    <n v="8.9599999999999999E-2"/>
    <x v="22"/>
    <x v="120"/>
    <n v="144"/>
  </r>
  <r>
    <n v="558"/>
    <x v="24"/>
    <s v="Winter"/>
    <s v="January"/>
    <x v="10"/>
    <x v="0"/>
    <x v="3"/>
    <x v="1"/>
    <n v="0.22"/>
    <n v="0.2424"/>
    <n v="0.6"/>
    <n v="0.1045"/>
    <x v="15"/>
    <x v="47"/>
    <n v="55"/>
  </r>
  <r>
    <n v="559"/>
    <x v="24"/>
    <s v="Winter"/>
    <s v="January"/>
    <x v="11"/>
    <x v="0"/>
    <x v="3"/>
    <x v="1"/>
    <n v="0.24"/>
    <n v="0.2424"/>
    <n v="0.6"/>
    <n v="0.1343"/>
    <x v="15"/>
    <x v="11"/>
    <n v="61"/>
  </r>
  <r>
    <n v="560"/>
    <x v="24"/>
    <s v="Winter"/>
    <s v="January"/>
    <x v="12"/>
    <x v="0"/>
    <x v="3"/>
    <x v="1"/>
    <n v="0.26"/>
    <n v="0.28789999999999999"/>
    <n v="0.56000000000000005"/>
    <n v="8.9599999999999999E-2"/>
    <x v="27"/>
    <x v="66"/>
    <n v="106"/>
  </r>
  <r>
    <n v="561"/>
    <x v="24"/>
    <s v="Winter"/>
    <s v="January"/>
    <x v="13"/>
    <x v="0"/>
    <x v="3"/>
    <x v="1"/>
    <n v="0.26"/>
    <n v="0.2727"/>
    <n v="0.56000000000000005"/>
    <n v="0.1343"/>
    <x v="27"/>
    <x v="109"/>
    <n v="93"/>
  </r>
  <r>
    <n v="562"/>
    <x v="24"/>
    <s v="Winter"/>
    <s v="January"/>
    <x v="14"/>
    <x v="0"/>
    <x v="3"/>
    <x v="1"/>
    <n v="0.3"/>
    <n v="0.33329999999999999"/>
    <n v="0.45"/>
    <n v="0"/>
    <x v="16"/>
    <x v="77"/>
    <n v="68"/>
  </r>
  <r>
    <n v="563"/>
    <x v="24"/>
    <s v="Winter"/>
    <s v="January"/>
    <x v="15"/>
    <x v="0"/>
    <x v="3"/>
    <x v="1"/>
    <n v="0.32"/>
    <n v="0.34849999999999998"/>
    <n v="0.42"/>
    <n v="0"/>
    <x v="27"/>
    <x v="36"/>
    <n v="84"/>
  </r>
  <r>
    <n v="564"/>
    <x v="24"/>
    <s v="Winter"/>
    <s v="January"/>
    <x v="16"/>
    <x v="0"/>
    <x v="3"/>
    <x v="1"/>
    <n v="0.32"/>
    <n v="0.34849999999999998"/>
    <n v="0.42"/>
    <n v="0"/>
    <x v="24"/>
    <x v="46"/>
    <n v="116"/>
  </r>
  <r>
    <n v="565"/>
    <x v="24"/>
    <s v="Winter"/>
    <s v="January"/>
    <x v="17"/>
    <x v="0"/>
    <x v="3"/>
    <x v="0"/>
    <n v="0.3"/>
    <n v="0.33329999999999999"/>
    <n v="0.45"/>
    <n v="0"/>
    <x v="24"/>
    <x v="147"/>
    <n v="222"/>
  </r>
  <r>
    <n v="566"/>
    <x v="24"/>
    <s v="Winter"/>
    <s v="January"/>
    <x v="18"/>
    <x v="0"/>
    <x v="3"/>
    <x v="1"/>
    <n v="0.3"/>
    <n v="0.31819999999999998"/>
    <n v="0.49"/>
    <n v="8.9599999999999999E-2"/>
    <x v="18"/>
    <x v="148"/>
    <n v="225"/>
  </r>
  <r>
    <n v="567"/>
    <x v="24"/>
    <s v="Winter"/>
    <s v="January"/>
    <x v="19"/>
    <x v="0"/>
    <x v="3"/>
    <x v="1"/>
    <n v="0.26"/>
    <n v="0.2576"/>
    <n v="0.65"/>
    <n v="0.16420000000000001"/>
    <x v="23"/>
    <x v="149"/>
    <n v="146"/>
  </r>
  <r>
    <n v="568"/>
    <x v="24"/>
    <s v="Winter"/>
    <s v="January"/>
    <x v="20"/>
    <x v="0"/>
    <x v="3"/>
    <x v="0"/>
    <n v="0.24"/>
    <n v="0.2273"/>
    <n v="0.65"/>
    <n v="0.19400000000000001"/>
    <x v="19"/>
    <x v="145"/>
    <n v="119"/>
  </r>
  <r>
    <n v="569"/>
    <x v="24"/>
    <s v="Winter"/>
    <s v="January"/>
    <x v="21"/>
    <x v="0"/>
    <x v="3"/>
    <x v="0"/>
    <n v="0.24"/>
    <n v="0.2273"/>
    <n v="0.65"/>
    <n v="0.19400000000000001"/>
    <x v="2"/>
    <x v="71"/>
    <n v="45"/>
  </r>
  <r>
    <n v="570"/>
    <x v="24"/>
    <s v="Winter"/>
    <s v="January"/>
    <x v="22"/>
    <x v="0"/>
    <x v="3"/>
    <x v="0"/>
    <n v="0.22"/>
    <n v="0.2273"/>
    <n v="0.64"/>
    <n v="0.16420000000000001"/>
    <x v="17"/>
    <x v="47"/>
    <n v="53"/>
  </r>
  <r>
    <n v="571"/>
    <x v="24"/>
    <s v="Winter"/>
    <s v="January"/>
    <x v="23"/>
    <x v="0"/>
    <x v="3"/>
    <x v="1"/>
    <n v="0.22"/>
    <n v="0.2273"/>
    <n v="0.64"/>
    <n v="0.16420000000000001"/>
    <x v="0"/>
    <x v="53"/>
    <n v="40"/>
  </r>
  <r>
    <n v="572"/>
    <x v="25"/>
    <s v="Winter"/>
    <s v="January"/>
    <x v="0"/>
    <x v="0"/>
    <x v="4"/>
    <x v="1"/>
    <n v="0.22"/>
    <n v="0.2273"/>
    <n v="0.69"/>
    <n v="0.1343"/>
    <x v="0"/>
    <x v="88"/>
    <n v="17"/>
  </r>
  <r>
    <n v="573"/>
    <x v="25"/>
    <s v="Winter"/>
    <s v="January"/>
    <x v="1"/>
    <x v="0"/>
    <x v="4"/>
    <x v="1"/>
    <n v="0.24"/>
    <n v="0.2424"/>
    <n v="0.65"/>
    <n v="0.1343"/>
    <x v="3"/>
    <x v="34"/>
    <n v="5"/>
  </r>
  <r>
    <n v="574"/>
    <x v="25"/>
    <s v="Winter"/>
    <s v="January"/>
    <x v="2"/>
    <x v="0"/>
    <x v="4"/>
    <x v="2"/>
    <n v="0.22"/>
    <n v="0.2273"/>
    <n v="0.69"/>
    <n v="0.19400000000000001"/>
    <x v="0"/>
    <x v="7"/>
    <n v="10"/>
  </r>
  <r>
    <n v="575"/>
    <x v="25"/>
    <s v="Winter"/>
    <s v="January"/>
    <x v="5"/>
    <x v="0"/>
    <x v="4"/>
    <x v="2"/>
    <n v="0.2"/>
    <n v="0.18179999999999999"/>
    <n v="0.86"/>
    <n v="0.28360000000000002"/>
    <x v="3"/>
    <x v="4"/>
    <n v="1"/>
  </r>
  <r>
    <n v="576"/>
    <x v="25"/>
    <s v="Winter"/>
    <s v="January"/>
    <x v="6"/>
    <x v="0"/>
    <x v="4"/>
    <x v="2"/>
    <n v="0.2"/>
    <n v="0.18179999999999999"/>
    <n v="0.86"/>
    <n v="0.28360000000000002"/>
    <x v="3"/>
    <x v="21"/>
    <n v="8"/>
  </r>
  <r>
    <n v="577"/>
    <x v="25"/>
    <s v="Winter"/>
    <s v="January"/>
    <x v="7"/>
    <x v="0"/>
    <x v="4"/>
    <x v="2"/>
    <n v="0.22"/>
    <n v="0.21210000000000001"/>
    <n v="0.87"/>
    <n v="0.29849999999999999"/>
    <x v="5"/>
    <x v="31"/>
    <n v="30"/>
  </r>
  <r>
    <n v="578"/>
    <x v="25"/>
    <s v="Winter"/>
    <s v="January"/>
    <x v="8"/>
    <x v="0"/>
    <x v="4"/>
    <x v="2"/>
    <n v="0.22"/>
    <n v="0.21210000000000001"/>
    <n v="0.87"/>
    <n v="0.29849999999999999"/>
    <x v="0"/>
    <x v="94"/>
    <n v="72"/>
  </r>
  <r>
    <n v="579"/>
    <x v="25"/>
    <s v="Winter"/>
    <s v="January"/>
    <x v="9"/>
    <x v="0"/>
    <x v="4"/>
    <x v="2"/>
    <n v="0.22"/>
    <n v="0.21210000000000001"/>
    <n v="0.87"/>
    <n v="0.29849999999999999"/>
    <x v="0"/>
    <x v="11"/>
    <n v="58"/>
  </r>
  <r>
    <n v="580"/>
    <x v="25"/>
    <s v="Winter"/>
    <s v="January"/>
    <x v="10"/>
    <x v="0"/>
    <x v="4"/>
    <x v="2"/>
    <n v="0.22"/>
    <n v="0.21210000000000001"/>
    <n v="0.93"/>
    <n v="0.28360000000000002"/>
    <x v="4"/>
    <x v="16"/>
    <n v="28"/>
  </r>
  <r>
    <n v="581"/>
    <x v="25"/>
    <s v="Winter"/>
    <s v="January"/>
    <x v="11"/>
    <x v="0"/>
    <x v="4"/>
    <x v="2"/>
    <n v="0.22"/>
    <n v="0.19700000000000001"/>
    <n v="0.93"/>
    <n v="0.32840000000000003"/>
    <x v="15"/>
    <x v="96"/>
    <n v="41"/>
  </r>
  <r>
    <n v="582"/>
    <x v="25"/>
    <s v="Winter"/>
    <s v="January"/>
    <x v="12"/>
    <x v="0"/>
    <x v="4"/>
    <x v="2"/>
    <n v="0.22"/>
    <n v="0.19700000000000001"/>
    <n v="0.93"/>
    <n v="0.32840000000000003"/>
    <x v="18"/>
    <x v="40"/>
    <n v="48"/>
  </r>
  <r>
    <n v="583"/>
    <x v="25"/>
    <s v="Winter"/>
    <s v="January"/>
    <x v="13"/>
    <x v="0"/>
    <x v="4"/>
    <x v="2"/>
    <n v="0.22"/>
    <n v="0.19700000000000001"/>
    <n v="0.93"/>
    <n v="0.32840000000000003"/>
    <x v="17"/>
    <x v="30"/>
    <n v="47"/>
  </r>
  <r>
    <n v="584"/>
    <x v="25"/>
    <s v="Winter"/>
    <s v="January"/>
    <x v="14"/>
    <x v="0"/>
    <x v="4"/>
    <x v="2"/>
    <n v="0.22"/>
    <n v="0.19700000000000001"/>
    <n v="0.93"/>
    <n v="0.35820000000000002"/>
    <x v="3"/>
    <x v="49"/>
    <n v="36"/>
  </r>
  <r>
    <n v="585"/>
    <x v="25"/>
    <s v="Winter"/>
    <s v="January"/>
    <x v="15"/>
    <x v="0"/>
    <x v="4"/>
    <x v="2"/>
    <n v="0.22"/>
    <n v="0.18179999999999999"/>
    <n v="0.93"/>
    <n v="0.4627"/>
    <x v="5"/>
    <x v="76"/>
    <n v="43"/>
  </r>
  <r>
    <n v="586"/>
    <x v="25"/>
    <s v="Winter"/>
    <s v="January"/>
    <x v="16"/>
    <x v="0"/>
    <x v="4"/>
    <x v="3"/>
    <n v="0.22"/>
    <n v="0.19700000000000001"/>
    <n v="0.93"/>
    <n v="0.32840000000000003"/>
    <x v="5"/>
    <x v="96"/>
    <n v="36"/>
  </r>
  <r>
    <n v="587"/>
    <x v="25"/>
    <s v="Winter"/>
    <s v="January"/>
    <x v="17"/>
    <x v="0"/>
    <x v="4"/>
    <x v="2"/>
    <n v="0.2"/>
    <n v="0.18179999999999999"/>
    <n v="0.93"/>
    <n v="0.35820000000000002"/>
    <x v="3"/>
    <x v="16"/>
    <n v="26"/>
  </r>
  <r>
    <n v="588"/>
    <x v="26"/>
    <s v="Winter"/>
    <s v="January"/>
    <x v="16"/>
    <x v="0"/>
    <x v="5"/>
    <x v="0"/>
    <n v="0.22"/>
    <n v="0.2273"/>
    <n v="0.55000000000000004"/>
    <n v="0.19400000000000001"/>
    <x v="5"/>
    <x v="140"/>
    <n v="24"/>
  </r>
  <r>
    <n v="589"/>
    <x v="26"/>
    <s v="Winter"/>
    <s v="January"/>
    <x v="17"/>
    <x v="0"/>
    <x v="5"/>
    <x v="0"/>
    <n v="0.22"/>
    <n v="0.2424"/>
    <n v="0.55000000000000004"/>
    <n v="0.1045"/>
    <x v="4"/>
    <x v="70"/>
    <n v="84"/>
  </r>
  <r>
    <n v="590"/>
    <x v="26"/>
    <s v="Winter"/>
    <s v="January"/>
    <x v="18"/>
    <x v="0"/>
    <x v="5"/>
    <x v="0"/>
    <n v="0.2"/>
    <n v="0.2273"/>
    <n v="0.69"/>
    <n v="8.9599999999999999E-2"/>
    <x v="0"/>
    <x v="143"/>
    <n v="104"/>
  </r>
  <r>
    <n v="591"/>
    <x v="26"/>
    <s v="Winter"/>
    <s v="January"/>
    <x v="19"/>
    <x v="0"/>
    <x v="5"/>
    <x v="0"/>
    <n v="0.2"/>
    <n v="0.2273"/>
    <n v="0.69"/>
    <n v="8.9599999999999999E-2"/>
    <x v="0"/>
    <x v="83"/>
    <n v="79"/>
  </r>
  <r>
    <n v="592"/>
    <x v="26"/>
    <s v="Winter"/>
    <s v="January"/>
    <x v="20"/>
    <x v="0"/>
    <x v="5"/>
    <x v="0"/>
    <n v="0.18"/>
    <n v="0.21210000000000001"/>
    <n v="0.74"/>
    <n v="8.9599999999999999E-2"/>
    <x v="17"/>
    <x v="11"/>
    <n v="59"/>
  </r>
  <r>
    <n v="593"/>
    <x v="26"/>
    <s v="Winter"/>
    <s v="January"/>
    <x v="21"/>
    <x v="0"/>
    <x v="5"/>
    <x v="0"/>
    <n v="0.18"/>
    <n v="0.21210000000000001"/>
    <n v="0.74"/>
    <n v="8.9599999999999999E-2"/>
    <x v="4"/>
    <x v="49"/>
    <n v="38"/>
  </r>
  <r>
    <n v="594"/>
    <x v="26"/>
    <s v="Winter"/>
    <s v="January"/>
    <x v="22"/>
    <x v="0"/>
    <x v="5"/>
    <x v="0"/>
    <n v="0.18"/>
    <n v="0.21210000000000001"/>
    <n v="0.74"/>
    <n v="8.9599999999999999E-2"/>
    <x v="3"/>
    <x v="2"/>
    <n v="27"/>
  </r>
  <r>
    <n v="595"/>
    <x v="26"/>
    <s v="Winter"/>
    <s v="January"/>
    <x v="23"/>
    <x v="0"/>
    <x v="5"/>
    <x v="0"/>
    <n v="0.18"/>
    <n v="0.19700000000000001"/>
    <n v="0.8"/>
    <n v="0.16420000000000001"/>
    <x v="3"/>
    <x v="20"/>
    <n v="16"/>
  </r>
  <r>
    <n v="596"/>
    <x v="27"/>
    <s v="Winter"/>
    <s v="January"/>
    <x v="0"/>
    <x v="0"/>
    <x v="6"/>
    <x v="1"/>
    <n v="0.2"/>
    <n v="0.21210000000000001"/>
    <n v="0.75"/>
    <n v="0.1343"/>
    <x v="3"/>
    <x v="33"/>
    <n v="9"/>
  </r>
  <r>
    <n v="597"/>
    <x v="27"/>
    <s v="Winter"/>
    <s v="January"/>
    <x v="1"/>
    <x v="0"/>
    <x v="6"/>
    <x v="1"/>
    <n v="0.2"/>
    <n v="0.21210000000000001"/>
    <n v="0.75"/>
    <n v="0.1343"/>
    <x v="5"/>
    <x v="6"/>
    <n v="3"/>
  </r>
  <r>
    <n v="598"/>
    <x v="27"/>
    <s v="Winter"/>
    <s v="January"/>
    <x v="2"/>
    <x v="0"/>
    <x v="6"/>
    <x v="1"/>
    <n v="0.2"/>
    <n v="0.21210000000000001"/>
    <n v="0.75"/>
    <n v="0.16420000000000001"/>
    <x v="3"/>
    <x v="6"/>
    <n v="2"/>
  </r>
  <r>
    <n v="599"/>
    <x v="27"/>
    <s v="Winter"/>
    <s v="January"/>
    <x v="3"/>
    <x v="0"/>
    <x v="6"/>
    <x v="1"/>
    <n v="0.2"/>
    <n v="0.2273"/>
    <n v="0.75"/>
    <n v="0.1045"/>
    <x v="5"/>
    <x v="5"/>
    <n v="1"/>
  </r>
  <r>
    <n v="600"/>
    <x v="27"/>
    <s v="Winter"/>
    <s v="January"/>
    <x v="5"/>
    <x v="0"/>
    <x v="6"/>
    <x v="1"/>
    <n v="0.18"/>
    <n v="0.21210000000000001"/>
    <n v="0.8"/>
    <n v="0.1045"/>
    <x v="3"/>
    <x v="22"/>
    <n v="4"/>
  </r>
  <r>
    <n v="601"/>
    <x v="27"/>
    <s v="Winter"/>
    <s v="January"/>
    <x v="6"/>
    <x v="0"/>
    <x v="6"/>
    <x v="1"/>
    <n v="0.18"/>
    <n v="0.19700000000000001"/>
    <n v="0.8"/>
    <n v="0.1343"/>
    <x v="3"/>
    <x v="20"/>
    <n v="16"/>
  </r>
  <r>
    <n v="602"/>
    <x v="27"/>
    <s v="Winter"/>
    <s v="January"/>
    <x v="7"/>
    <x v="0"/>
    <x v="6"/>
    <x v="1"/>
    <n v="0.16"/>
    <n v="0.19700000000000001"/>
    <n v="0.86"/>
    <n v="8.9599999999999999E-2"/>
    <x v="4"/>
    <x v="29"/>
    <n v="60"/>
  </r>
  <r>
    <n v="603"/>
    <x v="27"/>
    <s v="Winter"/>
    <s v="January"/>
    <x v="8"/>
    <x v="0"/>
    <x v="6"/>
    <x v="1"/>
    <n v="0.16"/>
    <n v="0.19700000000000001"/>
    <n v="0.86"/>
    <n v="8.9599999999999999E-2"/>
    <x v="4"/>
    <x v="119"/>
    <n v="157"/>
  </r>
  <r>
    <n v="604"/>
    <x v="27"/>
    <s v="Winter"/>
    <s v="January"/>
    <x v="9"/>
    <x v="0"/>
    <x v="6"/>
    <x v="2"/>
    <n v="0.18"/>
    <n v="0.21210000000000001"/>
    <n v="0.86"/>
    <n v="8.9599999999999999E-2"/>
    <x v="15"/>
    <x v="73"/>
    <n v="101"/>
  </r>
  <r>
    <n v="605"/>
    <x v="27"/>
    <s v="Winter"/>
    <s v="January"/>
    <x v="10"/>
    <x v="0"/>
    <x v="6"/>
    <x v="2"/>
    <n v="0.18"/>
    <n v="0.21210000000000001"/>
    <n v="0.86"/>
    <n v="0.1045"/>
    <x v="3"/>
    <x v="47"/>
    <n v="49"/>
  </r>
  <r>
    <n v="606"/>
    <x v="27"/>
    <s v="Winter"/>
    <s v="January"/>
    <x v="11"/>
    <x v="0"/>
    <x v="6"/>
    <x v="2"/>
    <n v="0.18"/>
    <n v="0.21210000000000001"/>
    <n v="0.93"/>
    <n v="0.1045"/>
    <x v="3"/>
    <x v="10"/>
    <n v="30"/>
  </r>
  <r>
    <n v="607"/>
    <x v="27"/>
    <s v="Winter"/>
    <s v="January"/>
    <x v="12"/>
    <x v="0"/>
    <x v="6"/>
    <x v="2"/>
    <n v="0.18"/>
    <n v="0.21210000000000001"/>
    <n v="0.93"/>
    <n v="0.1045"/>
    <x v="5"/>
    <x v="95"/>
    <n v="29"/>
  </r>
  <r>
    <n v="608"/>
    <x v="27"/>
    <s v="Winter"/>
    <s v="January"/>
    <x v="13"/>
    <x v="0"/>
    <x v="6"/>
    <x v="2"/>
    <n v="0.18"/>
    <n v="0.21210000000000001"/>
    <n v="0.93"/>
    <n v="0.1045"/>
    <x v="3"/>
    <x v="17"/>
    <n v="31"/>
  </r>
  <r>
    <n v="609"/>
    <x v="27"/>
    <s v="Winter"/>
    <s v="January"/>
    <x v="14"/>
    <x v="0"/>
    <x v="6"/>
    <x v="2"/>
    <n v="0.22"/>
    <n v="0.2727"/>
    <n v="0.8"/>
    <n v="0"/>
    <x v="4"/>
    <x v="49"/>
    <n v="38"/>
  </r>
  <r>
    <n v="610"/>
    <x v="27"/>
    <s v="Winter"/>
    <s v="January"/>
    <x v="15"/>
    <x v="0"/>
    <x v="6"/>
    <x v="1"/>
    <n v="0.2"/>
    <n v="0.2576"/>
    <n v="0.86"/>
    <n v="0"/>
    <x v="5"/>
    <x v="71"/>
    <n v="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x v="0"/>
    <x v="0"/>
    <b v="0"/>
    <n v="16"/>
    <n v="3"/>
    <n v="13"/>
    <x v="0"/>
    <x v="0"/>
    <x v="0"/>
    <x v="0"/>
    <n v="1"/>
  </r>
  <r>
    <n v="2"/>
    <x v="0"/>
    <x v="0"/>
    <b v="0"/>
    <n v="40"/>
    <n v="8"/>
    <n v="32"/>
    <x v="0"/>
    <x v="0"/>
    <x v="0"/>
    <x v="0"/>
    <n v="1"/>
  </r>
  <r>
    <n v="3"/>
    <x v="0"/>
    <x v="0"/>
    <b v="0"/>
    <n v="32"/>
    <n v="5"/>
    <n v="27"/>
    <x v="0"/>
    <x v="0"/>
    <x v="0"/>
    <x v="0"/>
    <n v="1"/>
  </r>
  <r>
    <n v="4"/>
    <x v="0"/>
    <x v="0"/>
    <b v="0"/>
    <n v="13"/>
    <n v="3"/>
    <n v="10"/>
    <x v="0"/>
    <x v="0"/>
    <x v="0"/>
    <x v="0"/>
    <n v="1"/>
  </r>
  <r>
    <n v="5"/>
    <x v="0"/>
    <x v="0"/>
    <b v="0"/>
    <n v="1"/>
    <n v="0"/>
    <n v="1"/>
    <x v="0"/>
    <x v="0"/>
    <x v="0"/>
    <x v="0"/>
    <n v="1"/>
  </r>
  <r>
    <n v="6"/>
    <x v="0"/>
    <x v="0"/>
    <b v="0"/>
    <n v="1"/>
    <n v="0"/>
    <n v="1"/>
    <x v="0"/>
    <x v="0"/>
    <x v="0"/>
    <x v="1"/>
    <n v="2"/>
  </r>
  <r>
    <n v="7"/>
    <x v="0"/>
    <x v="0"/>
    <b v="0"/>
    <n v="2"/>
    <n v="2"/>
    <n v="0"/>
    <x v="0"/>
    <x v="0"/>
    <x v="0"/>
    <x v="0"/>
    <n v="1"/>
  </r>
  <r>
    <n v="8"/>
    <x v="0"/>
    <x v="0"/>
    <b v="0"/>
    <n v="3"/>
    <n v="1"/>
    <n v="2"/>
    <x v="0"/>
    <x v="0"/>
    <x v="0"/>
    <x v="0"/>
    <n v="1"/>
  </r>
  <r>
    <n v="9"/>
    <x v="0"/>
    <x v="0"/>
    <b v="0"/>
    <n v="8"/>
    <n v="1"/>
    <n v="7"/>
    <x v="0"/>
    <x v="0"/>
    <x v="0"/>
    <x v="0"/>
    <n v="1"/>
  </r>
  <r>
    <n v="10"/>
    <x v="0"/>
    <x v="0"/>
    <b v="0"/>
    <n v="14"/>
    <n v="8"/>
    <n v="6"/>
    <x v="0"/>
    <x v="0"/>
    <x v="0"/>
    <x v="0"/>
    <n v="1"/>
  </r>
  <r>
    <n v="11"/>
    <x v="0"/>
    <x v="0"/>
    <b v="0"/>
    <n v="36"/>
    <n v="12"/>
    <n v="24"/>
    <x v="0"/>
    <x v="0"/>
    <x v="0"/>
    <x v="0"/>
    <n v="1"/>
  </r>
  <r>
    <n v="12"/>
    <x v="0"/>
    <x v="0"/>
    <b v="0"/>
    <n v="56"/>
    <n v="26"/>
    <n v="30"/>
    <x v="0"/>
    <x v="0"/>
    <x v="0"/>
    <x v="0"/>
    <n v="1"/>
  </r>
  <r>
    <n v="13"/>
    <x v="0"/>
    <x v="0"/>
    <b v="0"/>
    <n v="84"/>
    <n v="29"/>
    <n v="55"/>
    <x v="0"/>
    <x v="0"/>
    <x v="0"/>
    <x v="0"/>
    <n v="1"/>
  </r>
  <r>
    <n v="14"/>
    <x v="0"/>
    <x v="0"/>
    <b v="0"/>
    <n v="94"/>
    <n v="47"/>
    <n v="47"/>
    <x v="0"/>
    <x v="0"/>
    <x v="0"/>
    <x v="1"/>
    <n v="2"/>
  </r>
  <r>
    <n v="15"/>
    <x v="0"/>
    <x v="0"/>
    <b v="0"/>
    <n v="106"/>
    <n v="35"/>
    <n v="71"/>
    <x v="0"/>
    <x v="0"/>
    <x v="1"/>
    <x v="1"/>
    <n v="2"/>
  </r>
  <r>
    <n v="16"/>
    <x v="0"/>
    <x v="0"/>
    <b v="0"/>
    <n v="110"/>
    <n v="40"/>
    <n v="70"/>
    <x v="0"/>
    <x v="0"/>
    <x v="1"/>
    <x v="1"/>
    <n v="2"/>
  </r>
  <r>
    <n v="17"/>
    <x v="0"/>
    <x v="0"/>
    <b v="0"/>
    <n v="93"/>
    <n v="41"/>
    <n v="52"/>
    <x v="0"/>
    <x v="0"/>
    <x v="0"/>
    <x v="1"/>
    <n v="2"/>
  </r>
  <r>
    <n v="18"/>
    <x v="0"/>
    <x v="0"/>
    <b v="0"/>
    <n v="67"/>
    <n v="15"/>
    <n v="52"/>
    <x v="0"/>
    <x v="0"/>
    <x v="0"/>
    <x v="1"/>
    <n v="2"/>
  </r>
  <r>
    <n v="19"/>
    <x v="0"/>
    <x v="0"/>
    <b v="0"/>
    <n v="35"/>
    <n v="9"/>
    <n v="26"/>
    <x v="0"/>
    <x v="0"/>
    <x v="0"/>
    <x v="2"/>
    <n v="3"/>
  </r>
  <r>
    <n v="20"/>
    <x v="0"/>
    <x v="0"/>
    <b v="0"/>
    <n v="37"/>
    <n v="6"/>
    <n v="31"/>
    <x v="0"/>
    <x v="0"/>
    <x v="0"/>
    <x v="2"/>
    <n v="3"/>
  </r>
  <r>
    <n v="21"/>
    <x v="0"/>
    <x v="0"/>
    <b v="0"/>
    <n v="36"/>
    <n v="11"/>
    <n v="25"/>
    <x v="0"/>
    <x v="0"/>
    <x v="0"/>
    <x v="1"/>
    <n v="2"/>
  </r>
  <r>
    <n v="22"/>
    <x v="0"/>
    <x v="0"/>
    <b v="0"/>
    <n v="34"/>
    <n v="3"/>
    <n v="31"/>
    <x v="0"/>
    <x v="0"/>
    <x v="0"/>
    <x v="1"/>
    <n v="2"/>
  </r>
  <r>
    <n v="23"/>
    <x v="0"/>
    <x v="0"/>
    <b v="0"/>
    <n v="28"/>
    <n v="11"/>
    <n v="17"/>
    <x v="0"/>
    <x v="0"/>
    <x v="0"/>
    <x v="1"/>
    <n v="2"/>
  </r>
  <r>
    <n v="24"/>
    <x v="0"/>
    <x v="0"/>
    <b v="0"/>
    <n v="39"/>
    <n v="15"/>
    <n v="24"/>
    <x v="0"/>
    <x v="0"/>
    <x v="0"/>
    <x v="1"/>
    <n v="2"/>
  </r>
  <r>
    <n v="25"/>
    <x v="1"/>
    <x v="1"/>
    <b v="0"/>
    <n v="17"/>
    <n v="4"/>
    <n v="13"/>
    <x v="0"/>
    <x v="0"/>
    <x v="0"/>
    <x v="1"/>
    <n v="2"/>
  </r>
  <r>
    <n v="26"/>
    <x v="1"/>
    <x v="1"/>
    <b v="0"/>
    <n v="17"/>
    <n v="1"/>
    <n v="16"/>
    <x v="0"/>
    <x v="0"/>
    <x v="0"/>
    <x v="1"/>
    <n v="2"/>
  </r>
  <r>
    <n v="27"/>
    <x v="1"/>
    <x v="1"/>
    <b v="0"/>
    <n v="9"/>
    <n v="1"/>
    <n v="8"/>
    <x v="0"/>
    <x v="0"/>
    <x v="0"/>
    <x v="1"/>
    <n v="2"/>
  </r>
  <r>
    <n v="28"/>
    <x v="1"/>
    <x v="1"/>
    <b v="0"/>
    <n v="6"/>
    <n v="2"/>
    <n v="4"/>
    <x v="0"/>
    <x v="0"/>
    <x v="0"/>
    <x v="1"/>
    <n v="2"/>
  </r>
  <r>
    <n v="29"/>
    <x v="1"/>
    <x v="1"/>
    <b v="0"/>
    <n v="3"/>
    <n v="2"/>
    <n v="1"/>
    <x v="0"/>
    <x v="0"/>
    <x v="0"/>
    <x v="1"/>
    <n v="2"/>
  </r>
  <r>
    <n v="30"/>
    <x v="1"/>
    <x v="1"/>
    <b v="0"/>
    <n v="2"/>
    <n v="0"/>
    <n v="2"/>
    <x v="0"/>
    <x v="0"/>
    <x v="0"/>
    <x v="2"/>
    <n v="3"/>
  </r>
  <r>
    <n v="31"/>
    <x v="1"/>
    <x v="1"/>
    <b v="0"/>
    <n v="1"/>
    <n v="0"/>
    <n v="1"/>
    <x v="0"/>
    <x v="0"/>
    <x v="0"/>
    <x v="1"/>
    <n v="2"/>
  </r>
  <r>
    <n v="32"/>
    <x v="1"/>
    <x v="1"/>
    <b v="0"/>
    <n v="8"/>
    <n v="0"/>
    <n v="8"/>
    <x v="0"/>
    <x v="0"/>
    <x v="0"/>
    <x v="2"/>
    <n v="3"/>
  </r>
  <r>
    <n v="33"/>
    <x v="1"/>
    <x v="1"/>
    <b v="0"/>
    <n v="20"/>
    <n v="1"/>
    <n v="19"/>
    <x v="0"/>
    <x v="0"/>
    <x v="0"/>
    <x v="1"/>
    <n v="2"/>
  </r>
  <r>
    <n v="34"/>
    <x v="1"/>
    <x v="1"/>
    <b v="0"/>
    <n v="53"/>
    <n v="7"/>
    <n v="46"/>
    <x v="0"/>
    <x v="0"/>
    <x v="0"/>
    <x v="1"/>
    <n v="2"/>
  </r>
  <r>
    <n v="35"/>
    <x v="1"/>
    <x v="1"/>
    <b v="0"/>
    <n v="70"/>
    <n v="16"/>
    <n v="54"/>
    <x v="0"/>
    <x v="0"/>
    <x v="0"/>
    <x v="1"/>
    <n v="2"/>
  </r>
  <r>
    <n v="36"/>
    <x v="1"/>
    <x v="1"/>
    <b v="0"/>
    <n v="93"/>
    <n v="20"/>
    <n v="73"/>
    <x v="0"/>
    <x v="0"/>
    <x v="0"/>
    <x v="1"/>
    <n v="2"/>
  </r>
  <r>
    <n v="37"/>
    <x v="1"/>
    <x v="1"/>
    <b v="0"/>
    <n v="75"/>
    <n v="11"/>
    <n v="64"/>
    <x v="0"/>
    <x v="0"/>
    <x v="0"/>
    <x v="1"/>
    <n v="2"/>
  </r>
  <r>
    <n v="38"/>
    <x v="1"/>
    <x v="1"/>
    <b v="0"/>
    <n v="59"/>
    <n v="4"/>
    <n v="55"/>
    <x v="0"/>
    <x v="0"/>
    <x v="0"/>
    <x v="2"/>
    <n v="3"/>
  </r>
  <r>
    <n v="39"/>
    <x v="1"/>
    <x v="1"/>
    <b v="0"/>
    <n v="74"/>
    <n v="19"/>
    <n v="55"/>
    <x v="0"/>
    <x v="0"/>
    <x v="0"/>
    <x v="2"/>
    <n v="3"/>
  </r>
  <r>
    <n v="40"/>
    <x v="1"/>
    <x v="1"/>
    <b v="0"/>
    <n v="76"/>
    <n v="9"/>
    <n v="67"/>
    <x v="0"/>
    <x v="0"/>
    <x v="0"/>
    <x v="2"/>
    <n v="3"/>
  </r>
  <r>
    <n v="41"/>
    <x v="1"/>
    <x v="1"/>
    <b v="0"/>
    <n v="65"/>
    <n v="7"/>
    <n v="58"/>
    <x v="0"/>
    <x v="0"/>
    <x v="0"/>
    <x v="0"/>
    <n v="1"/>
  </r>
  <r>
    <n v="42"/>
    <x v="1"/>
    <x v="1"/>
    <b v="0"/>
    <n v="53"/>
    <n v="10"/>
    <n v="43"/>
    <x v="0"/>
    <x v="0"/>
    <x v="0"/>
    <x v="1"/>
    <n v="2"/>
  </r>
  <r>
    <n v="43"/>
    <x v="1"/>
    <x v="1"/>
    <b v="0"/>
    <n v="30"/>
    <n v="1"/>
    <n v="29"/>
    <x v="0"/>
    <x v="0"/>
    <x v="0"/>
    <x v="0"/>
    <n v="1"/>
  </r>
  <r>
    <n v="44"/>
    <x v="1"/>
    <x v="1"/>
    <b v="0"/>
    <n v="22"/>
    <n v="5"/>
    <n v="17"/>
    <x v="0"/>
    <x v="0"/>
    <x v="0"/>
    <x v="0"/>
    <n v="1"/>
  </r>
  <r>
    <n v="45"/>
    <x v="1"/>
    <x v="1"/>
    <b v="0"/>
    <n v="31"/>
    <n v="11"/>
    <n v="20"/>
    <x v="0"/>
    <x v="0"/>
    <x v="0"/>
    <x v="0"/>
    <n v="1"/>
  </r>
  <r>
    <n v="46"/>
    <x v="1"/>
    <x v="1"/>
    <b v="0"/>
    <n v="9"/>
    <n v="0"/>
    <n v="9"/>
    <x v="0"/>
    <x v="0"/>
    <x v="0"/>
    <x v="0"/>
    <n v="1"/>
  </r>
  <r>
    <n v="47"/>
    <x v="1"/>
    <x v="1"/>
    <b v="0"/>
    <n v="8"/>
    <n v="0"/>
    <n v="8"/>
    <x v="0"/>
    <x v="0"/>
    <x v="0"/>
    <x v="0"/>
    <n v="1"/>
  </r>
  <r>
    <n v="48"/>
    <x v="2"/>
    <x v="2"/>
    <b v="0"/>
    <n v="5"/>
    <n v="0"/>
    <n v="5"/>
    <x v="1"/>
    <x v="0"/>
    <x v="0"/>
    <x v="0"/>
    <n v="1"/>
  </r>
  <r>
    <n v="49"/>
    <x v="2"/>
    <x v="2"/>
    <b v="0"/>
    <n v="2"/>
    <n v="0"/>
    <n v="2"/>
    <x v="1"/>
    <x v="0"/>
    <x v="0"/>
    <x v="0"/>
    <n v="1"/>
  </r>
  <r>
    <n v="50"/>
    <x v="2"/>
    <x v="2"/>
    <b v="0"/>
    <n v="1"/>
    <n v="0"/>
    <n v="1"/>
    <x v="1"/>
    <x v="0"/>
    <x v="0"/>
    <x v="0"/>
    <n v="1"/>
  </r>
  <r>
    <n v="51"/>
    <x v="2"/>
    <x v="2"/>
    <b v="0"/>
    <n v="3"/>
    <n v="0"/>
    <n v="3"/>
    <x v="1"/>
    <x v="0"/>
    <x v="0"/>
    <x v="0"/>
    <n v="1"/>
  </r>
  <r>
    <n v="52"/>
    <x v="2"/>
    <x v="2"/>
    <b v="0"/>
    <n v="30"/>
    <n v="0"/>
    <n v="30"/>
    <x v="1"/>
    <x v="0"/>
    <x v="0"/>
    <x v="0"/>
    <n v="1"/>
  </r>
  <r>
    <n v="53"/>
    <x v="2"/>
    <x v="2"/>
    <b v="0"/>
    <n v="64"/>
    <n v="1"/>
    <n v="63"/>
    <x v="1"/>
    <x v="0"/>
    <x v="0"/>
    <x v="0"/>
    <n v="1"/>
  </r>
  <r>
    <n v="54"/>
    <x v="2"/>
    <x v="2"/>
    <b v="0"/>
    <n v="154"/>
    <n v="1"/>
    <n v="153"/>
    <x v="1"/>
    <x v="0"/>
    <x v="2"/>
    <x v="0"/>
    <n v="1"/>
  </r>
  <r>
    <n v="55"/>
    <x v="2"/>
    <x v="2"/>
    <b v="0"/>
    <n v="88"/>
    <n v="7"/>
    <n v="81"/>
    <x v="1"/>
    <x v="0"/>
    <x v="0"/>
    <x v="0"/>
    <n v="1"/>
  </r>
  <r>
    <n v="56"/>
    <x v="2"/>
    <x v="2"/>
    <b v="0"/>
    <n v="44"/>
    <n v="11"/>
    <n v="33"/>
    <x v="1"/>
    <x v="0"/>
    <x v="0"/>
    <x v="0"/>
    <n v="1"/>
  </r>
  <r>
    <n v="57"/>
    <x v="2"/>
    <x v="2"/>
    <b v="0"/>
    <n v="51"/>
    <n v="10"/>
    <n v="41"/>
    <x v="1"/>
    <x v="0"/>
    <x v="0"/>
    <x v="0"/>
    <n v="1"/>
  </r>
  <r>
    <n v="58"/>
    <x v="2"/>
    <x v="2"/>
    <b v="0"/>
    <n v="61"/>
    <n v="13"/>
    <n v="48"/>
    <x v="1"/>
    <x v="0"/>
    <x v="0"/>
    <x v="0"/>
    <n v="1"/>
  </r>
  <r>
    <n v="59"/>
    <x v="2"/>
    <x v="2"/>
    <b v="0"/>
    <n v="61"/>
    <n v="8"/>
    <n v="53"/>
    <x v="1"/>
    <x v="0"/>
    <x v="0"/>
    <x v="0"/>
    <n v="1"/>
  </r>
  <r>
    <n v="60"/>
    <x v="2"/>
    <x v="2"/>
    <b v="0"/>
    <n v="77"/>
    <n v="11"/>
    <n v="66"/>
    <x v="1"/>
    <x v="0"/>
    <x v="0"/>
    <x v="0"/>
    <n v="1"/>
  </r>
  <r>
    <n v="61"/>
    <x v="2"/>
    <x v="2"/>
    <b v="0"/>
    <n v="72"/>
    <n v="14"/>
    <n v="58"/>
    <x v="1"/>
    <x v="0"/>
    <x v="0"/>
    <x v="0"/>
    <n v="1"/>
  </r>
  <r>
    <n v="62"/>
    <x v="2"/>
    <x v="2"/>
    <b v="0"/>
    <n v="76"/>
    <n v="9"/>
    <n v="67"/>
    <x v="1"/>
    <x v="0"/>
    <x v="0"/>
    <x v="0"/>
    <n v="1"/>
  </r>
  <r>
    <n v="63"/>
    <x v="2"/>
    <x v="2"/>
    <b v="0"/>
    <n v="157"/>
    <n v="11"/>
    <n v="146"/>
    <x v="1"/>
    <x v="0"/>
    <x v="2"/>
    <x v="0"/>
    <n v="1"/>
  </r>
  <r>
    <n v="64"/>
    <x v="2"/>
    <x v="2"/>
    <b v="0"/>
    <n v="157"/>
    <n v="9"/>
    <n v="148"/>
    <x v="1"/>
    <x v="0"/>
    <x v="2"/>
    <x v="0"/>
    <n v="1"/>
  </r>
  <r>
    <n v="65"/>
    <x v="2"/>
    <x v="2"/>
    <b v="0"/>
    <n v="110"/>
    <n v="8"/>
    <n v="102"/>
    <x v="1"/>
    <x v="0"/>
    <x v="1"/>
    <x v="0"/>
    <n v="1"/>
  </r>
  <r>
    <n v="66"/>
    <x v="2"/>
    <x v="2"/>
    <b v="0"/>
    <n v="52"/>
    <n v="3"/>
    <n v="49"/>
    <x v="1"/>
    <x v="0"/>
    <x v="0"/>
    <x v="0"/>
    <n v="1"/>
  </r>
  <r>
    <n v="67"/>
    <x v="2"/>
    <x v="2"/>
    <b v="0"/>
    <n v="52"/>
    <n v="3"/>
    <n v="49"/>
    <x v="1"/>
    <x v="0"/>
    <x v="0"/>
    <x v="0"/>
    <n v="1"/>
  </r>
  <r>
    <n v="68"/>
    <x v="2"/>
    <x v="2"/>
    <b v="0"/>
    <n v="20"/>
    <n v="0"/>
    <n v="20"/>
    <x v="1"/>
    <x v="0"/>
    <x v="0"/>
    <x v="0"/>
    <n v="1"/>
  </r>
  <r>
    <n v="69"/>
    <x v="2"/>
    <x v="2"/>
    <b v="0"/>
    <n v="12"/>
    <n v="1"/>
    <n v="11"/>
    <x v="1"/>
    <x v="0"/>
    <x v="0"/>
    <x v="0"/>
    <n v="1"/>
  </r>
  <r>
    <n v="70"/>
    <x v="3"/>
    <x v="3"/>
    <b v="0"/>
    <n v="5"/>
    <n v="0"/>
    <n v="5"/>
    <x v="1"/>
    <x v="0"/>
    <x v="0"/>
    <x v="0"/>
    <n v="1"/>
  </r>
  <r>
    <n v="71"/>
    <x v="3"/>
    <x v="3"/>
    <b v="0"/>
    <n v="2"/>
    <n v="0"/>
    <n v="2"/>
    <x v="1"/>
    <x v="0"/>
    <x v="0"/>
    <x v="0"/>
    <n v="1"/>
  </r>
  <r>
    <n v="72"/>
    <x v="3"/>
    <x v="3"/>
    <b v="0"/>
    <n v="1"/>
    <n v="0"/>
    <n v="1"/>
    <x v="1"/>
    <x v="0"/>
    <x v="0"/>
    <x v="0"/>
    <n v="1"/>
  </r>
  <r>
    <n v="73"/>
    <x v="3"/>
    <x v="3"/>
    <b v="0"/>
    <n v="2"/>
    <n v="0"/>
    <n v="2"/>
    <x v="1"/>
    <x v="0"/>
    <x v="0"/>
    <x v="0"/>
    <n v="1"/>
  </r>
  <r>
    <n v="74"/>
    <x v="3"/>
    <x v="3"/>
    <b v="0"/>
    <n v="4"/>
    <n v="0"/>
    <n v="4"/>
    <x v="1"/>
    <x v="0"/>
    <x v="0"/>
    <x v="0"/>
    <n v="1"/>
  </r>
  <r>
    <n v="75"/>
    <x v="3"/>
    <x v="3"/>
    <b v="0"/>
    <n v="36"/>
    <n v="0"/>
    <n v="36"/>
    <x v="1"/>
    <x v="0"/>
    <x v="0"/>
    <x v="0"/>
    <n v="1"/>
  </r>
  <r>
    <n v="76"/>
    <x v="3"/>
    <x v="3"/>
    <b v="0"/>
    <n v="94"/>
    <n v="2"/>
    <n v="92"/>
    <x v="1"/>
    <x v="0"/>
    <x v="0"/>
    <x v="0"/>
    <n v="1"/>
  </r>
  <r>
    <n v="77"/>
    <x v="3"/>
    <x v="3"/>
    <b v="0"/>
    <n v="179"/>
    <n v="2"/>
    <n v="177"/>
    <x v="1"/>
    <x v="0"/>
    <x v="2"/>
    <x v="0"/>
    <n v="1"/>
  </r>
  <r>
    <n v="78"/>
    <x v="3"/>
    <x v="3"/>
    <b v="0"/>
    <n v="100"/>
    <n v="2"/>
    <n v="98"/>
    <x v="1"/>
    <x v="0"/>
    <x v="1"/>
    <x v="0"/>
    <n v="1"/>
  </r>
  <r>
    <n v="79"/>
    <x v="3"/>
    <x v="3"/>
    <b v="0"/>
    <n v="42"/>
    <n v="5"/>
    <n v="37"/>
    <x v="1"/>
    <x v="0"/>
    <x v="0"/>
    <x v="1"/>
    <n v="2"/>
  </r>
  <r>
    <n v="80"/>
    <x v="3"/>
    <x v="3"/>
    <b v="0"/>
    <n v="57"/>
    <n v="7"/>
    <n v="50"/>
    <x v="1"/>
    <x v="0"/>
    <x v="0"/>
    <x v="0"/>
    <n v="1"/>
  </r>
  <r>
    <n v="81"/>
    <x v="3"/>
    <x v="3"/>
    <b v="0"/>
    <n v="78"/>
    <n v="12"/>
    <n v="66"/>
    <x v="1"/>
    <x v="0"/>
    <x v="0"/>
    <x v="0"/>
    <n v="1"/>
  </r>
  <r>
    <n v="82"/>
    <x v="3"/>
    <x v="3"/>
    <b v="0"/>
    <n v="97"/>
    <n v="18"/>
    <n v="79"/>
    <x v="1"/>
    <x v="0"/>
    <x v="0"/>
    <x v="0"/>
    <n v="1"/>
  </r>
  <r>
    <n v="83"/>
    <x v="3"/>
    <x v="3"/>
    <b v="0"/>
    <n v="63"/>
    <n v="9"/>
    <n v="54"/>
    <x v="1"/>
    <x v="0"/>
    <x v="0"/>
    <x v="0"/>
    <n v="1"/>
  </r>
  <r>
    <n v="84"/>
    <x v="3"/>
    <x v="3"/>
    <b v="0"/>
    <n v="65"/>
    <n v="17"/>
    <n v="48"/>
    <x v="1"/>
    <x v="0"/>
    <x v="0"/>
    <x v="0"/>
    <n v="1"/>
  </r>
  <r>
    <n v="85"/>
    <x v="3"/>
    <x v="3"/>
    <b v="0"/>
    <n v="83"/>
    <n v="15"/>
    <n v="68"/>
    <x v="1"/>
    <x v="0"/>
    <x v="0"/>
    <x v="0"/>
    <n v="1"/>
  </r>
  <r>
    <n v="86"/>
    <x v="3"/>
    <x v="3"/>
    <b v="0"/>
    <n v="212"/>
    <n v="10"/>
    <n v="202"/>
    <x v="1"/>
    <x v="0"/>
    <x v="2"/>
    <x v="0"/>
    <n v="1"/>
  </r>
  <r>
    <n v="87"/>
    <x v="3"/>
    <x v="3"/>
    <b v="0"/>
    <n v="182"/>
    <n v="3"/>
    <n v="179"/>
    <x v="1"/>
    <x v="0"/>
    <x v="2"/>
    <x v="0"/>
    <n v="1"/>
  </r>
  <r>
    <n v="88"/>
    <x v="3"/>
    <x v="3"/>
    <b v="0"/>
    <n v="112"/>
    <n v="2"/>
    <n v="110"/>
    <x v="1"/>
    <x v="0"/>
    <x v="1"/>
    <x v="0"/>
    <n v="1"/>
  </r>
  <r>
    <n v="89"/>
    <x v="3"/>
    <x v="3"/>
    <b v="0"/>
    <n v="54"/>
    <n v="1"/>
    <n v="53"/>
    <x v="1"/>
    <x v="0"/>
    <x v="0"/>
    <x v="0"/>
    <n v="1"/>
  </r>
  <r>
    <n v="90"/>
    <x v="3"/>
    <x v="3"/>
    <b v="0"/>
    <n v="48"/>
    <n v="0"/>
    <n v="48"/>
    <x v="1"/>
    <x v="0"/>
    <x v="0"/>
    <x v="0"/>
    <n v="1"/>
  </r>
  <r>
    <n v="91"/>
    <x v="3"/>
    <x v="3"/>
    <b v="0"/>
    <n v="35"/>
    <n v="1"/>
    <n v="34"/>
    <x v="1"/>
    <x v="0"/>
    <x v="0"/>
    <x v="0"/>
    <n v="1"/>
  </r>
  <r>
    <n v="92"/>
    <x v="3"/>
    <x v="3"/>
    <b v="0"/>
    <n v="11"/>
    <n v="2"/>
    <n v="9"/>
    <x v="1"/>
    <x v="0"/>
    <x v="0"/>
    <x v="0"/>
    <n v="1"/>
  </r>
  <r>
    <n v="93"/>
    <x v="4"/>
    <x v="4"/>
    <b v="0"/>
    <n v="6"/>
    <n v="0"/>
    <n v="6"/>
    <x v="1"/>
    <x v="0"/>
    <x v="0"/>
    <x v="0"/>
    <n v="1"/>
  </r>
  <r>
    <n v="94"/>
    <x v="4"/>
    <x v="4"/>
    <b v="0"/>
    <n v="6"/>
    <n v="0"/>
    <n v="6"/>
    <x v="1"/>
    <x v="0"/>
    <x v="0"/>
    <x v="0"/>
    <n v="1"/>
  </r>
  <r>
    <n v="95"/>
    <x v="4"/>
    <x v="4"/>
    <b v="0"/>
    <n v="2"/>
    <n v="0"/>
    <n v="2"/>
    <x v="1"/>
    <x v="0"/>
    <x v="0"/>
    <x v="0"/>
    <n v="1"/>
  </r>
  <r>
    <n v="96"/>
    <x v="4"/>
    <x v="4"/>
    <b v="0"/>
    <n v="2"/>
    <n v="0"/>
    <n v="2"/>
    <x v="1"/>
    <x v="0"/>
    <x v="0"/>
    <x v="0"/>
    <n v="1"/>
  </r>
  <r>
    <n v="97"/>
    <x v="4"/>
    <x v="4"/>
    <b v="0"/>
    <n v="3"/>
    <n v="0"/>
    <n v="3"/>
    <x v="1"/>
    <x v="0"/>
    <x v="0"/>
    <x v="0"/>
    <n v="1"/>
  </r>
  <r>
    <n v="98"/>
    <x v="4"/>
    <x v="4"/>
    <b v="0"/>
    <n v="33"/>
    <n v="0"/>
    <n v="33"/>
    <x v="1"/>
    <x v="0"/>
    <x v="0"/>
    <x v="0"/>
    <n v="1"/>
  </r>
  <r>
    <n v="99"/>
    <x v="4"/>
    <x v="4"/>
    <b v="0"/>
    <n v="88"/>
    <n v="1"/>
    <n v="87"/>
    <x v="1"/>
    <x v="0"/>
    <x v="0"/>
    <x v="0"/>
    <n v="1"/>
  </r>
  <r>
    <n v="100"/>
    <x v="4"/>
    <x v="4"/>
    <b v="0"/>
    <n v="195"/>
    <n v="3"/>
    <n v="192"/>
    <x v="1"/>
    <x v="0"/>
    <x v="2"/>
    <x v="0"/>
    <n v="1"/>
  </r>
  <r>
    <n v="101"/>
    <x v="4"/>
    <x v="4"/>
    <b v="0"/>
    <n v="115"/>
    <n v="6"/>
    <n v="109"/>
    <x v="1"/>
    <x v="0"/>
    <x v="1"/>
    <x v="0"/>
    <n v="1"/>
  </r>
  <r>
    <n v="102"/>
    <x v="4"/>
    <x v="4"/>
    <b v="0"/>
    <n v="57"/>
    <n v="4"/>
    <n v="53"/>
    <x v="1"/>
    <x v="0"/>
    <x v="0"/>
    <x v="0"/>
    <n v="1"/>
  </r>
  <r>
    <n v="103"/>
    <x v="4"/>
    <x v="4"/>
    <b v="0"/>
    <n v="46"/>
    <n v="12"/>
    <n v="34"/>
    <x v="1"/>
    <x v="0"/>
    <x v="0"/>
    <x v="0"/>
    <n v="1"/>
  </r>
  <r>
    <n v="104"/>
    <x v="4"/>
    <x v="4"/>
    <b v="0"/>
    <n v="79"/>
    <n v="5"/>
    <n v="74"/>
    <x v="1"/>
    <x v="0"/>
    <x v="0"/>
    <x v="0"/>
    <n v="1"/>
  </r>
  <r>
    <n v="105"/>
    <x v="4"/>
    <x v="4"/>
    <b v="0"/>
    <n v="71"/>
    <n v="6"/>
    <n v="65"/>
    <x v="1"/>
    <x v="0"/>
    <x v="0"/>
    <x v="0"/>
    <n v="1"/>
  </r>
  <r>
    <n v="106"/>
    <x v="4"/>
    <x v="4"/>
    <b v="0"/>
    <n v="62"/>
    <n v="10"/>
    <n v="52"/>
    <x v="1"/>
    <x v="0"/>
    <x v="0"/>
    <x v="0"/>
    <n v="1"/>
  </r>
  <r>
    <n v="107"/>
    <x v="4"/>
    <x v="4"/>
    <b v="0"/>
    <n v="62"/>
    <n v="7"/>
    <n v="55"/>
    <x v="1"/>
    <x v="0"/>
    <x v="0"/>
    <x v="0"/>
    <n v="1"/>
  </r>
  <r>
    <n v="108"/>
    <x v="4"/>
    <x v="4"/>
    <b v="0"/>
    <n v="89"/>
    <n v="4"/>
    <n v="85"/>
    <x v="1"/>
    <x v="0"/>
    <x v="0"/>
    <x v="0"/>
    <n v="1"/>
  </r>
  <r>
    <n v="109"/>
    <x v="4"/>
    <x v="4"/>
    <b v="0"/>
    <n v="190"/>
    <n v="4"/>
    <n v="186"/>
    <x v="1"/>
    <x v="0"/>
    <x v="2"/>
    <x v="0"/>
    <n v="1"/>
  </r>
  <r>
    <n v="110"/>
    <x v="4"/>
    <x v="4"/>
    <b v="0"/>
    <n v="169"/>
    <n v="3"/>
    <n v="166"/>
    <x v="1"/>
    <x v="0"/>
    <x v="2"/>
    <x v="0"/>
    <n v="1"/>
  </r>
  <r>
    <n v="111"/>
    <x v="4"/>
    <x v="4"/>
    <b v="0"/>
    <n v="132"/>
    <n v="5"/>
    <n v="127"/>
    <x v="1"/>
    <x v="0"/>
    <x v="1"/>
    <x v="0"/>
    <n v="1"/>
  </r>
  <r>
    <n v="112"/>
    <x v="4"/>
    <x v="4"/>
    <b v="0"/>
    <n v="89"/>
    <n v="7"/>
    <n v="82"/>
    <x v="1"/>
    <x v="0"/>
    <x v="0"/>
    <x v="0"/>
    <n v="1"/>
  </r>
  <r>
    <n v="113"/>
    <x v="4"/>
    <x v="4"/>
    <b v="0"/>
    <n v="43"/>
    <n v="3"/>
    <n v="40"/>
    <x v="1"/>
    <x v="0"/>
    <x v="0"/>
    <x v="0"/>
    <n v="1"/>
  </r>
  <r>
    <n v="114"/>
    <x v="4"/>
    <x v="4"/>
    <b v="0"/>
    <n v="42"/>
    <n v="1"/>
    <n v="41"/>
    <x v="1"/>
    <x v="0"/>
    <x v="0"/>
    <x v="0"/>
    <n v="1"/>
  </r>
  <r>
    <n v="115"/>
    <x v="4"/>
    <x v="4"/>
    <b v="0"/>
    <n v="19"/>
    <n v="1"/>
    <n v="18"/>
    <x v="1"/>
    <x v="0"/>
    <x v="0"/>
    <x v="0"/>
    <n v="1"/>
  </r>
  <r>
    <n v="116"/>
    <x v="5"/>
    <x v="5"/>
    <b v="0"/>
    <n v="11"/>
    <n v="0"/>
    <n v="11"/>
    <x v="1"/>
    <x v="0"/>
    <x v="0"/>
    <x v="0"/>
    <n v="1"/>
  </r>
  <r>
    <n v="117"/>
    <x v="5"/>
    <x v="5"/>
    <b v="0"/>
    <n v="4"/>
    <n v="0"/>
    <n v="4"/>
    <x v="1"/>
    <x v="0"/>
    <x v="0"/>
    <x v="0"/>
    <n v="1"/>
  </r>
  <r>
    <n v="118"/>
    <x v="5"/>
    <x v="5"/>
    <b v="0"/>
    <n v="2"/>
    <n v="0"/>
    <n v="2"/>
    <x v="1"/>
    <x v="0"/>
    <x v="0"/>
    <x v="0"/>
    <n v="1"/>
  </r>
  <r>
    <n v="119"/>
    <x v="5"/>
    <x v="5"/>
    <b v="0"/>
    <n v="1"/>
    <n v="0"/>
    <n v="1"/>
    <x v="1"/>
    <x v="0"/>
    <x v="0"/>
    <x v="1"/>
    <n v="2"/>
  </r>
  <r>
    <n v="120"/>
    <x v="5"/>
    <x v="5"/>
    <b v="0"/>
    <n v="4"/>
    <n v="0"/>
    <n v="4"/>
    <x v="1"/>
    <x v="0"/>
    <x v="0"/>
    <x v="1"/>
    <n v="2"/>
  </r>
  <r>
    <n v="121"/>
    <x v="5"/>
    <x v="5"/>
    <b v="0"/>
    <n v="36"/>
    <n v="0"/>
    <n v="36"/>
    <x v="1"/>
    <x v="0"/>
    <x v="0"/>
    <x v="1"/>
    <n v="2"/>
  </r>
  <r>
    <n v="122"/>
    <x v="5"/>
    <x v="5"/>
    <b v="0"/>
    <n v="95"/>
    <n v="0"/>
    <n v="95"/>
    <x v="1"/>
    <x v="0"/>
    <x v="0"/>
    <x v="1"/>
    <n v="2"/>
  </r>
  <r>
    <n v="123"/>
    <x v="5"/>
    <x v="5"/>
    <b v="0"/>
    <n v="219"/>
    <n v="3"/>
    <n v="216"/>
    <x v="1"/>
    <x v="0"/>
    <x v="2"/>
    <x v="0"/>
    <n v="1"/>
  </r>
  <r>
    <n v="124"/>
    <x v="5"/>
    <x v="5"/>
    <b v="0"/>
    <n v="122"/>
    <n v="6"/>
    <n v="116"/>
    <x v="1"/>
    <x v="0"/>
    <x v="1"/>
    <x v="1"/>
    <n v="2"/>
  </r>
  <r>
    <n v="125"/>
    <x v="5"/>
    <x v="5"/>
    <b v="0"/>
    <n v="45"/>
    <n v="3"/>
    <n v="42"/>
    <x v="1"/>
    <x v="0"/>
    <x v="0"/>
    <x v="0"/>
    <n v="1"/>
  </r>
  <r>
    <n v="126"/>
    <x v="5"/>
    <x v="5"/>
    <b v="0"/>
    <n v="59"/>
    <n v="2"/>
    <n v="57"/>
    <x v="1"/>
    <x v="0"/>
    <x v="0"/>
    <x v="0"/>
    <n v="1"/>
  </r>
  <r>
    <n v="127"/>
    <x v="5"/>
    <x v="5"/>
    <b v="0"/>
    <n v="84"/>
    <n v="6"/>
    <n v="78"/>
    <x v="1"/>
    <x v="0"/>
    <x v="0"/>
    <x v="0"/>
    <n v="1"/>
  </r>
  <r>
    <n v="128"/>
    <x v="5"/>
    <x v="5"/>
    <b v="0"/>
    <n v="67"/>
    <n v="12"/>
    <n v="55"/>
    <x v="1"/>
    <x v="0"/>
    <x v="0"/>
    <x v="0"/>
    <n v="1"/>
  </r>
  <r>
    <n v="129"/>
    <x v="5"/>
    <x v="5"/>
    <b v="0"/>
    <n v="70"/>
    <n v="11"/>
    <n v="59"/>
    <x v="1"/>
    <x v="0"/>
    <x v="0"/>
    <x v="0"/>
    <n v="1"/>
  </r>
  <r>
    <n v="130"/>
    <x v="5"/>
    <x v="5"/>
    <b v="0"/>
    <n v="62"/>
    <n v="8"/>
    <n v="54"/>
    <x v="1"/>
    <x v="0"/>
    <x v="0"/>
    <x v="0"/>
    <n v="1"/>
  </r>
  <r>
    <n v="131"/>
    <x v="5"/>
    <x v="5"/>
    <b v="0"/>
    <n v="86"/>
    <n v="12"/>
    <n v="74"/>
    <x v="1"/>
    <x v="0"/>
    <x v="0"/>
    <x v="0"/>
    <n v="1"/>
  </r>
  <r>
    <n v="132"/>
    <x v="5"/>
    <x v="5"/>
    <b v="0"/>
    <n v="172"/>
    <n v="9"/>
    <n v="163"/>
    <x v="1"/>
    <x v="0"/>
    <x v="2"/>
    <x v="0"/>
    <n v="1"/>
  </r>
  <r>
    <n v="133"/>
    <x v="5"/>
    <x v="5"/>
    <b v="0"/>
    <n v="163"/>
    <n v="5"/>
    <n v="158"/>
    <x v="1"/>
    <x v="0"/>
    <x v="2"/>
    <x v="0"/>
    <n v="1"/>
  </r>
  <r>
    <n v="134"/>
    <x v="5"/>
    <x v="5"/>
    <b v="0"/>
    <n v="112"/>
    <n v="3"/>
    <n v="109"/>
    <x v="1"/>
    <x v="0"/>
    <x v="1"/>
    <x v="0"/>
    <n v="1"/>
  </r>
  <r>
    <n v="135"/>
    <x v="5"/>
    <x v="5"/>
    <b v="0"/>
    <n v="69"/>
    <n v="3"/>
    <n v="66"/>
    <x v="1"/>
    <x v="0"/>
    <x v="0"/>
    <x v="0"/>
    <n v="1"/>
  </r>
  <r>
    <n v="136"/>
    <x v="5"/>
    <x v="5"/>
    <b v="0"/>
    <n v="48"/>
    <n v="0"/>
    <n v="48"/>
    <x v="1"/>
    <x v="0"/>
    <x v="0"/>
    <x v="1"/>
    <n v="2"/>
  </r>
  <r>
    <n v="137"/>
    <x v="5"/>
    <x v="5"/>
    <b v="0"/>
    <n v="52"/>
    <n v="1"/>
    <n v="51"/>
    <x v="1"/>
    <x v="0"/>
    <x v="0"/>
    <x v="1"/>
    <n v="2"/>
  </r>
  <r>
    <n v="138"/>
    <x v="5"/>
    <x v="5"/>
    <b v="0"/>
    <n v="23"/>
    <n v="4"/>
    <n v="19"/>
    <x v="1"/>
    <x v="0"/>
    <x v="0"/>
    <x v="1"/>
    <n v="2"/>
  </r>
  <r>
    <n v="139"/>
    <x v="6"/>
    <x v="6"/>
    <b v="0"/>
    <n v="17"/>
    <n v="4"/>
    <n v="13"/>
    <x v="1"/>
    <x v="0"/>
    <x v="0"/>
    <x v="1"/>
    <n v="2"/>
  </r>
  <r>
    <n v="140"/>
    <x v="6"/>
    <x v="6"/>
    <b v="0"/>
    <n v="7"/>
    <n v="2"/>
    <n v="5"/>
    <x v="1"/>
    <x v="0"/>
    <x v="0"/>
    <x v="1"/>
    <n v="2"/>
  </r>
  <r>
    <n v="141"/>
    <x v="6"/>
    <x v="6"/>
    <b v="0"/>
    <n v="1"/>
    <n v="0"/>
    <n v="1"/>
    <x v="1"/>
    <x v="0"/>
    <x v="0"/>
    <x v="1"/>
    <n v="2"/>
  </r>
  <r>
    <n v="142"/>
    <x v="6"/>
    <x v="6"/>
    <b v="0"/>
    <n v="1"/>
    <n v="0"/>
    <n v="1"/>
    <x v="1"/>
    <x v="0"/>
    <x v="0"/>
    <x v="1"/>
    <n v="2"/>
  </r>
  <r>
    <n v="143"/>
    <x v="6"/>
    <x v="6"/>
    <b v="0"/>
    <n v="5"/>
    <n v="0"/>
    <n v="5"/>
    <x v="1"/>
    <x v="0"/>
    <x v="0"/>
    <x v="2"/>
    <n v="3"/>
  </r>
  <r>
    <n v="144"/>
    <x v="6"/>
    <x v="6"/>
    <b v="0"/>
    <n v="34"/>
    <n v="8"/>
    <n v="26"/>
    <x v="1"/>
    <x v="0"/>
    <x v="0"/>
    <x v="1"/>
    <n v="2"/>
  </r>
  <r>
    <n v="145"/>
    <x v="6"/>
    <x v="6"/>
    <b v="0"/>
    <n v="84"/>
    <n v="8"/>
    <n v="76"/>
    <x v="1"/>
    <x v="0"/>
    <x v="0"/>
    <x v="0"/>
    <n v="1"/>
  </r>
  <r>
    <n v="146"/>
    <x v="6"/>
    <x v="6"/>
    <b v="0"/>
    <n v="210"/>
    <n v="20"/>
    <n v="190"/>
    <x v="1"/>
    <x v="0"/>
    <x v="2"/>
    <x v="0"/>
    <n v="1"/>
  </r>
  <r>
    <n v="147"/>
    <x v="6"/>
    <x v="6"/>
    <b v="0"/>
    <n v="134"/>
    <n v="9"/>
    <n v="125"/>
    <x v="1"/>
    <x v="0"/>
    <x v="1"/>
    <x v="0"/>
    <n v="1"/>
  </r>
  <r>
    <n v="148"/>
    <x v="6"/>
    <x v="6"/>
    <b v="0"/>
    <n v="63"/>
    <n v="16"/>
    <n v="47"/>
    <x v="1"/>
    <x v="0"/>
    <x v="0"/>
    <x v="0"/>
    <n v="1"/>
  </r>
  <r>
    <n v="149"/>
    <x v="6"/>
    <x v="6"/>
    <b v="0"/>
    <n v="67"/>
    <n v="19"/>
    <n v="48"/>
    <x v="1"/>
    <x v="0"/>
    <x v="0"/>
    <x v="1"/>
    <n v="2"/>
  </r>
  <r>
    <n v="150"/>
    <x v="6"/>
    <x v="6"/>
    <b v="0"/>
    <n v="59"/>
    <n v="9"/>
    <n v="50"/>
    <x v="1"/>
    <x v="0"/>
    <x v="0"/>
    <x v="1"/>
    <n v="2"/>
  </r>
  <r>
    <n v="151"/>
    <x v="6"/>
    <x v="6"/>
    <b v="0"/>
    <n v="73"/>
    <n v="9"/>
    <n v="64"/>
    <x v="1"/>
    <x v="0"/>
    <x v="0"/>
    <x v="1"/>
    <n v="2"/>
  </r>
  <r>
    <n v="152"/>
    <x v="6"/>
    <x v="6"/>
    <b v="0"/>
    <n v="50"/>
    <n v="7"/>
    <n v="43"/>
    <x v="1"/>
    <x v="0"/>
    <x v="0"/>
    <x v="1"/>
    <n v="2"/>
  </r>
  <r>
    <n v="153"/>
    <x v="6"/>
    <x v="6"/>
    <b v="0"/>
    <n v="72"/>
    <n v="9"/>
    <n v="63"/>
    <x v="1"/>
    <x v="0"/>
    <x v="0"/>
    <x v="1"/>
    <n v="2"/>
  </r>
  <r>
    <n v="154"/>
    <x v="6"/>
    <x v="6"/>
    <b v="0"/>
    <n v="87"/>
    <n v="5"/>
    <n v="82"/>
    <x v="1"/>
    <x v="0"/>
    <x v="0"/>
    <x v="1"/>
    <n v="2"/>
  </r>
  <r>
    <n v="155"/>
    <x v="6"/>
    <x v="6"/>
    <b v="0"/>
    <n v="187"/>
    <n v="9"/>
    <n v="178"/>
    <x v="1"/>
    <x v="0"/>
    <x v="2"/>
    <x v="1"/>
    <n v="2"/>
  </r>
  <r>
    <n v="156"/>
    <x v="6"/>
    <x v="6"/>
    <b v="0"/>
    <n v="123"/>
    <n v="7"/>
    <n v="116"/>
    <x v="1"/>
    <x v="0"/>
    <x v="1"/>
    <x v="0"/>
    <n v="1"/>
  </r>
  <r>
    <n v="157"/>
    <x v="6"/>
    <x v="6"/>
    <b v="0"/>
    <n v="95"/>
    <n v="3"/>
    <n v="92"/>
    <x v="1"/>
    <x v="0"/>
    <x v="0"/>
    <x v="0"/>
    <n v="1"/>
  </r>
  <r>
    <n v="158"/>
    <x v="6"/>
    <x v="6"/>
    <b v="0"/>
    <n v="51"/>
    <n v="1"/>
    <n v="50"/>
    <x v="1"/>
    <x v="0"/>
    <x v="0"/>
    <x v="0"/>
    <n v="1"/>
  </r>
  <r>
    <n v="159"/>
    <x v="6"/>
    <x v="6"/>
    <b v="0"/>
    <n v="39"/>
    <n v="0"/>
    <n v="39"/>
    <x v="1"/>
    <x v="0"/>
    <x v="0"/>
    <x v="0"/>
    <n v="1"/>
  </r>
  <r>
    <n v="160"/>
    <x v="6"/>
    <x v="6"/>
    <b v="0"/>
    <n v="36"/>
    <n v="2"/>
    <n v="34"/>
    <x v="1"/>
    <x v="0"/>
    <x v="0"/>
    <x v="1"/>
    <n v="2"/>
  </r>
  <r>
    <n v="161"/>
    <x v="6"/>
    <x v="6"/>
    <b v="0"/>
    <n v="15"/>
    <n v="1"/>
    <n v="14"/>
    <x v="1"/>
    <x v="0"/>
    <x v="0"/>
    <x v="1"/>
    <n v="2"/>
  </r>
  <r>
    <n v="162"/>
    <x v="7"/>
    <x v="0"/>
    <b v="0"/>
    <n v="25"/>
    <n v="1"/>
    <n v="24"/>
    <x v="0"/>
    <x v="0"/>
    <x v="0"/>
    <x v="1"/>
    <n v="2"/>
  </r>
  <r>
    <n v="163"/>
    <x v="7"/>
    <x v="0"/>
    <b v="0"/>
    <n v="16"/>
    <n v="1"/>
    <n v="15"/>
    <x v="0"/>
    <x v="0"/>
    <x v="0"/>
    <x v="1"/>
    <n v="2"/>
  </r>
  <r>
    <n v="164"/>
    <x v="7"/>
    <x v="0"/>
    <b v="0"/>
    <n v="16"/>
    <n v="3"/>
    <n v="13"/>
    <x v="0"/>
    <x v="0"/>
    <x v="0"/>
    <x v="1"/>
    <n v="2"/>
  </r>
  <r>
    <n v="165"/>
    <x v="7"/>
    <x v="0"/>
    <b v="0"/>
    <n v="7"/>
    <n v="0"/>
    <n v="7"/>
    <x v="0"/>
    <x v="0"/>
    <x v="0"/>
    <x v="2"/>
    <n v="3"/>
  </r>
  <r>
    <n v="166"/>
    <x v="7"/>
    <x v="0"/>
    <b v="0"/>
    <n v="1"/>
    <n v="0"/>
    <n v="1"/>
    <x v="0"/>
    <x v="0"/>
    <x v="0"/>
    <x v="2"/>
    <n v="3"/>
  </r>
  <r>
    <n v="167"/>
    <x v="7"/>
    <x v="0"/>
    <b v="0"/>
    <n v="5"/>
    <n v="0"/>
    <n v="5"/>
    <x v="0"/>
    <x v="0"/>
    <x v="0"/>
    <x v="1"/>
    <n v="2"/>
  </r>
  <r>
    <n v="168"/>
    <x v="7"/>
    <x v="0"/>
    <b v="0"/>
    <n v="2"/>
    <n v="0"/>
    <n v="2"/>
    <x v="0"/>
    <x v="0"/>
    <x v="0"/>
    <x v="1"/>
    <n v="2"/>
  </r>
  <r>
    <n v="169"/>
    <x v="7"/>
    <x v="0"/>
    <b v="0"/>
    <n v="9"/>
    <n v="1"/>
    <n v="8"/>
    <x v="0"/>
    <x v="0"/>
    <x v="0"/>
    <x v="1"/>
    <n v="2"/>
  </r>
  <r>
    <n v="170"/>
    <x v="7"/>
    <x v="0"/>
    <b v="0"/>
    <n v="15"/>
    <n v="0"/>
    <n v="15"/>
    <x v="0"/>
    <x v="0"/>
    <x v="0"/>
    <x v="2"/>
    <n v="3"/>
  </r>
  <r>
    <n v="171"/>
    <x v="7"/>
    <x v="0"/>
    <b v="0"/>
    <n v="20"/>
    <n v="0"/>
    <n v="20"/>
    <x v="0"/>
    <x v="0"/>
    <x v="0"/>
    <x v="2"/>
    <n v="3"/>
  </r>
  <r>
    <n v="172"/>
    <x v="7"/>
    <x v="0"/>
    <b v="0"/>
    <n v="61"/>
    <n v="5"/>
    <n v="56"/>
    <x v="0"/>
    <x v="0"/>
    <x v="0"/>
    <x v="1"/>
    <n v="2"/>
  </r>
  <r>
    <n v="173"/>
    <x v="7"/>
    <x v="0"/>
    <b v="0"/>
    <n v="62"/>
    <n v="2"/>
    <n v="60"/>
    <x v="0"/>
    <x v="0"/>
    <x v="0"/>
    <x v="1"/>
    <n v="2"/>
  </r>
  <r>
    <n v="174"/>
    <x v="7"/>
    <x v="0"/>
    <b v="0"/>
    <n v="98"/>
    <n v="8"/>
    <n v="90"/>
    <x v="0"/>
    <x v="0"/>
    <x v="0"/>
    <x v="1"/>
    <n v="2"/>
  </r>
  <r>
    <n v="175"/>
    <x v="7"/>
    <x v="0"/>
    <b v="0"/>
    <n v="102"/>
    <n v="7"/>
    <n v="95"/>
    <x v="0"/>
    <x v="0"/>
    <x v="1"/>
    <x v="0"/>
    <n v="1"/>
  </r>
  <r>
    <n v="176"/>
    <x v="7"/>
    <x v="0"/>
    <b v="0"/>
    <n v="95"/>
    <n v="12"/>
    <n v="83"/>
    <x v="0"/>
    <x v="0"/>
    <x v="0"/>
    <x v="0"/>
    <n v="1"/>
  </r>
  <r>
    <n v="177"/>
    <x v="7"/>
    <x v="0"/>
    <b v="0"/>
    <n v="74"/>
    <n v="5"/>
    <n v="69"/>
    <x v="0"/>
    <x v="0"/>
    <x v="0"/>
    <x v="0"/>
    <n v="1"/>
  </r>
  <r>
    <n v="178"/>
    <x v="7"/>
    <x v="0"/>
    <b v="0"/>
    <n v="76"/>
    <n v="8"/>
    <n v="68"/>
    <x v="0"/>
    <x v="0"/>
    <x v="0"/>
    <x v="0"/>
    <n v="1"/>
  </r>
  <r>
    <n v="179"/>
    <x v="7"/>
    <x v="0"/>
    <b v="0"/>
    <n v="69"/>
    <n v="5"/>
    <n v="64"/>
    <x v="0"/>
    <x v="0"/>
    <x v="0"/>
    <x v="0"/>
    <n v="1"/>
  </r>
  <r>
    <n v="180"/>
    <x v="7"/>
    <x v="0"/>
    <b v="0"/>
    <n v="55"/>
    <n v="3"/>
    <n v="52"/>
    <x v="0"/>
    <x v="0"/>
    <x v="0"/>
    <x v="0"/>
    <n v="1"/>
  </r>
  <r>
    <n v="181"/>
    <x v="7"/>
    <x v="0"/>
    <b v="0"/>
    <n v="30"/>
    <n v="4"/>
    <n v="26"/>
    <x v="0"/>
    <x v="0"/>
    <x v="0"/>
    <x v="0"/>
    <n v="1"/>
  </r>
  <r>
    <n v="182"/>
    <x v="7"/>
    <x v="0"/>
    <b v="0"/>
    <n v="28"/>
    <n v="0"/>
    <n v="28"/>
    <x v="0"/>
    <x v="0"/>
    <x v="0"/>
    <x v="0"/>
    <n v="1"/>
  </r>
  <r>
    <n v="183"/>
    <x v="7"/>
    <x v="0"/>
    <b v="0"/>
    <n v="37"/>
    <n v="2"/>
    <n v="35"/>
    <x v="0"/>
    <x v="0"/>
    <x v="0"/>
    <x v="0"/>
    <n v="1"/>
  </r>
  <r>
    <n v="184"/>
    <x v="7"/>
    <x v="0"/>
    <b v="0"/>
    <n v="34"/>
    <n v="1"/>
    <n v="33"/>
    <x v="0"/>
    <x v="0"/>
    <x v="0"/>
    <x v="0"/>
    <n v="1"/>
  </r>
  <r>
    <n v="185"/>
    <x v="7"/>
    <x v="0"/>
    <b v="0"/>
    <n v="22"/>
    <n v="0"/>
    <n v="22"/>
    <x v="0"/>
    <x v="0"/>
    <x v="0"/>
    <x v="0"/>
    <n v="1"/>
  </r>
  <r>
    <n v="186"/>
    <x v="8"/>
    <x v="1"/>
    <b v="0"/>
    <n v="25"/>
    <n v="1"/>
    <n v="24"/>
    <x v="0"/>
    <x v="0"/>
    <x v="0"/>
    <x v="0"/>
    <n v="1"/>
  </r>
  <r>
    <n v="187"/>
    <x v="8"/>
    <x v="1"/>
    <b v="0"/>
    <n v="12"/>
    <n v="0"/>
    <n v="12"/>
    <x v="0"/>
    <x v="0"/>
    <x v="0"/>
    <x v="0"/>
    <n v="1"/>
  </r>
  <r>
    <n v="188"/>
    <x v="8"/>
    <x v="1"/>
    <b v="0"/>
    <n v="11"/>
    <n v="0"/>
    <n v="11"/>
    <x v="0"/>
    <x v="0"/>
    <x v="0"/>
    <x v="0"/>
    <n v="1"/>
  </r>
  <r>
    <n v="189"/>
    <x v="8"/>
    <x v="1"/>
    <b v="0"/>
    <n v="4"/>
    <n v="0"/>
    <n v="4"/>
    <x v="0"/>
    <x v="0"/>
    <x v="0"/>
    <x v="0"/>
    <n v="1"/>
  </r>
  <r>
    <n v="190"/>
    <x v="8"/>
    <x v="1"/>
    <b v="0"/>
    <n v="1"/>
    <n v="0"/>
    <n v="1"/>
    <x v="0"/>
    <x v="0"/>
    <x v="0"/>
    <x v="0"/>
    <n v="1"/>
  </r>
  <r>
    <n v="191"/>
    <x v="8"/>
    <x v="1"/>
    <b v="0"/>
    <n v="1"/>
    <n v="0"/>
    <n v="1"/>
    <x v="0"/>
    <x v="0"/>
    <x v="0"/>
    <x v="0"/>
    <n v="1"/>
  </r>
  <r>
    <n v="192"/>
    <x v="8"/>
    <x v="1"/>
    <b v="0"/>
    <n v="1"/>
    <n v="0"/>
    <n v="1"/>
    <x v="0"/>
    <x v="0"/>
    <x v="0"/>
    <x v="0"/>
    <n v="1"/>
  </r>
  <r>
    <n v="193"/>
    <x v="8"/>
    <x v="1"/>
    <b v="0"/>
    <n v="6"/>
    <n v="1"/>
    <n v="5"/>
    <x v="0"/>
    <x v="0"/>
    <x v="0"/>
    <x v="0"/>
    <n v="1"/>
  </r>
  <r>
    <n v="194"/>
    <x v="8"/>
    <x v="1"/>
    <b v="0"/>
    <n v="10"/>
    <n v="0"/>
    <n v="10"/>
    <x v="0"/>
    <x v="0"/>
    <x v="0"/>
    <x v="0"/>
    <n v="1"/>
  </r>
  <r>
    <n v="195"/>
    <x v="8"/>
    <x v="1"/>
    <b v="0"/>
    <n v="19"/>
    <n v="0"/>
    <n v="19"/>
    <x v="0"/>
    <x v="0"/>
    <x v="0"/>
    <x v="0"/>
    <n v="1"/>
  </r>
  <r>
    <n v="196"/>
    <x v="8"/>
    <x v="1"/>
    <b v="0"/>
    <n v="49"/>
    <n v="0"/>
    <n v="49"/>
    <x v="0"/>
    <x v="0"/>
    <x v="0"/>
    <x v="0"/>
    <n v="1"/>
  </r>
  <r>
    <n v="197"/>
    <x v="8"/>
    <x v="1"/>
    <b v="0"/>
    <n v="49"/>
    <n v="2"/>
    <n v="47"/>
    <x v="0"/>
    <x v="0"/>
    <x v="0"/>
    <x v="0"/>
    <n v="1"/>
  </r>
  <r>
    <n v="198"/>
    <x v="8"/>
    <x v="1"/>
    <b v="0"/>
    <n v="83"/>
    <n v="4"/>
    <n v="79"/>
    <x v="0"/>
    <x v="0"/>
    <x v="0"/>
    <x v="0"/>
    <n v="1"/>
  </r>
  <r>
    <n v="199"/>
    <x v="8"/>
    <x v="1"/>
    <b v="0"/>
    <n v="75"/>
    <n v="6"/>
    <n v="69"/>
    <x v="0"/>
    <x v="0"/>
    <x v="0"/>
    <x v="0"/>
    <n v="1"/>
  </r>
  <r>
    <n v="200"/>
    <x v="8"/>
    <x v="1"/>
    <b v="0"/>
    <n v="72"/>
    <n v="8"/>
    <n v="64"/>
    <x v="0"/>
    <x v="0"/>
    <x v="0"/>
    <x v="0"/>
    <n v="1"/>
  </r>
  <r>
    <n v="201"/>
    <x v="8"/>
    <x v="1"/>
    <b v="0"/>
    <n v="82"/>
    <n v="5"/>
    <n v="77"/>
    <x v="0"/>
    <x v="0"/>
    <x v="0"/>
    <x v="0"/>
    <n v="1"/>
  </r>
  <r>
    <n v="202"/>
    <x v="8"/>
    <x v="1"/>
    <b v="0"/>
    <n v="92"/>
    <n v="13"/>
    <n v="79"/>
    <x v="0"/>
    <x v="0"/>
    <x v="0"/>
    <x v="0"/>
    <n v="1"/>
  </r>
  <r>
    <n v="203"/>
    <x v="8"/>
    <x v="1"/>
    <b v="0"/>
    <n v="62"/>
    <n v="3"/>
    <n v="59"/>
    <x v="0"/>
    <x v="0"/>
    <x v="0"/>
    <x v="0"/>
    <n v="1"/>
  </r>
  <r>
    <n v="204"/>
    <x v="8"/>
    <x v="1"/>
    <b v="0"/>
    <n v="48"/>
    <n v="4"/>
    <n v="44"/>
    <x v="0"/>
    <x v="0"/>
    <x v="0"/>
    <x v="0"/>
    <n v="1"/>
  </r>
  <r>
    <n v="205"/>
    <x v="8"/>
    <x v="1"/>
    <b v="0"/>
    <n v="41"/>
    <n v="1"/>
    <n v="40"/>
    <x v="0"/>
    <x v="0"/>
    <x v="0"/>
    <x v="0"/>
    <n v="1"/>
  </r>
  <r>
    <n v="206"/>
    <x v="8"/>
    <x v="1"/>
    <b v="0"/>
    <n v="38"/>
    <n v="0"/>
    <n v="38"/>
    <x v="0"/>
    <x v="0"/>
    <x v="0"/>
    <x v="0"/>
    <n v="1"/>
  </r>
  <r>
    <n v="207"/>
    <x v="8"/>
    <x v="1"/>
    <b v="0"/>
    <n v="20"/>
    <n v="1"/>
    <n v="19"/>
    <x v="0"/>
    <x v="0"/>
    <x v="0"/>
    <x v="0"/>
    <n v="1"/>
  </r>
  <r>
    <n v="208"/>
    <x v="8"/>
    <x v="1"/>
    <b v="0"/>
    <n v="15"/>
    <n v="5"/>
    <n v="10"/>
    <x v="0"/>
    <x v="0"/>
    <x v="0"/>
    <x v="0"/>
    <n v="1"/>
  </r>
  <r>
    <n v="209"/>
    <x v="8"/>
    <x v="1"/>
    <b v="0"/>
    <n v="6"/>
    <n v="0"/>
    <n v="6"/>
    <x v="0"/>
    <x v="0"/>
    <x v="0"/>
    <x v="0"/>
    <n v="1"/>
  </r>
  <r>
    <n v="210"/>
    <x v="9"/>
    <x v="2"/>
    <b v="0"/>
    <n v="5"/>
    <n v="2"/>
    <n v="3"/>
    <x v="1"/>
    <x v="0"/>
    <x v="0"/>
    <x v="0"/>
    <n v="1"/>
  </r>
  <r>
    <n v="211"/>
    <x v="9"/>
    <x v="2"/>
    <b v="0"/>
    <n v="1"/>
    <n v="1"/>
    <n v="0"/>
    <x v="1"/>
    <x v="0"/>
    <x v="0"/>
    <x v="0"/>
    <n v="1"/>
  </r>
  <r>
    <n v="212"/>
    <x v="9"/>
    <x v="2"/>
    <b v="0"/>
    <n v="3"/>
    <n v="0"/>
    <n v="3"/>
    <x v="1"/>
    <x v="0"/>
    <x v="0"/>
    <x v="0"/>
    <n v="1"/>
  </r>
  <r>
    <n v="213"/>
    <x v="9"/>
    <x v="2"/>
    <b v="0"/>
    <n v="1"/>
    <n v="0"/>
    <n v="1"/>
    <x v="1"/>
    <x v="0"/>
    <x v="0"/>
    <x v="0"/>
    <n v="1"/>
  </r>
  <r>
    <n v="214"/>
    <x v="9"/>
    <x v="2"/>
    <b v="0"/>
    <n v="3"/>
    <n v="1"/>
    <n v="2"/>
    <x v="1"/>
    <x v="0"/>
    <x v="0"/>
    <x v="0"/>
    <n v="1"/>
  </r>
  <r>
    <n v="215"/>
    <x v="9"/>
    <x v="2"/>
    <b v="0"/>
    <n v="3"/>
    <n v="0"/>
    <n v="3"/>
    <x v="1"/>
    <x v="0"/>
    <x v="0"/>
    <x v="0"/>
    <n v="1"/>
  </r>
  <r>
    <n v="216"/>
    <x v="9"/>
    <x v="2"/>
    <b v="0"/>
    <n v="31"/>
    <n v="0"/>
    <n v="31"/>
    <x v="1"/>
    <x v="0"/>
    <x v="0"/>
    <x v="0"/>
    <n v="1"/>
  </r>
  <r>
    <n v="217"/>
    <x v="9"/>
    <x v="2"/>
    <b v="0"/>
    <n v="77"/>
    <n v="2"/>
    <n v="75"/>
    <x v="1"/>
    <x v="0"/>
    <x v="0"/>
    <x v="0"/>
    <n v="1"/>
  </r>
  <r>
    <n v="218"/>
    <x v="9"/>
    <x v="2"/>
    <b v="0"/>
    <n v="188"/>
    <n v="4"/>
    <n v="184"/>
    <x v="1"/>
    <x v="0"/>
    <x v="2"/>
    <x v="1"/>
    <n v="2"/>
  </r>
  <r>
    <n v="219"/>
    <x v="9"/>
    <x v="2"/>
    <b v="0"/>
    <n v="94"/>
    <n v="2"/>
    <n v="92"/>
    <x v="1"/>
    <x v="0"/>
    <x v="0"/>
    <x v="1"/>
    <n v="2"/>
  </r>
  <r>
    <n v="220"/>
    <x v="9"/>
    <x v="2"/>
    <b v="0"/>
    <n v="31"/>
    <n v="0"/>
    <n v="31"/>
    <x v="1"/>
    <x v="0"/>
    <x v="0"/>
    <x v="1"/>
    <n v="2"/>
  </r>
  <r>
    <n v="221"/>
    <x v="9"/>
    <x v="2"/>
    <b v="0"/>
    <n v="30"/>
    <n v="2"/>
    <n v="28"/>
    <x v="1"/>
    <x v="0"/>
    <x v="0"/>
    <x v="1"/>
    <n v="2"/>
  </r>
  <r>
    <n v="222"/>
    <x v="9"/>
    <x v="2"/>
    <b v="0"/>
    <n v="52"/>
    <n v="5"/>
    <n v="47"/>
    <x v="1"/>
    <x v="0"/>
    <x v="0"/>
    <x v="1"/>
    <n v="2"/>
  </r>
  <r>
    <n v="223"/>
    <x v="9"/>
    <x v="2"/>
    <b v="0"/>
    <n v="54"/>
    <n v="4"/>
    <n v="50"/>
    <x v="1"/>
    <x v="0"/>
    <x v="0"/>
    <x v="1"/>
    <n v="2"/>
  </r>
  <r>
    <n v="224"/>
    <x v="9"/>
    <x v="2"/>
    <b v="0"/>
    <n v="47"/>
    <n v="0"/>
    <n v="47"/>
    <x v="1"/>
    <x v="0"/>
    <x v="0"/>
    <x v="1"/>
    <n v="2"/>
  </r>
  <r>
    <n v="225"/>
    <x v="9"/>
    <x v="2"/>
    <b v="0"/>
    <n v="45"/>
    <n v="2"/>
    <n v="43"/>
    <x v="1"/>
    <x v="0"/>
    <x v="0"/>
    <x v="1"/>
    <n v="2"/>
  </r>
  <r>
    <n v="226"/>
    <x v="9"/>
    <x v="2"/>
    <b v="0"/>
    <n v="74"/>
    <n v="4"/>
    <n v="70"/>
    <x v="1"/>
    <x v="0"/>
    <x v="0"/>
    <x v="0"/>
    <n v="1"/>
  </r>
  <r>
    <n v="227"/>
    <x v="9"/>
    <x v="2"/>
    <b v="0"/>
    <n v="178"/>
    <n v="4"/>
    <n v="174"/>
    <x v="1"/>
    <x v="0"/>
    <x v="2"/>
    <x v="0"/>
    <n v="1"/>
  </r>
  <r>
    <n v="228"/>
    <x v="9"/>
    <x v="2"/>
    <b v="0"/>
    <n v="155"/>
    <n v="1"/>
    <n v="154"/>
    <x v="1"/>
    <x v="0"/>
    <x v="2"/>
    <x v="0"/>
    <n v="1"/>
  </r>
  <r>
    <n v="229"/>
    <x v="9"/>
    <x v="2"/>
    <b v="0"/>
    <n v="95"/>
    <n v="3"/>
    <n v="92"/>
    <x v="1"/>
    <x v="0"/>
    <x v="0"/>
    <x v="0"/>
    <n v="1"/>
  </r>
  <r>
    <n v="230"/>
    <x v="9"/>
    <x v="2"/>
    <b v="0"/>
    <n v="74"/>
    <n v="1"/>
    <n v="73"/>
    <x v="1"/>
    <x v="0"/>
    <x v="0"/>
    <x v="0"/>
    <n v="1"/>
  </r>
  <r>
    <n v="231"/>
    <x v="9"/>
    <x v="2"/>
    <b v="0"/>
    <n v="38"/>
    <n v="1"/>
    <n v="37"/>
    <x v="1"/>
    <x v="0"/>
    <x v="0"/>
    <x v="0"/>
    <n v="1"/>
  </r>
  <r>
    <n v="232"/>
    <x v="9"/>
    <x v="2"/>
    <b v="0"/>
    <n v="24"/>
    <n v="2"/>
    <n v="22"/>
    <x v="1"/>
    <x v="0"/>
    <x v="0"/>
    <x v="0"/>
    <n v="1"/>
  </r>
  <r>
    <n v="233"/>
    <x v="9"/>
    <x v="2"/>
    <b v="0"/>
    <n v="18"/>
    <n v="0"/>
    <n v="18"/>
    <x v="1"/>
    <x v="0"/>
    <x v="0"/>
    <x v="0"/>
    <n v="1"/>
  </r>
  <r>
    <n v="234"/>
    <x v="10"/>
    <x v="3"/>
    <b v="0"/>
    <n v="12"/>
    <n v="2"/>
    <n v="10"/>
    <x v="1"/>
    <x v="0"/>
    <x v="0"/>
    <x v="0"/>
    <n v="1"/>
  </r>
  <r>
    <n v="235"/>
    <x v="10"/>
    <x v="3"/>
    <b v="0"/>
    <n v="3"/>
    <n v="0"/>
    <n v="3"/>
    <x v="1"/>
    <x v="0"/>
    <x v="0"/>
    <x v="0"/>
    <n v="1"/>
  </r>
  <r>
    <n v="236"/>
    <x v="10"/>
    <x v="3"/>
    <b v="0"/>
    <n v="3"/>
    <n v="0"/>
    <n v="3"/>
    <x v="1"/>
    <x v="0"/>
    <x v="0"/>
    <x v="1"/>
    <n v="2"/>
  </r>
  <r>
    <n v="237"/>
    <x v="10"/>
    <x v="3"/>
    <b v="0"/>
    <n v="6"/>
    <n v="0"/>
    <n v="6"/>
    <x v="1"/>
    <x v="0"/>
    <x v="0"/>
    <x v="1"/>
    <n v="2"/>
  </r>
  <r>
    <n v="238"/>
    <x v="10"/>
    <x v="3"/>
    <b v="0"/>
    <n v="27"/>
    <n v="0"/>
    <n v="27"/>
    <x v="1"/>
    <x v="0"/>
    <x v="0"/>
    <x v="1"/>
    <n v="2"/>
  </r>
  <r>
    <n v="239"/>
    <x v="10"/>
    <x v="3"/>
    <b v="0"/>
    <n v="99"/>
    <n v="2"/>
    <n v="97"/>
    <x v="1"/>
    <x v="0"/>
    <x v="0"/>
    <x v="1"/>
    <n v="2"/>
  </r>
  <r>
    <n v="240"/>
    <x v="10"/>
    <x v="3"/>
    <b v="0"/>
    <n v="217"/>
    <n v="3"/>
    <n v="214"/>
    <x v="1"/>
    <x v="0"/>
    <x v="2"/>
    <x v="1"/>
    <n v="2"/>
  </r>
  <r>
    <n v="241"/>
    <x v="10"/>
    <x v="3"/>
    <b v="0"/>
    <n v="130"/>
    <n v="3"/>
    <n v="127"/>
    <x v="1"/>
    <x v="0"/>
    <x v="1"/>
    <x v="1"/>
    <n v="2"/>
  </r>
  <r>
    <n v="242"/>
    <x v="10"/>
    <x v="3"/>
    <b v="0"/>
    <n v="54"/>
    <n v="3"/>
    <n v="51"/>
    <x v="1"/>
    <x v="0"/>
    <x v="0"/>
    <x v="1"/>
    <n v="2"/>
  </r>
  <r>
    <n v="243"/>
    <x v="10"/>
    <x v="3"/>
    <b v="0"/>
    <n v="35"/>
    <n v="4"/>
    <n v="31"/>
    <x v="1"/>
    <x v="0"/>
    <x v="0"/>
    <x v="1"/>
    <n v="2"/>
  </r>
  <r>
    <n v="244"/>
    <x v="10"/>
    <x v="3"/>
    <b v="0"/>
    <n v="57"/>
    <n v="2"/>
    <n v="55"/>
    <x v="1"/>
    <x v="0"/>
    <x v="0"/>
    <x v="1"/>
    <n v="2"/>
  </r>
  <r>
    <n v="245"/>
    <x v="10"/>
    <x v="3"/>
    <b v="0"/>
    <n v="52"/>
    <n v="6"/>
    <n v="46"/>
    <x v="1"/>
    <x v="0"/>
    <x v="0"/>
    <x v="1"/>
    <n v="2"/>
  </r>
  <r>
    <n v="246"/>
    <x v="10"/>
    <x v="3"/>
    <b v="0"/>
    <n v="63"/>
    <n v="3"/>
    <n v="60"/>
    <x v="1"/>
    <x v="0"/>
    <x v="0"/>
    <x v="1"/>
    <n v="2"/>
  </r>
  <r>
    <n v="247"/>
    <x v="10"/>
    <x v="3"/>
    <b v="0"/>
    <n v="47"/>
    <n v="2"/>
    <n v="45"/>
    <x v="1"/>
    <x v="0"/>
    <x v="0"/>
    <x v="1"/>
    <n v="2"/>
  </r>
  <r>
    <n v="248"/>
    <x v="10"/>
    <x v="3"/>
    <b v="0"/>
    <n v="76"/>
    <n v="4"/>
    <n v="72"/>
    <x v="1"/>
    <x v="0"/>
    <x v="0"/>
    <x v="1"/>
    <n v="2"/>
  </r>
  <r>
    <n v="249"/>
    <x v="10"/>
    <x v="3"/>
    <b v="0"/>
    <n v="136"/>
    <n v="6"/>
    <n v="130"/>
    <x v="1"/>
    <x v="0"/>
    <x v="1"/>
    <x v="1"/>
    <n v="2"/>
  </r>
  <r>
    <n v="250"/>
    <x v="10"/>
    <x v="3"/>
    <b v="0"/>
    <n v="95"/>
    <n v="1"/>
    <n v="94"/>
    <x v="1"/>
    <x v="0"/>
    <x v="0"/>
    <x v="2"/>
    <n v="3"/>
  </r>
  <r>
    <n v="251"/>
    <x v="10"/>
    <x v="3"/>
    <b v="0"/>
    <n v="51"/>
    <n v="0"/>
    <n v="51"/>
    <x v="1"/>
    <x v="0"/>
    <x v="0"/>
    <x v="2"/>
    <n v="3"/>
  </r>
  <r>
    <n v="252"/>
    <x v="10"/>
    <x v="3"/>
    <b v="0"/>
    <n v="32"/>
    <n v="0"/>
    <n v="32"/>
    <x v="1"/>
    <x v="0"/>
    <x v="0"/>
    <x v="2"/>
    <n v="3"/>
  </r>
  <r>
    <n v="253"/>
    <x v="10"/>
    <x v="3"/>
    <b v="0"/>
    <n v="20"/>
    <n v="0"/>
    <n v="20"/>
    <x v="1"/>
    <x v="0"/>
    <x v="0"/>
    <x v="2"/>
    <n v="3"/>
  </r>
  <r>
    <n v="254"/>
    <x v="10"/>
    <x v="3"/>
    <b v="0"/>
    <n v="29"/>
    <n v="1"/>
    <n v="28"/>
    <x v="1"/>
    <x v="0"/>
    <x v="0"/>
    <x v="2"/>
    <n v="3"/>
  </r>
  <r>
    <n v="255"/>
    <x v="10"/>
    <x v="3"/>
    <b v="0"/>
    <n v="19"/>
    <n v="1"/>
    <n v="18"/>
    <x v="1"/>
    <x v="0"/>
    <x v="0"/>
    <x v="2"/>
    <n v="3"/>
  </r>
  <r>
    <n v="256"/>
    <x v="11"/>
    <x v="4"/>
    <b v="0"/>
    <n v="7"/>
    <n v="0"/>
    <n v="7"/>
    <x v="1"/>
    <x v="0"/>
    <x v="0"/>
    <x v="1"/>
    <n v="2"/>
  </r>
  <r>
    <n v="257"/>
    <x v="11"/>
    <x v="4"/>
    <b v="0"/>
    <n v="6"/>
    <n v="0"/>
    <n v="6"/>
    <x v="1"/>
    <x v="0"/>
    <x v="0"/>
    <x v="1"/>
    <n v="2"/>
  </r>
  <r>
    <n v="258"/>
    <x v="11"/>
    <x v="4"/>
    <b v="0"/>
    <n v="1"/>
    <n v="0"/>
    <n v="1"/>
    <x v="1"/>
    <x v="0"/>
    <x v="0"/>
    <x v="0"/>
    <n v="1"/>
  </r>
  <r>
    <n v="259"/>
    <x v="11"/>
    <x v="4"/>
    <b v="0"/>
    <n v="5"/>
    <n v="0"/>
    <n v="5"/>
    <x v="1"/>
    <x v="0"/>
    <x v="0"/>
    <x v="0"/>
    <n v="1"/>
  </r>
  <r>
    <n v="260"/>
    <x v="11"/>
    <x v="4"/>
    <b v="0"/>
    <n v="16"/>
    <n v="0"/>
    <n v="16"/>
    <x v="1"/>
    <x v="0"/>
    <x v="0"/>
    <x v="0"/>
    <n v="1"/>
  </r>
  <r>
    <n v="261"/>
    <x v="11"/>
    <x v="4"/>
    <b v="0"/>
    <n v="54"/>
    <n v="0"/>
    <n v="54"/>
    <x v="1"/>
    <x v="0"/>
    <x v="0"/>
    <x v="0"/>
    <n v="1"/>
  </r>
  <r>
    <n v="262"/>
    <x v="11"/>
    <x v="4"/>
    <b v="0"/>
    <n v="128"/>
    <n v="3"/>
    <n v="125"/>
    <x v="1"/>
    <x v="0"/>
    <x v="1"/>
    <x v="0"/>
    <n v="1"/>
  </r>
  <r>
    <n v="263"/>
    <x v="11"/>
    <x v="4"/>
    <b v="0"/>
    <n v="81"/>
    <n v="3"/>
    <n v="78"/>
    <x v="1"/>
    <x v="0"/>
    <x v="0"/>
    <x v="0"/>
    <n v="1"/>
  </r>
  <r>
    <n v="264"/>
    <x v="11"/>
    <x v="4"/>
    <b v="0"/>
    <n v="39"/>
    <n v="0"/>
    <n v="39"/>
    <x v="1"/>
    <x v="0"/>
    <x v="0"/>
    <x v="0"/>
    <n v="1"/>
  </r>
  <r>
    <n v="265"/>
    <x v="11"/>
    <x v="4"/>
    <b v="0"/>
    <n v="35"/>
    <n v="3"/>
    <n v="32"/>
    <x v="1"/>
    <x v="0"/>
    <x v="0"/>
    <x v="0"/>
    <n v="1"/>
  </r>
  <r>
    <n v="266"/>
    <x v="11"/>
    <x v="4"/>
    <b v="0"/>
    <n v="55"/>
    <n v="3"/>
    <n v="52"/>
    <x v="1"/>
    <x v="0"/>
    <x v="0"/>
    <x v="0"/>
    <n v="1"/>
  </r>
  <r>
    <n v="267"/>
    <x v="11"/>
    <x v="4"/>
    <b v="0"/>
    <n v="49"/>
    <n v="0"/>
    <n v="49"/>
    <x v="1"/>
    <x v="0"/>
    <x v="0"/>
    <x v="0"/>
    <n v="1"/>
  </r>
  <r>
    <n v="268"/>
    <x v="11"/>
    <x v="4"/>
    <b v="0"/>
    <n v="44"/>
    <n v="0"/>
    <n v="44"/>
    <x v="1"/>
    <x v="0"/>
    <x v="0"/>
    <x v="0"/>
    <n v="1"/>
  </r>
  <r>
    <n v="269"/>
    <x v="11"/>
    <x v="4"/>
    <b v="0"/>
    <n v="49"/>
    <n v="1"/>
    <n v="48"/>
    <x v="1"/>
    <x v="0"/>
    <x v="0"/>
    <x v="0"/>
    <n v="1"/>
  </r>
  <r>
    <n v="270"/>
    <x v="11"/>
    <x v="4"/>
    <b v="0"/>
    <n v="68"/>
    <n v="5"/>
    <n v="63"/>
    <x v="1"/>
    <x v="0"/>
    <x v="0"/>
    <x v="0"/>
    <n v="1"/>
  </r>
  <r>
    <n v="271"/>
    <x v="11"/>
    <x v="4"/>
    <b v="0"/>
    <n v="139"/>
    <n v="0"/>
    <n v="139"/>
    <x v="1"/>
    <x v="0"/>
    <x v="1"/>
    <x v="0"/>
    <n v="1"/>
  </r>
  <r>
    <n v="272"/>
    <x v="11"/>
    <x v="4"/>
    <b v="0"/>
    <n v="137"/>
    <n v="2"/>
    <n v="135"/>
    <x v="1"/>
    <x v="0"/>
    <x v="1"/>
    <x v="0"/>
    <n v="1"/>
  </r>
  <r>
    <n v="273"/>
    <x v="11"/>
    <x v="4"/>
    <b v="0"/>
    <n v="83"/>
    <n v="1"/>
    <n v="82"/>
    <x v="1"/>
    <x v="0"/>
    <x v="0"/>
    <x v="0"/>
    <n v="1"/>
  </r>
  <r>
    <n v="274"/>
    <x v="11"/>
    <x v="4"/>
    <b v="0"/>
    <n v="56"/>
    <n v="2"/>
    <n v="54"/>
    <x v="1"/>
    <x v="0"/>
    <x v="0"/>
    <x v="0"/>
    <n v="1"/>
  </r>
  <r>
    <n v="275"/>
    <x v="11"/>
    <x v="4"/>
    <b v="0"/>
    <n v="57"/>
    <n v="0"/>
    <n v="57"/>
    <x v="1"/>
    <x v="0"/>
    <x v="0"/>
    <x v="0"/>
    <n v="1"/>
  </r>
  <r>
    <n v="276"/>
    <x v="11"/>
    <x v="4"/>
    <b v="0"/>
    <n v="33"/>
    <n v="1"/>
    <n v="32"/>
    <x v="1"/>
    <x v="0"/>
    <x v="0"/>
    <x v="0"/>
    <n v="1"/>
  </r>
  <r>
    <n v="277"/>
    <x v="11"/>
    <x v="4"/>
    <b v="0"/>
    <n v="20"/>
    <n v="1"/>
    <n v="19"/>
    <x v="1"/>
    <x v="0"/>
    <x v="0"/>
    <x v="0"/>
    <n v="1"/>
  </r>
  <r>
    <n v="278"/>
    <x v="12"/>
    <x v="5"/>
    <b v="0"/>
    <n v="7"/>
    <n v="1"/>
    <n v="6"/>
    <x v="1"/>
    <x v="0"/>
    <x v="0"/>
    <x v="0"/>
    <n v="1"/>
  </r>
  <r>
    <n v="279"/>
    <x v="12"/>
    <x v="5"/>
    <b v="0"/>
    <n v="2"/>
    <n v="0"/>
    <n v="2"/>
    <x v="1"/>
    <x v="0"/>
    <x v="0"/>
    <x v="0"/>
    <n v="1"/>
  </r>
  <r>
    <n v="280"/>
    <x v="12"/>
    <x v="5"/>
    <b v="0"/>
    <n v="2"/>
    <n v="0"/>
    <n v="2"/>
    <x v="1"/>
    <x v="0"/>
    <x v="0"/>
    <x v="0"/>
    <n v="1"/>
  </r>
  <r>
    <n v="281"/>
    <x v="12"/>
    <x v="5"/>
    <b v="0"/>
    <n v="3"/>
    <n v="0"/>
    <n v="3"/>
    <x v="1"/>
    <x v="0"/>
    <x v="0"/>
    <x v="0"/>
    <n v="1"/>
  </r>
  <r>
    <n v="282"/>
    <x v="12"/>
    <x v="5"/>
    <b v="0"/>
    <n v="4"/>
    <n v="0"/>
    <n v="4"/>
    <x v="1"/>
    <x v="0"/>
    <x v="0"/>
    <x v="0"/>
    <n v="1"/>
  </r>
  <r>
    <n v="283"/>
    <x v="12"/>
    <x v="5"/>
    <b v="0"/>
    <n v="3"/>
    <n v="0"/>
    <n v="3"/>
    <x v="1"/>
    <x v="0"/>
    <x v="0"/>
    <x v="0"/>
    <n v="1"/>
  </r>
  <r>
    <n v="284"/>
    <x v="12"/>
    <x v="5"/>
    <b v="0"/>
    <n v="28"/>
    <n v="0"/>
    <n v="28"/>
    <x v="1"/>
    <x v="0"/>
    <x v="0"/>
    <x v="0"/>
    <n v="1"/>
  </r>
  <r>
    <n v="285"/>
    <x v="12"/>
    <x v="5"/>
    <b v="0"/>
    <n v="72"/>
    <n v="0"/>
    <n v="72"/>
    <x v="1"/>
    <x v="0"/>
    <x v="0"/>
    <x v="0"/>
    <n v="1"/>
  </r>
  <r>
    <n v="286"/>
    <x v="12"/>
    <x v="5"/>
    <b v="0"/>
    <n v="202"/>
    <n v="5"/>
    <n v="197"/>
    <x v="1"/>
    <x v="0"/>
    <x v="2"/>
    <x v="0"/>
    <n v="1"/>
  </r>
  <r>
    <n v="287"/>
    <x v="12"/>
    <x v="5"/>
    <b v="0"/>
    <n v="139"/>
    <n v="2"/>
    <n v="137"/>
    <x v="1"/>
    <x v="0"/>
    <x v="1"/>
    <x v="0"/>
    <n v="1"/>
  </r>
  <r>
    <n v="288"/>
    <x v="12"/>
    <x v="5"/>
    <b v="0"/>
    <n v="38"/>
    <n v="2"/>
    <n v="36"/>
    <x v="1"/>
    <x v="0"/>
    <x v="0"/>
    <x v="1"/>
    <n v="2"/>
  </r>
  <r>
    <n v="289"/>
    <x v="12"/>
    <x v="5"/>
    <b v="0"/>
    <n v="37"/>
    <n v="4"/>
    <n v="33"/>
    <x v="1"/>
    <x v="0"/>
    <x v="0"/>
    <x v="1"/>
    <n v="2"/>
  </r>
  <r>
    <n v="290"/>
    <x v="12"/>
    <x v="5"/>
    <b v="0"/>
    <n v="52"/>
    <n v="3"/>
    <n v="49"/>
    <x v="1"/>
    <x v="0"/>
    <x v="0"/>
    <x v="0"/>
    <n v="1"/>
  </r>
  <r>
    <n v="291"/>
    <x v="12"/>
    <x v="5"/>
    <b v="0"/>
    <n v="83"/>
    <n v="2"/>
    <n v="81"/>
    <x v="1"/>
    <x v="0"/>
    <x v="0"/>
    <x v="0"/>
    <n v="1"/>
  </r>
  <r>
    <n v="292"/>
    <x v="12"/>
    <x v="5"/>
    <b v="0"/>
    <n v="42"/>
    <n v="3"/>
    <n v="39"/>
    <x v="1"/>
    <x v="0"/>
    <x v="0"/>
    <x v="0"/>
    <n v="1"/>
  </r>
  <r>
    <n v="293"/>
    <x v="12"/>
    <x v="5"/>
    <b v="0"/>
    <n v="60"/>
    <n v="5"/>
    <n v="55"/>
    <x v="1"/>
    <x v="0"/>
    <x v="0"/>
    <x v="0"/>
    <n v="1"/>
  </r>
  <r>
    <n v="294"/>
    <x v="12"/>
    <x v="5"/>
    <b v="0"/>
    <n v="78"/>
    <n v="2"/>
    <n v="76"/>
    <x v="1"/>
    <x v="0"/>
    <x v="0"/>
    <x v="0"/>
    <n v="1"/>
  </r>
  <r>
    <n v="295"/>
    <x v="12"/>
    <x v="5"/>
    <b v="0"/>
    <n v="162"/>
    <n v="4"/>
    <n v="158"/>
    <x v="1"/>
    <x v="0"/>
    <x v="2"/>
    <x v="0"/>
    <n v="1"/>
  </r>
  <r>
    <n v="296"/>
    <x v="12"/>
    <x v="5"/>
    <b v="0"/>
    <n v="144"/>
    <n v="3"/>
    <n v="141"/>
    <x v="1"/>
    <x v="0"/>
    <x v="1"/>
    <x v="0"/>
    <n v="1"/>
  </r>
  <r>
    <n v="297"/>
    <x v="12"/>
    <x v="5"/>
    <b v="0"/>
    <n v="99"/>
    <n v="1"/>
    <n v="98"/>
    <x v="1"/>
    <x v="0"/>
    <x v="0"/>
    <x v="0"/>
    <n v="1"/>
  </r>
  <r>
    <n v="298"/>
    <x v="12"/>
    <x v="5"/>
    <b v="0"/>
    <n v="64"/>
    <n v="0"/>
    <n v="64"/>
    <x v="1"/>
    <x v="0"/>
    <x v="0"/>
    <x v="0"/>
    <n v="1"/>
  </r>
  <r>
    <n v="299"/>
    <x v="12"/>
    <x v="5"/>
    <b v="0"/>
    <n v="40"/>
    <n v="0"/>
    <n v="40"/>
    <x v="1"/>
    <x v="0"/>
    <x v="0"/>
    <x v="0"/>
    <n v="1"/>
  </r>
  <r>
    <n v="300"/>
    <x v="12"/>
    <x v="5"/>
    <b v="0"/>
    <n v="30"/>
    <n v="0"/>
    <n v="30"/>
    <x v="1"/>
    <x v="0"/>
    <x v="0"/>
    <x v="0"/>
    <n v="1"/>
  </r>
  <r>
    <n v="301"/>
    <x v="12"/>
    <x v="5"/>
    <b v="0"/>
    <n v="15"/>
    <n v="1"/>
    <n v="14"/>
    <x v="1"/>
    <x v="0"/>
    <x v="0"/>
    <x v="0"/>
    <n v="1"/>
  </r>
  <r>
    <n v="302"/>
    <x v="13"/>
    <x v="6"/>
    <b v="0"/>
    <n v="14"/>
    <n v="0"/>
    <n v="14"/>
    <x v="1"/>
    <x v="0"/>
    <x v="0"/>
    <x v="0"/>
    <n v="1"/>
  </r>
  <r>
    <n v="303"/>
    <x v="13"/>
    <x v="6"/>
    <b v="0"/>
    <n v="5"/>
    <n v="0"/>
    <n v="5"/>
    <x v="1"/>
    <x v="0"/>
    <x v="0"/>
    <x v="0"/>
    <n v="1"/>
  </r>
  <r>
    <n v="304"/>
    <x v="13"/>
    <x v="6"/>
    <b v="0"/>
    <n v="1"/>
    <n v="0"/>
    <n v="1"/>
    <x v="1"/>
    <x v="0"/>
    <x v="0"/>
    <x v="0"/>
    <n v="1"/>
  </r>
  <r>
    <n v="305"/>
    <x v="13"/>
    <x v="6"/>
    <b v="0"/>
    <n v="1"/>
    <n v="0"/>
    <n v="1"/>
    <x v="1"/>
    <x v="0"/>
    <x v="0"/>
    <x v="0"/>
    <n v="1"/>
  </r>
  <r>
    <n v="306"/>
    <x v="13"/>
    <x v="6"/>
    <b v="0"/>
    <n v="8"/>
    <n v="0"/>
    <n v="8"/>
    <x v="1"/>
    <x v="0"/>
    <x v="0"/>
    <x v="0"/>
    <n v="1"/>
  </r>
  <r>
    <n v="307"/>
    <x v="13"/>
    <x v="6"/>
    <b v="0"/>
    <n v="17"/>
    <n v="0"/>
    <n v="17"/>
    <x v="1"/>
    <x v="0"/>
    <x v="0"/>
    <x v="0"/>
    <n v="1"/>
  </r>
  <r>
    <n v="308"/>
    <x v="13"/>
    <x v="6"/>
    <b v="0"/>
    <n v="70"/>
    <n v="0"/>
    <n v="70"/>
    <x v="1"/>
    <x v="0"/>
    <x v="0"/>
    <x v="0"/>
    <n v="1"/>
  </r>
  <r>
    <n v="309"/>
    <x v="13"/>
    <x v="6"/>
    <b v="0"/>
    <n v="158"/>
    <n v="2"/>
    <n v="156"/>
    <x v="1"/>
    <x v="0"/>
    <x v="2"/>
    <x v="0"/>
    <n v="1"/>
  </r>
  <r>
    <n v="310"/>
    <x v="13"/>
    <x v="6"/>
    <b v="0"/>
    <n v="117"/>
    <n v="0"/>
    <n v="117"/>
    <x v="1"/>
    <x v="0"/>
    <x v="1"/>
    <x v="0"/>
    <n v="1"/>
  </r>
  <r>
    <n v="311"/>
    <x v="13"/>
    <x v="6"/>
    <b v="0"/>
    <n v="44"/>
    <n v="4"/>
    <n v="40"/>
    <x v="1"/>
    <x v="0"/>
    <x v="0"/>
    <x v="0"/>
    <n v="1"/>
  </r>
  <r>
    <n v="312"/>
    <x v="13"/>
    <x v="6"/>
    <b v="0"/>
    <n v="53"/>
    <n v="6"/>
    <n v="47"/>
    <x v="1"/>
    <x v="0"/>
    <x v="0"/>
    <x v="0"/>
    <n v="1"/>
  </r>
  <r>
    <n v="313"/>
    <x v="13"/>
    <x v="6"/>
    <b v="0"/>
    <n v="61"/>
    <n v="2"/>
    <n v="59"/>
    <x v="1"/>
    <x v="0"/>
    <x v="0"/>
    <x v="0"/>
    <n v="1"/>
  </r>
  <r>
    <n v="314"/>
    <x v="13"/>
    <x v="6"/>
    <b v="0"/>
    <n v="77"/>
    <n v="4"/>
    <n v="73"/>
    <x v="1"/>
    <x v="0"/>
    <x v="0"/>
    <x v="0"/>
    <n v="1"/>
  </r>
  <r>
    <n v="315"/>
    <x v="13"/>
    <x v="6"/>
    <b v="0"/>
    <n v="64"/>
    <n v="5"/>
    <n v="59"/>
    <x v="1"/>
    <x v="0"/>
    <x v="0"/>
    <x v="0"/>
    <n v="1"/>
  </r>
  <r>
    <n v="316"/>
    <x v="13"/>
    <x v="6"/>
    <b v="0"/>
    <n v="68"/>
    <n v="9"/>
    <n v="59"/>
    <x v="1"/>
    <x v="0"/>
    <x v="0"/>
    <x v="0"/>
    <n v="1"/>
  </r>
  <r>
    <n v="317"/>
    <x v="13"/>
    <x v="6"/>
    <b v="0"/>
    <n v="90"/>
    <n v="3"/>
    <n v="87"/>
    <x v="1"/>
    <x v="0"/>
    <x v="0"/>
    <x v="0"/>
    <n v="1"/>
  </r>
  <r>
    <n v="318"/>
    <x v="13"/>
    <x v="6"/>
    <b v="0"/>
    <n v="159"/>
    <n v="4"/>
    <n v="155"/>
    <x v="1"/>
    <x v="0"/>
    <x v="2"/>
    <x v="0"/>
    <n v="1"/>
  </r>
  <r>
    <n v="319"/>
    <x v="13"/>
    <x v="6"/>
    <b v="0"/>
    <n v="139"/>
    <n v="5"/>
    <n v="134"/>
    <x v="1"/>
    <x v="0"/>
    <x v="1"/>
    <x v="0"/>
    <n v="1"/>
  </r>
  <r>
    <n v="320"/>
    <x v="13"/>
    <x v="6"/>
    <b v="0"/>
    <n v="92"/>
    <n v="3"/>
    <n v="89"/>
    <x v="1"/>
    <x v="0"/>
    <x v="0"/>
    <x v="0"/>
    <n v="1"/>
  </r>
  <r>
    <n v="321"/>
    <x v="13"/>
    <x v="6"/>
    <b v="0"/>
    <n v="68"/>
    <n v="0"/>
    <n v="68"/>
    <x v="1"/>
    <x v="0"/>
    <x v="0"/>
    <x v="0"/>
    <n v="1"/>
  </r>
  <r>
    <n v="322"/>
    <x v="13"/>
    <x v="6"/>
    <b v="0"/>
    <n v="52"/>
    <n v="4"/>
    <n v="48"/>
    <x v="1"/>
    <x v="0"/>
    <x v="0"/>
    <x v="0"/>
    <n v="1"/>
  </r>
  <r>
    <n v="323"/>
    <x v="13"/>
    <x v="6"/>
    <b v="0"/>
    <n v="36"/>
    <n v="2"/>
    <n v="34"/>
    <x v="1"/>
    <x v="0"/>
    <x v="0"/>
    <x v="1"/>
    <n v="2"/>
  </r>
  <r>
    <n v="324"/>
    <x v="13"/>
    <x v="6"/>
    <b v="0"/>
    <n v="27"/>
    <n v="1"/>
    <n v="26"/>
    <x v="1"/>
    <x v="0"/>
    <x v="0"/>
    <x v="1"/>
    <n v="2"/>
  </r>
  <r>
    <n v="325"/>
    <x v="14"/>
    <x v="0"/>
    <b v="0"/>
    <n v="28"/>
    <n v="3"/>
    <n v="25"/>
    <x v="0"/>
    <x v="0"/>
    <x v="0"/>
    <x v="0"/>
    <n v="1"/>
  </r>
  <r>
    <n v="326"/>
    <x v="14"/>
    <x v="0"/>
    <b v="0"/>
    <n v="20"/>
    <n v="2"/>
    <n v="18"/>
    <x v="0"/>
    <x v="0"/>
    <x v="0"/>
    <x v="1"/>
    <n v="2"/>
  </r>
  <r>
    <n v="327"/>
    <x v="14"/>
    <x v="0"/>
    <b v="0"/>
    <n v="12"/>
    <n v="0"/>
    <n v="12"/>
    <x v="0"/>
    <x v="0"/>
    <x v="0"/>
    <x v="1"/>
    <n v="2"/>
  </r>
  <r>
    <n v="328"/>
    <x v="14"/>
    <x v="0"/>
    <b v="0"/>
    <n v="8"/>
    <n v="1"/>
    <n v="7"/>
    <x v="0"/>
    <x v="0"/>
    <x v="0"/>
    <x v="1"/>
    <n v="2"/>
  </r>
  <r>
    <n v="329"/>
    <x v="14"/>
    <x v="0"/>
    <b v="0"/>
    <n v="5"/>
    <n v="0"/>
    <n v="5"/>
    <x v="0"/>
    <x v="0"/>
    <x v="0"/>
    <x v="1"/>
    <n v="2"/>
  </r>
  <r>
    <n v="330"/>
    <x v="14"/>
    <x v="0"/>
    <b v="0"/>
    <n v="1"/>
    <n v="0"/>
    <n v="1"/>
    <x v="0"/>
    <x v="0"/>
    <x v="0"/>
    <x v="0"/>
    <n v="1"/>
  </r>
  <r>
    <n v="331"/>
    <x v="14"/>
    <x v="0"/>
    <b v="0"/>
    <n v="3"/>
    <n v="1"/>
    <n v="2"/>
    <x v="0"/>
    <x v="0"/>
    <x v="0"/>
    <x v="0"/>
    <n v="1"/>
  </r>
  <r>
    <n v="332"/>
    <x v="14"/>
    <x v="0"/>
    <b v="0"/>
    <n v="10"/>
    <n v="1"/>
    <n v="9"/>
    <x v="0"/>
    <x v="0"/>
    <x v="0"/>
    <x v="0"/>
    <n v="1"/>
  </r>
  <r>
    <n v="333"/>
    <x v="14"/>
    <x v="0"/>
    <b v="0"/>
    <n v="23"/>
    <n v="1"/>
    <n v="22"/>
    <x v="0"/>
    <x v="0"/>
    <x v="0"/>
    <x v="0"/>
    <n v="1"/>
  </r>
  <r>
    <n v="334"/>
    <x v="14"/>
    <x v="0"/>
    <b v="0"/>
    <n v="33"/>
    <n v="2"/>
    <n v="31"/>
    <x v="0"/>
    <x v="0"/>
    <x v="0"/>
    <x v="0"/>
    <n v="1"/>
  </r>
  <r>
    <n v="335"/>
    <x v="14"/>
    <x v="0"/>
    <b v="0"/>
    <n v="59"/>
    <n v="2"/>
    <n v="57"/>
    <x v="0"/>
    <x v="0"/>
    <x v="0"/>
    <x v="0"/>
    <n v="1"/>
  </r>
  <r>
    <n v="336"/>
    <x v="14"/>
    <x v="0"/>
    <b v="0"/>
    <n v="72"/>
    <n v="18"/>
    <n v="54"/>
    <x v="0"/>
    <x v="0"/>
    <x v="0"/>
    <x v="0"/>
    <n v="1"/>
  </r>
  <r>
    <n v="337"/>
    <x v="14"/>
    <x v="0"/>
    <b v="0"/>
    <n v="89"/>
    <n v="15"/>
    <n v="74"/>
    <x v="0"/>
    <x v="0"/>
    <x v="0"/>
    <x v="0"/>
    <n v="1"/>
  </r>
  <r>
    <n v="338"/>
    <x v="14"/>
    <x v="0"/>
    <b v="0"/>
    <n v="101"/>
    <n v="21"/>
    <n v="80"/>
    <x v="0"/>
    <x v="0"/>
    <x v="1"/>
    <x v="0"/>
    <n v="1"/>
  </r>
  <r>
    <n v="339"/>
    <x v="14"/>
    <x v="0"/>
    <b v="0"/>
    <n v="118"/>
    <n v="26"/>
    <n v="92"/>
    <x v="0"/>
    <x v="0"/>
    <x v="1"/>
    <x v="0"/>
    <n v="1"/>
  </r>
  <r>
    <n v="340"/>
    <x v="14"/>
    <x v="0"/>
    <b v="0"/>
    <n v="129"/>
    <n v="21"/>
    <n v="108"/>
    <x v="0"/>
    <x v="0"/>
    <x v="1"/>
    <x v="1"/>
    <n v="2"/>
  </r>
  <r>
    <n v="341"/>
    <x v="14"/>
    <x v="0"/>
    <b v="0"/>
    <n v="128"/>
    <n v="33"/>
    <n v="95"/>
    <x v="0"/>
    <x v="0"/>
    <x v="1"/>
    <x v="1"/>
    <n v="2"/>
  </r>
  <r>
    <n v="342"/>
    <x v="14"/>
    <x v="0"/>
    <b v="0"/>
    <n v="83"/>
    <n v="29"/>
    <n v="54"/>
    <x v="0"/>
    <x v="0"/>
    <x v="0"/>
    <x v="1"/>
    <n v="2"/>
  </r>
  <r>
    <n v="343"/>
    <x v="14"/>
    <x v="0"/>
    <b v="0"/>
    <n v="84"/>
    <n v="15"/>
    <n v="69"/>
    <x v="0"/>
    <x v="0"/>
    <x v="0"/>
    <x v="1"/>
    <n v="2"/>
  </r>
  <r>
    <n v="344"/>
    <x v="14"/>
    <x v="0"/>
    <b v="0"/>
    <n v="74"/>
    <n v="14"/>
    <n v="60"/>
    <x v="0"/>
    <x v="0"/>
    <x v="0"/>
    <x v="1"/>
    <n v="2"/>
  </r>
  <r>
    <n v="345"/>
    <x v="14"/>
    <x v="0"/>
    <b v="0"/>
    <n v="41"/>
    <n v="6"/>
    <n v="35"/>
    <x v="0"/>
    <x v="0"/>
    <x v="0"/>
    <x v="1"/>
    <n v="2"/>
  </r>
  <r>
    <n v="346"/>
    <x v="14"/>
    <x v="0"/>
    <b v="0"/>
    <n v="57"/>
    <n v="6"/>
    <n v="51"/>
    <x v="0"/>
    <x v="0"/>
    <x v="0"/>
    <x v="1"/>
    <n v="2"/>
  </r>
  <r>
    <n v="347"/>
    <x v="14"/>
    <x v="0"/>
    <b v="0"/>
    <n v="26"/>
    <n v="0"/>
    <n v="26"/>
    <x v="0"/>
    <x v="0"/>
    <x v="0"/>
    <x v="1"/>
    <n v="2"/>
  </r>
  <r>
    <n v="348"/>
    <x v="14"/>
    <x v="0"/>
    <b v="0"/>
    <n v="44"/>
    <n v="5"/>
    <n v="39"/>
    <x v="0"/>
    <x v="0"/>
    <x v="0"/>
    <x v="0"/>
    <n v="1"/>
  </r>
  <r>
    <n v="349"/>
    <x v="15"/>
    <x v="1"/>
    <b v="0"/>
    <n v="39"/>
    <n v="6"/>
    <n v="33"/>
    <x v="0"/>
    <x v="0"/>
    <x v="0"/>
    <x v="0"/>
    <n v="1"/>
  </r>
  <r>
    <n v="350"/>
    <x v="15"/>
    <x v="1"/>
    <b v="0"/>
    <n v="23"/>
    <n v="4"/>
    <n v="19"/>
    <x v="0"/>
    <x v="0"/>
    <x v="0"/>
    <x v="0"/>
    <n v="1"/>
  </r>
  <r>
    <n v="351"/>
    <x v="15"/>
    <x v="1"/>
    <b v="0"/>
    <n v="16"/>
    <n v="3"/>
    <n v="13"/>
    <x v="0"/>
    <x v="0"/>
    <x v="0"/>
    <x v="0"/>
    <n v="1"/>
  </r>
  <r>
    <n v="352"/>
    <x v="15"/>
    <x v="1"/>
    <b v="0"/>
    <n v="15"/>
    <n v="9"/>
    <n v="6"/>
    <x v="0"/>
    <x v="0"/>
    <x v="0"/>
    <x v="0"/>
    <n v="1"/>
  </r>
  <r>
    <n v="353"/>
    <x v="15"/>
    <x v="1"/>
    <b v="0"/>
    <n v="1"/>
    <n v="0"/>
    <n v="1"/>
    <x v="0"/>
    <x v="0"/>
    <x v="0"/>
    <x v="0"/>
    <n v="1"/>
  </r>
  <r>
    <n v="354"/>
    <x v="15"/>
    <x v="1"/>
    <b v="0"/>
    <n v="2"/>
    <n v="1"/>
    <n v="1"/>
    <x v="0"/>
    <x v="0"/>
    <x v="0"/>
    <x v="1"/>
    <n v="2"/>
  </r>
  <r>
    <n v="355"/>
    <x v="15"/>
    <x v="1"/>
    <b v="0"/>
    <n v="1"/>
    <n v="0"/>
    <n v="1"/>
    <x v="0"/>
    <x v="0"/>
    <x v="0"/>
    <x v="1"/>
    <n v="2"/>
  </r>
  <r>
    <n v="356"/>
    <x v="15"/>
    <x v="1"/>
    <b v="0"/>
    <n v="3"/>
    <n v="0"/>
    <n v="3"/>
    <x v="0"/>
    <x v="0"/>
    <x v="0"/>
    <x v="1"/>
    <n v="2"/>
  </r>
  <r>
    <n v="357"/>
    <x v="15"/>
    <x v="1"/>
    <b v="0"/>
    <n v="18"/>
    <n v="0"/>
    <n v="18"/>
    <x v="0"/>
    <x v="0"/>
    <x v="0"/>
    <x v="0"/>
    <n v="1"/>
  </r>
  <r>
    <n v="358"/>
    <x v="15"/>
    <x v="1"/>
    <b v="0"/>
    <n v="32"/>
    <n v="3"/>
    <n v="29"/>
    <x v="0"/>
    <x v="0"/>
    <x v="0"/>
    <x v="0"/>
    <n v="1"/>
  </r>
  <r>
    <n v="359"/>
    <x v="15"/>
    <x v="1"/>
    <b v="0"/>
    <n v="79"/>
    <n v="8"/>
    <n v="71"/>
    <x v="0"/>
    <x v="0"/>
    <x v="0"/>
    <x v="0"/>
    <n v="1"/>
  </r>
  <r>
    <n v="360"/>
    <x v="15"/>
    <x v="1"/>
    <b v="0"/>
    <n v="93"/>
    <n v="23"/>
    <n v="70"/>
    <x v="0"/>
    <x v="0"/>
    <x v="0"/>
    <x v="0"/>
    <n v="1"/>
  </r>
  <r>
    <n v="361"/>
    <x v="15"/>
    <x v="1"/>
    <b v="0"/>
    <n v="104"/>
    <n v="29"/>
    <n v="75"/>
    <x v="0"/>
    <x v="0"/>
    <x v="1"/>
    <x v="0"/>
    <n v="1"/>
  </r>
  <r>
    <n v="362"/>
    <x v="15"/>
    <x v="1"/>
    <b v="0"/>
    <n v="118"/>
    <n v="23"/>
    <n v="95"/>
    <x v="0"/>
    <x v="0"/>
    <x v="1"/>
    <x v="0"/>
    <n v="1"/>
  </r>
  <r>
    <n v="363"/>
    <x v="15"/>
    <x v="1"/>
    <b v="0"/>
    <n v="91"/>
    <n v="22"/>
    <n v="69"/>
    <x v="0"/>
    <x v="0"/>
    <x v="0"/>
    <x v="0"/>
    <n v="1"/>
  </r>
  <r>
    <n v="364"/>
    <x v="15"/>
    <x v="1"/>
    <b v="0"/>
    <n v="113"/>
    <n v="35"/>
    <n v="78"/>
    <x v="0"/>
    <x v="0"/>
    <x v="1"/>
    <x v="0"/>
    <n v="1"/>
  </r>
  <r>
    <n v="365"/>
    <x v="15"/>
    <x v="1"/>
    <b v="0"/>
    <n v="99"/>
    <n v="22"/>
    <n v="77"/>
    <x v="0"/>
    <x v="0"/>
    <x v="0"/>
    <x v="0"/>
    <n v="1"/>
  </r>
  <r>
    <n v="366"/>
    <x v="15"/>
    <x v="1"/>
    <b v="0"/>
    <n v="105"/>
    <n v="23"/>
    <n v="82"/>
    <x v="0"/>
    <x v="0"/>
    <x v="1"/>
    <x v="0"/>
    <n v="1"/>
  </r>
  <r>
    <n v="367"/>
    <x v="15"/>
    <x v="1"/>
    <b v="0"/>
    <n v="67"/>
    <n v="11"/>
    <n v="56"/>
    <x v="0"/>
    <x v="0"/>
    <x v="0"/>
    <x v="0"/>
    <n v="1"/>
  </r>
  <r>
    <n v="368"/>
    <x v="15"/>
    <x v="1"/>
    <b v="0"/>
    <n v="61"/>
    <n v="14"/>
    <n v="47"/>
    <x v="0"/>
    <x v="0"/>
    <x v="0"/>
    <x v="0"/>
    <n v="1"/>
  </r>
  <r>
    <n v="369"/>
    <x v="15"/>
    <x v="1"/>
    <b v="0"/>
    <n v="57"/>
    <n v="7"/>
    <n v="50"/>
    <x v="0"/>
    <x v="0"/>
    <x v="0"/>
    <x v="0"/>
    <n v="1"/>
  </r>
  <r>
    <n v="370"/>
    <x v="15"/>
    <x v="1"/>
    <b v="0"/>
    <n v="28"/>
    <n v="6"/>
    <n v="22"/>
    <x v="0"/>
    <x v="0"/>
    <x v="0"/>
    <x v="0"/>
    <n v="1"/>
  </r>
  <r>
    <n v="371"/>
    <x v="15"/>
    <x v="1"/>
    <b v="0"/>
    <n v="21"/>
    <n v="2"/>
    <n v="19"/>
    <x v="0"/>
    <x v="0"/>
    <x v="0"/>
    <x v="1"/>
    <n v="2"/>
  </r>
  <r>
    <n v="372"/>
    <x v="15"/>
    <x v="1"/>
    <b v="0"/>
    <n v="18"/>
    <n v="0"/>
    <n v="18"/>
    <x v="0"/>
    <x v="0"/>
    <x v="0"/>
    <x v="1"/>
    <n v="2"/>
  </r>
  <r>
    <n v="373"/>
    <x v="16"/>
    <x v="2"/>
    <b v="1"/>
    <n v="17"/>
    <n v="1"/>
    <n v="16"/>
    <x v="1"/>
    <x v="1"/>
    <x v="0"/>
    <x v="1"/>
    <n v="2"/>
  </r>
  <r>
    <n v="374"/>
    <x v="16"/>
    <x v="2"/>
    <b v="1"/>
    <n v="16"/>
    <n v="1"/>
    <n v="15"/>
    <x v="1"/>
    <x v="1"/>
    <x v="0"/>
    <x v="1"/>
    <n v="2"/>
  </r>
  <r>
    <n v="375"/>
    <x v="16"/>
    <x v="2"/>
    <b v="1"/>
    <n v="8"/>
    <n v="0"/>
    <n v="8"/>
    <x v="1"/>
    <x v="1"/>
    <x v="0"/>
    <x v="1"/>
    <n v="2"/>
  </r>
  <r>
    <n v="376"/>
    <x v="16"/>
    <x v="2"/>
    <b v="1"/>
    <n v="2"/>
    <n v="0"/>
    <n v="2"/>
    <x v="1"/>
    <x v="1"/>
    <x v="0"/>
    <x v="1"/>
    <n v="2"/>
  </r>
  <r>
    <n v="377"/>
    <x v="16"/>
    <x v="2"/>
    <b v="1"/>
    <n v="3"/>
    <n v="1"/>
    <n v="2"/>
    <x v="1"/>
    <x v="1"/>
    <x v="0"/>
    <x v="1"/>
    <n v="2"/>
  </r>
  <r>
    <n v="378"/>
    <x v="16"/>
    <x v="2"/>
    <b v="1"/>
    <n v="1"/>
    <n v="0"/>
    <n v="1"/>
    <x v="1"/>
    <x v="1"/>
    <x v="0"/>
    <x v="1"/>
    <n v="2"/>
  </r>
  <r>
    <n v="379"/>
    <x v="16"/>
    <x v="2"/>
    <b v="1"/>
    <n v="5"/>
    <n v="0"/>
    <n v="5"/>
    <x v="1"/>
    <x v="1"/>
    <x v="0"/>
    <x v="1"/>
    <n v="2"/>
  </r>
  <r>
    <n v="380"/>
    <x v="16"/>
    <x v="2"/>
    <b v="1"/>
    <n v="13"/>
    <n v="4"/>
    <n v="9"/>
    <x v="1"/>
    <x v="1"/>
    <x v="0"/>
    <x v="1"/>
    <n v="2"/>
  </r>
  <r>
    <n v="381"/>
    <x v="16"/>
    <x v="2"/>
    <b v="1"/>
    <n v="33"/>
    <n v="3"/>
    <n v="30"/>
    <x v="1"/>
    <x v="1"/>
    <x v="0"/>
    <x v="1"/>
    <n v="2"/>
  </r>
  <r>
    <n v="382"/>
    <x v="16"/>
    <x v="2"/>
    <b v="1"/>
    <n v="47"/>
    <n v="8"/>
    <n v="39"/>
    <x v="1"/>
    <x v="1"/>
    <x v="0"/>
    <x v="1"/>
    <n v="2"/>
  </r>
  <r>
    <n v="383"/>
    <x v="16"/>
    <x v="2"/>
    <b v="1"/>
    <n v="57"/>
    <n v="7"/>
    <n v="50"/>
    <x v="1"/>
    <x v="1"/>
    <x v="0"/>
    <x v="1"/>
    <n v="2"/>
  </r>
  <r>
    <n v="384"/>
    <x v="16"/>
    <x v="2"/>
    <b v="1"/>
    <n v="64"/>
    <n v="9"/>
    <n v="55"/>
    <x v="1"/>
    <x v="1"/>
    <x v="0"/>
    <x v="1"/>
    <n v="2"/>
  </r>
  <r>
    <n v="385"/>
    <x v="16"/>
    <x v="2"/>
    <b v="1"/>
    <n v="80"/>
    <n v="10"/>
    <n v="70"/>
    <x v="1"/>
    <x v="1"/>
    <x v="0"/>
    <x v="1"/>
    <n v="2"/>
  </r>
  <r>
    <n v="386"/>
    <x v="16"/>
    <x v="2"/>
    <b v="1"/>
    <n v="93"/>
    <n v="13"/>
    <n v="80"/>
    <x v="1"/>
    <x v="1"/>
    <x v="0"/>
    <x v="1"/>
    <n v="2"/>
  </r>
  <r>
    <n v="387"/>
    <x v="16"/>
    <x v="2"/>
    <b v="1"/>
    <n v="86"/>
    <n v="12"/>
    <n v="74"/>
    <x v="1"/>
    <x v="1"/>
    <x v="0"/>
    <x v="1"/>
    <n v="2"/>
  </r>
  <r>
    <n v="388"/>
    <x v="16"/>
    <x v="2"/>
    <b v="1"/>
    <n v="93"/>
    <n v="21"/>
    <n v="72"/>
    <x v="1"/>
    <x v="1"/>
    <x v="0"/>
    <x v="1"/>
    <n v="2"/>
  </r>
  <r>
    <n v="389"/>
    <x v="16"/>
    <x v="2"/>
    <b v="1"/>
    <n v="82"/>
    <n v="6"/>
    <n v="76"/>
    <x v="1"/>
    <x v="1"/>
    <x v="0"/>
    <x v="1"/>
    <n v="2"/>
  </r>
  <r>
    <n v="390"/>
    <x v="16"/>
    <x v="2"/>
    <b v="1"/>
    <n v="71"/>
    <n v="4"/>
    <n v="67"/>
    <x v="1"/>
    <x v="1"/>
    <x v="0"/>
    <x v="0"/>
    <n v="1"/>
  </r>
  <r>
    <n v="391"/>
    <x v="16"/>
    <x v="2"/>
    <b v="1"/>
    <n v="92"/>
    <n v="7"/>
    <n v="85"/>
    <x v="1"/>
    <x v="1"/>
    <x v="0"/>
    <x v="1"/>
    <n v="2"/>
  </r>
  <r>
    <n v="392"/>
    <x v="16"/>
    <x v="2"/>
    <b v="1"/>
    <n v="60"/>
    <n v="2"/>
    <n v="58"/>
    <x v="1"/>
    <x v="1"/>
    <x v="0"/>
    <x v="2"/>
    <n v="3"/>
  </r>
  <r>
    <n v="393"/>
    <x v="16"/>
    <x v="2"/>
    <b v="1"/>
    <n v="33"/>
    <n v="4"/>
    <n v="29"/>
    <x v="1"/>
    <x v="1"/>
    <x v="0"/>
    <x v="2"/>
    <n v="3"/>
  </r>
  <r>
    <n v="394"/>
    <x v="16"/>
    <x v="2"/>
    <b v="1"/>
    <n v="27"/>
    <n v="3"/>
    <n v="24"/>
    <x v="1"/>
    <x v="1"/>
    <x v="0"/>
    <x v="2"/>
    <n v="3"/>
  </r>
  <r>
    <n v="395"/>
    <x v="16"/>
    <x v="2"/>
    <b v="1"/>
    <n v="13"/>
    <n v="0"/>
    <n v="13"/>
    <x v="1"/>
    <x v="1"/>
    <x v="0"/>
    <x v="2"/>
    <n v="3"/>
  </r>
  <r>
    <n v="396"/>
    <x v="16"/>
    <x v="2"/>
    <b v="1"/>
    <n v="4"/>
    <n v="1"/>
    <n v="3"/>
    <x v="1"/>
    <x v="1"/>
    <x v="0"/>
    <x v="2"/>
    <n v="3"/>
  </r>
  <r>
    <n v="397"/>
    <x v="17"/>
    <x v="3"/>
    <b v="0"/>
    <n v="3"/>
    <n v="0"/>
    <n v="3"/>
    <x v="1"/>
    <x v="0"/>
    <x v="0"/>
    <x v="1"/>
    <n v="2"/>
  </r>
  <r>
    <n v="398"/>
    <x v="17"/>
    <x v="3"/>
    <b v="0"/>
    <n v="22"/>
    <n v="0"/>
    <n v="22"/>
    <x v="1"/>
    <x v="0"/>
    <x v="0"/>
    <x v="1"/>
    <n v="2"/>
  </r>
  <r>
    <n v="399"/>
    <x v="17"/>
    <x v="3"/>
    <b v="0"/>
    <n v="28"/>
    <n v="2"/>
    <n v="26"/>
    <x v="1"/>
    <x v="0"/>
    <x v="0"/>
    <x v="1"/>
    <n v="2"/>
  </r>
  <r>
    <n v="400"/>
    <x v="17"/>
    <x v="3"/>
    <b v="0"/>
    <n v="35"/>
    <n v="3"/>
    <n v="32"/>
    <x v="1"/>
    <x v="0"/>
    <x v="0"/>
    <x v="1"/>
    <n v="2"/>
  </r>
  <r>
    <n v="401"/>
    <x v="17"/>
    <x v="3"/>
    <b v="0"/>
    <n v="61"/>
    <n v="0"/>
    <n v="61"/>
    <x v="1"/>
    <x v="0"/>
    <x v="0"/>
    <x v="1"/>
    <n v="2"/>
  </r>
  <r>
    <n v="402"/>
    <x v="17"/>
    <x v="3"/>
    <b v="0"/>
    <n v="125"/>
    <n v="1"/>
    <n v="124"/>
    <x v="1"/>
    <x v="0"/>
    <x v="1"/>
    <x v="1"/>
    <n v="2"/>
  </r>
  <r>
    <n v="403"/>
    <x v="17"/>
    <x v="3"/>
    <b v="0"/>
    <n v="133"/>
    <n v="1"/>
    <n v="132"/>
    <x v="1"/>
    <x v="0"/>
    <x v="1"/>
    <x v="1"/>
    <n v="2"/>
  </r>
  <r>
    <n v="404"/>
    <x v="17"/>
    <x v="3"/>
    <b v="0"/>
    <n v="99"/>
    <n v="1"/>
    <n v="98"/>
    <x v="1"/>
    <x v="0"/>
    <x v="0"/>
    <x v="1"/>
    <n v="2"/>
  </r>
  <r>
    <n v="405"/>
    <x v="17"/>
    <x v="3"/>
    <b v="0"/>
    <n v="83"/>
    <n v="0"/>
    <n v="83"/>
    <x v="1"/>
    <x v="0"/>
    <x v="0"/>
    <x v="1"/>
    <n v="2"/>
  </r>
  <r>
    <n v="406"/>
    <x v="17"/>
    <x v="3"/>
    <b v="0"/>
    <n v="41"/>
    <n v="0"/>
    <n v="41"/>
    <x v="1"/>
    <x v="0"/>
    <x v="0"/>
    <x v="1"/>
    <n v="2"/>
  </r>
  <r>
    <n v="407"/>
    <x v="17"/>
    <x v="3"/>
    <b v="0"/>
    <n v="33"/>
    <n v="0"/>
    <n v="33"/>
    <x v="1"/>
    <x v="0"/>
    <x v="0"/>
    <x v="1"/>
    <n v="2"/>
  </r>
  <r>
    <n v="408"/>
    <x v="17"/>
    <x v="3"/>
    <b v="0"/>
    <n v="20"/>
    <n v="1"/>
    <n v="19"/>
    <x v="1"/>
    <x v="0"/>
    <x v="0"/>
    <x v="1"/>
    <n v="2"/>
  </r>
  <r>
    <n v="409"/>
    <x v="18"/>
    <x v="4"/>
    <b v="0"/>
    <n v="3"/>
    <n v="0"/>
    <n v="3"/>
    <x v="1"/>
    <x v="0"/>
    <x v="0"/>
    <x v="1"/>
    <n v="2"/>
  </r>
  <r>
    <n v="410"/>
    <x v="18"/>
    <x v="4"/>
    <b v="0"/>
    <n v="7"/>
    <n v="1"/>
    <n v="6"/>
    <x v="1"/>
    <x v="0"/>
    <x v="0"/>
    <x v="2"/>
    <n v="3"/>
  </r>
  <r>
    <n v="411"/>
    <x v="18"/>
    <x v="4"/>
    <b v="0"/>
    <n v="3"/>
    <n v="0"/>
    <n v="3"/>
    <x v="1"/>
    <x v="0"/>
    <x v="0"/>
    <x v="2"/>
    <n v="3"/>
  </r>
  <r>
    <n v="412"/>
    <x v="18"/>
    <x v="4"/>
    <b v="0"/>
    <n v="2"/>
    <n v="1"/>
    <n v="1"/>
    <x v="1"/>
    <x v="0"/>
    <x v="0"/>
    <x v="2"/>
    <n v="3"/>
  </r>
  <r>
    <n v="413"/>
    <x v="18"/>
    <x v="4"/>
    <b v="0"/>
    <n v="7"/>
    <n v="0"/>
    <n v="7"/>
    <x v="1"/>
    <x v="0"/>
    <x v="0"/>
    <x v="1"/>
    <n v="2"/>
  </r>
  <r>
    <n v="414"/>
    <x v="18"/>
    <x v="4"/>
    <b v="0"/>
    <n v="32"/>
    <n v="0"/>
    <n v="32"/>
    <x v="1"/>
    <x v="0"/>
    <x v="0"/>
    <x v="1"/>
    <n v="2"/>
  </r>
  <r>
    <n v="415"/>
    <x v="18"/>
    <x v="4"/>
    <b v="0"/>
    <n v="90"/>
    <n v="1"/>
    <n v="89"/>
    <x v="1"/>
    <x v="0"/>
    <x v="0"/>
    <x v="1"/>
    <n v="2"/>
  </r>
  <r>
    <n v="416"/>
    <x v="18"/>
    <x v="4"/>
    <b v="0"/>
    <n v="197"/>
    <n v="1"/>
    <n v="196"/>
    <x v="1"/>
    <x v="0"/>
    <x v="2"/>
    <x v="1"/>
    <n v="2"/>
  </r>
  <r>
    <n v="417"/>
    <x v="18"/>
    <x v="4"/>
    <b v="0"/>
    <n v="109"/>
    <n v="2"/>
    <n v="107"/>
    <x v="1"/>
    <x v="0"/>
    <x v="1"/>
    <x v="1"/>
    <n v="2"/>
  </r>
  <r>
    <n v="418"/>
    <x v="18"/>
    <x v="4"/>
    <b v="0"/>
    <n v="47"/>
    <n v="1"/>
    <n v="46"/>
    <x v="1"/>
    <x v="0"/>
    <x v="0"/>
    <x v="1"/>
    <n v="2"/>
  </r>
  <r>
    <n v="419"/>
    <x v="18"/>
    <x v="4"/>
    <b v="0"/>
    <n v="52"/>
    <n v="5"/>
    <n v="47"/>
    <x v="1"/>
    <x v="0"/>
    <x v="0"/>
    <x v="1"/>
    <n v="2"/>
  </r>
  <r>
    <n v="420"/>
    <x v="18"/>
    <x v="4"/>
    <b v="0"/>
    <n v="70"/>
    <n v="5"/>
    <n v="65"/>
    <x v="1"/>
    <x v="0"/>
    <x v="0"/>
    <x v="1"/>
    <n v="2"/>
  </r>
  <r>
    <n v="421"/>
    <x v="18"/>
    <x v="4"/>
    <b v="0"/>
    <n v="78"/>
    <n v="11"/>
    <n v="67"/>
    <x v="1"/>
    <x v="0"/>
    <x v="0"/>
    <x v="0"/>
    <n v="1"/>
  </r>
  <r>
    <n v="422"/>
    <x v="18"/>
    <x v="4"/>
    <b v="0"/>
    <n v="75"/>
    <n v="7"/>
    <n v="68"/>
    <x v="1"/>
    <x v="0"/>
    <x v="0"/>
    <x v="0"/>
    <n v="1"/>
  </r>
  <r>
    <n v="423"/>
    <x v="18"/>
    <x v="4"/>
    <b v="0"/>
    <n v="82"/>
    <n v="4"/>
    <n v="78"/>
    <x v="1"/>
    <x v="0"/>
    <x v="0"/>
    <x v="0"/>
    <n v="1"/>
  </r>
  <r>
    <n v="424"/>
    <x v="18"/>
    <x v="4"/>
    <b v="0"/>
    <n v="104"/>
    <n v="10"/>
    <n v="94"/>
    <x v="1"/>
    <x v="0"/>
    <x v="1"/>
    <x v="0"/>
    <n v="1"/>
  </r>
  <r>
    <n v="425"/>
    <x v="18"/>
    <x v="4"/>
    <b v="0"/>
    <n v="197"/>
    <n v="7"/>
    <n v="190"/>
    <x v="1"/>
    <x v="0"/>
    <x v="2"/>
    <x v="0"/>
    <n v="1"/>
  </r>
  <r>
    <n v="426"/>
    <x v="18"/>
    <x v="4"/>
    <b v="0"/>
    <n v="161"/>
    <n v="5"/>
    <n v="156"/>
    <x v="1"/>
    <x v="0"/>
    <x v="2"/>
    <x v="0"/>
    <n v="1"/>
  </r>
  <r>
    <n v="427"/>
    <x v="18"/>
    <x v="4"/>
    <b v="0"/>
    <n v="112"/>
    <n v="4"/>
    <n v="108"/>
    <x v="1"/>
    <x v="0"/>
    <x v="1"/>
    <x v="0"/>
    <n v="1"/>
  </r>
  <r>
    <n v="428"/>
    <x v="18"/>
    <x v="4"/>
    <b v="0"/>
    <n v="76"/>
    <n v="2"/>
    <n v="74"/>
    <x v="1"/>
    <x v="0"/>
    <x v="0"/>
    <x v="0"/>
    <n v="1"/>
  </r>
  <r>
    <n v="429"/>
    <x v="18"/>
    <x v="4"/>
    <b v="0"/>
    <n v="59"/>
    <n v="4"/>
    <n v="55"/>
    <x v="1"/>
    <x v="0"/>
    <x v="0"/>
    <x v="0"/>
    <n v="1"/>
  </r>
  <r>
    <n v="430"/>
    <x v="18"/>
    <x v="4"/>
    <b v="0"/>
    <n v="59"/>
    <n v="6"/>
    <n v="53"/>
    <x v="1"/>
    <x v="0"/>
    <x v="0"/>
    <x v="0"/>
    <n v="1"/>
  </r>
  <r>
    <n v="431"/>
    <x v="18"/>
    <x v="4"/>
    <b v="0"/>
    <n v="28"/>
    <n v="1"/>
    <n v="27"/>
    <x v="1"/>
    <x v="0"/>
    <x v="0"/>
    <x v="0"/>
    <n v="1"/>
  </r>
  <r>
    <n v="432"/>
    <x v="19"/>
    <x v="5"/>
    <b v="0"/>
    <n v="13"/>
    <n v="5"/>
    <n v="8"/>
    <x v="1"/>
    <x v="0"/>
    <x v="0"/>
    <x v="0"/>
    <n v="1"/>
  </r>
  <r>
    <n v="433"/>
    <x v="19"/>
    <x v="5"/>
    <b v="0"/>
    <n v="5"/>
    <n v="2"/>
    <n v="3"/>
    <x v="1"/>
    <x v="0"/>
    <x v="0"/>
    <x v="0"/>
    <n v="1"/>
  </r>
  <r>
    <n v="434"/>
    <x v="19"/>
    <x v="5"/>
    <b v="0"/>
    <n v="2"/>
    <n v="0"/>
    <n v="2"/>
    <x v="1"/>
    <x v="0"/>
    <x v="0"/>
    <x v="0"/>
    <n v="1"/>
  </r>
  <r>
    <n v="435"/>
    <x v="19"/>
    <x v="5"/>
    <b v="0"/>
    <n v="1"/>
    <n v="0"/>
    <n v="1"/>
    <x v="1"/>
    <x v="0"/>
    <x v="0"/>
    <x v="0"/>
    <n v="1"/>
  </r>
  <r>
    <n v="436"/>
    <x v="19"/>
    <x v="5"/>
    <b v="0"/>
    <n v="1"/>
    <n v="0"/>
    <n v="1"/>
    <x v="1"/>
    <x v="0"/>
    <x v="0"/>
    <x v="0"/>
    <n v="1"/>
  </r>
  <r>
    <n v="437"/>
    <x v="19"/>
    <x v="5"/>
    <b v="0"/>
    <n v="6"/>
    <n v="0"/>
    <n v="6"/>
    <x v="1"/>
    <x v="0"/>
    <x v="0"/>
    <x v="0"/>
    <n v="1"/>
  </r>
  <r>
    <n v="438"/>
    <x v="19"/>
    <x v="5"/>
    <b v="0"/>
    <n v="35"/>
    <n v="0"/>
    <n v="35"/>
    <x v="1"/>
    <x v="0"/>
    <x v="0"/>
    <x v="0"/>
    <n v="1"/>
  </r>
  <r>
    <n v="439"/>
    <x v="19"/>
    <x v="5"/>
    <b v="0"/>
    <n v="101"/>
    <n v="1"/>
    <n v="100"/>
    <x v="1"/>
    <x v="0"/>
    <x v="1"/>
    <x v="0"/>
    <n v="1"/>
  </r>
  <r>
    <n v="440"/>
    <x v="19"/>
    <x v="5"/>
    <b v="0"/>
    <n v="249"/>
    <n v="2"/>
    <n v="247"/>
    <x v="1"/>
    <x v="0"/>
    <x v="2"/>
    <x v="0"/>
    <n v="1"/>
  </r>
  <r>
    <n v="441"/>
    <x v="19"/>
    <x v="5"/>
    <b v="0"/>
    <n v="143"/>
    <n v="3"/>
    <n v="140"/>
    <x v="1"/>
    <x v="0"/>
    <x v="1"/>
    <x v="1"/>
    <n v="2"/>
  </r>
  <r>
    <n v="442"/>
    <x v="19"/>
    <x v="5"/>
    <b v="0"/>
    <n v="57"/>
    <n v="1"/>
    <n v="56"/>
    <x v="1"/>
    <x v="0"/>
    <x v="0"/>
    <x v="0"/>
    <n v="1"/>
  </r>
  <r>
    <n v="443"/>
    <x v="19"/>
    <x v="5"/>
    <b v="0"/>
    <n v="68"/>
    <n v="5"/>
    <n v="63"/>
    <x v="1"/>
    <x v="0"/>
    <x v="0"/>
    <x v="1"/>
    <n v="2"/>
  </r>
  <r>
    <n v="444"/>
    <x v="19"/>
    <x v="5"/>
    <b v="0"/>
    <n v="84"/>
    <n v="7"/>
    <n v="77"/>
    <x v="1"/>
    <x v="0"/>
    <x v="0"/>
    <x v="1"/>
    <n v="2"/>
  </r>
  <r>
    <n v="445"/>
    <x v="19"/>
    <x v="5"/>
    <b v="0"/>
    <n v="98"/>
    <n v="12"/>
    <n v="86"/>
    <x v="1"/>
    <x v="0"/>
    <x v="0"/>
    <x v="1"/>
    <n v="2"/>
  </r>
  <r>
    <n v="446"/>
    <x v="19"/>
    <x v="5"/>
    <b v="0"/>
    <n v="81"/>
    <n v="6"/>
    <n v="75"/>
    <x v="1"/>
    <x v="0"/>
    <x v="0"/>
    <x v="1"/>
    <n v="2"/>
  </r>
  <r>
    <n v="447"/>
    <x v="19"/>
    <x v="5"/>
    <b v="0"/>
    <n v="70"/>
    <n v="8"/>
    <n v="62"/>
    <x v="1"/>
    <x v="0"/>
    <x v="0"/>
    <x v="1"/>
    <n v="2"/>
  </r>
  <r>
    <n v="448"/>
    <x v="19"/>
    <x v="5"/>
    <b v="0"/>
    <n v="91"/>
    <n v="8"/>
    <n v="83"/>
    <x v="1"/>
    <x v="0"/>
    <x v="0"/>
    <x v="1"/>
    <n v="2"/>
  </r>
  <r>
    <n v="449"/>
    <x v="19"/>
    <x v="5"/>
    <b v="0"/>
    <n v="215"/>
    <n v="8"/>
    <n v="207"/>
    <x v="1"/>
    <x v="0"/>
    <x v="2"/>
    <x v="1"/>
    <n v="2"/>
  </r>
  <r>
    <n v="450"/>
    <x v="19"/>
    <x v="5"/>
    <b v="0"/>
    <n v="185"/>
    <n v="1"/>
    <n v="184"/>
    <x v="1"/>
    <x v="0"/>
    <x v="2"/>
    <x v="1"/>
    <n v="2"/>
  </r>
  <r>
    <n v="451"/>
    <x v="19"/>
    <x v="5"/>
    <b v="0"/>
    <n v="152"/>
    <n v="6"/>
    <n v="146"/>
    <x v="1"/>
    <x v="0"/>
    <x v="2"/>
    <x v="0"/>
    <n v="1"/>
  </r>
  <r>
    <n v="452"/>
    <x v="19"/>
    <x v="5"/>
    <b v="0"/>
    <n v="126"/>
    <n v="2"/>
    <n v="124"/>
    <x v="1"/>
    <x v="0"/>
    <x v="1"/>
    <x v="1"/>
    <n v="2"/>
  </r>
  <r>
    <n v="453"/>
    <x v="19"/>
    <x v="5"/>
    <b v="0"/>
    <n v="57"/>
    <n v="3"/>
    <n v="54"/>
    <x v="1"/>
    <x v="0"/>
    <x v="0"/>
    <x v="1"/>
    <n v="2"/>
  </r>
  <r>
    <n v="454"/>
    <x v="19"/>
    <x v="5"/>
    <b v="0"/>
    <n v="56"/>
    <n v="0"/>
    <n v="56"/>
    <x v="1"/>
    <x v="0"/>
    <x v="0"/>
    <x v="1"/>
    <n v="2"/>
  </r>
  <r>
    <n v="455"/>
    <x v="19"/>
    <x v="5"/>
    <b v="0"/>
    <n v="31"/>
    <n v="3"/>
    <n v="28"/>
    <x v="1"/>
    <x v="0"/>
    <x v="0"/>
    <x v="1"/>
    <n v="2"/>
  </r>
  <r>
    <n v="456"/>
    <x v="20"/>
    <x v="6"/>
    <b v="0"/>
    <n v="21"/>
    <n v="1"/>
    <n v="20"/>
    <x v="1"/>
    <x v="0"/>
    <x v="0"/>
    <x v="1"/>
    <n v="2"/>
  </r>
  <r>
    <n v="457"/>
    <x v="20"/>
    <x v="6"/>
    <b v="0"/>
    <n v="6"/>
    <n v="0"/>
    <n v="6"/>
    <x v="1"/>
    <x v="0"/>
    <x v="0"/>
    <x v="1"/>
    <n v="2"/>
  </r>
  <r>
    <n v="458"/>
    <x v="20"/>
    <x v="6"/>
    <b v="0"/>
    <n v="2"/>
    <n v="0"/>
    <n v="2"/>
    <x v="1"/>
    <x v="0"/>
    <x v="0"/>
    <x v="2"/>
    <n v="3"/>
  </r>
  <r>
    <n v="459"/>
    <x v="20"/>
    <x v="6"/>
    <b v="0"/>
    <n v="1"/>
    <n v="0"/>
    <n v="1"/>
    <x v="1"/>
    <x v="0"/>
    <x v="0"/>
    <x v="2"/>
    <n v="3"/>
  </r>
  <r>
    <n v="460"/>
    <x v="20"/>
    <x v="6"/>
    <b v="0"/>
    <n v="1"/>
    <n v="0"/>
    <n v="1"/>
    <x v="1"/>
    <x v="0"/>
    <x v="0"/>
    <x v="1"/>
    <n v="2"/>
  </r>
  <r>
    <n v="461"/>
    <x v="20"/>
    <x v="6"/>
    <b v="0"/>
    <n v="5"/>
    <n v="1"/>
    <n v="4"/>
    <x v="1"/>
    <x v="0"/>
    <x v="0"/>
    <x v="0"/>
    <n v="1"/>
  </r>
  <r>
    <n v="462"/>
    <x v="20"/>
    <x v="6"/>
    <b v="0"/>
    <n v="27"/>
    <n v="0"/>
    <n v="27"/>
    <x v="1"/>
    <x v="0"/>
    <x v="0"/>
    <x v="0"/>
    <n v="1"/>
  </r>
  <r>
    <n v="463"/>
    <x v="20"/>
    <x v="6"/>
    <b v="0"/>
    <n v="68"/>
    <n v="2"/>
    <n v="66"/>
    <x v="1"/>
    <x v="0"/>
    <x v="0"/>
    <x v="0"/>
    <n v="1"/>
  </r>
  <r>
    <n v="464"/>
    <x v="20"/>
    <x v="6"/>
    <b v="0"/>
    <n v="217"/>
    <n v="7"/>
    <n v="210"/>
    <x v="1"/>
    <x v="0"/>
    <x v="2"/>
    <x v="0"/>
    <n v="1"/>
  </r>
  <r>
    <n v="465"/>
    <x v="20"/>
    <x v="6"/>
    <b v="0"/>
    <n v="166"/>
    <n v="7"/>
    <n v="159"/>
    <x v="1"/>
    <x v="0"/>
    <x v="2"/>
    <x v="0"/>
    <n v="1"/>
  </r>
  <r>
    <n v="466"/>
    <x v="20"/>
    <x v="6"/>
    <b v="0"/>
    <n v="63"/>
    <n v="6"/>
    <n v="57"/>
    <x v="1"/>
    <x v="0"/>
    <x v="0"/>
    <x v="0"/>
    <n v="1"/>
  </r>
  <r>
    <n v="467"/>
    <x v="20"/>
    <x v="6"/>
    <b v="0"/>
    <n v="59"/>
    <n v="6"/>
    <n v="53"/>
    <x v="1"/>
    <x v="0"/>
    <x v="0"/>
    <x v="0"/>
    <n v="1"/>
  </r>
  <r>
    <n v="468"/>
    <x v="20"/>
    <x v="6"/>
    <b v="0"/>
    <n v="78"/>
    <n v="11"/>
    <n v="67"/>
    <x v="1"/>
    <x v="0"/>
    <x v="0"/>
    <x v="0"/>
    <n v="1"/>
  </r>
  <r>
    <n v="469"/>
    <x v="20"/>
    <x v="6"/>
    <b v="0"/>
    <n v="73"/>
    <n v="8"/>
    <n v="65"/>
    <x v="1"/>
    <x v="0"/>
    <x v="0"/>
    <x v="0"/>
    <n v="1"/>
  </r>
  <r>
    <n v="470"/>
    <x v="20"/>
    <x v="6"/>
    <b v="0"/>
    <n v="62"/>
    <n v="6"/>
    <n v="56"/>
    <x v="1"/>
    <x v="0"/>
    <x v="0"/>
    <x v="0"/>
    <n v="1"/>
  </r>
  <r>
    <n v="471"/>
    <x v="20"/>
    <x v="6"/>
    <b v="0"/>
    <n v="65"/>
    <n v="4"/>
    <n v="61"/>
    <x v="1"/>
    <x v="0"/>
    <x v="0"/>
    <x v="0"/>
    <n v="1"/>
  </r>
  <r>
    <n v="472"/>
    <x v="20"/>
    <x v="6"/>
    <b v="0"/>
    <n v="97"/>
    <n v="0"/>
    <n v="97"/>
    <x v="1"/>
    <x v="0"/>
    <x v="0"/>
    <x v="0"/>
    <n v="1"/>
  </r>
  <r>
    <n v="473"/>
    <x v="20"/>
    <x v="6"/>
    <b v="0"/>
    <n v="161"/>
    <n v="10"/>
    <n v="151"/>
    <x v="1"/>
    <x v="0"/>
    <x v="2"/>
    <x v="0"/>
    <n v="1"/>
  </r>
  <r>
    <n v="474"/>
    <x v="20"/>
    <x v="6"/>
    <b v="0"/>
    <n v="120"/>
    <n v="1"/>
    <n v="119"/>
    <x v="1"/>
    <x v="0"/>
    <x v="1"/>
    <x v="0"/>
    <n v="1"/>
  </r>
  <r>
    <n v="475"/>
    <x v="20"/>
    <x v="6"/>
    <b v="0"/>
    <n v="96"/>
    <n v="3"/>
    <n v="93"/>
    <x v="1"/>
    <x v="0"/>
    <x v="0"/>
    <x v="0"/>
    <n v="1"/>
  </r>
  <r>
    <n v="476"/>
    <x v="20"/>
    <x v="6"/>
    <b v="0"/>
    <n v="53"/>
    <n v="1"/>
    <n v="52"/>
    <x v="1"/>
    <x v="0"/>
    <x v="0"/>
    <x v="0"/>
    <n v="1"/>
  </r>
  <r>
    <n v="477"/>
    <x v="20"/>
    <x v="6"/>
    <b v="0"/>
    <n v="41"/>
    <n v="0"/>
    <n v="41"/>
    <x v="1"/>
    <x v="0"/>
    <x v="0"/>
    <x v="0"/>
    <n v="1"/>
  </r>
  <r>
    <n v="478"/>
    <x v="20"/>
    <x v="6"/>
    <b v="0"/>
    <n v="34"/>
    <n v="1"/>
    <n v="33"/>
    <x v="1"/>
    <x v="0"/>
    <x v="0"/>
    <x v="0"/>
    <n v="1"/>
  </r>
  <r>
    <n v="479"/>
    <x v="20"/>
    <x v="6"/>
    <b v="0"/>
    <n v="27"/>
    <n v="0"/>
    <n v="27"/>
    <x v="1"/>
    <x v="0"/>
    <x v="0"/>
    <x v="0"/>
    <n v="1"/>
  </r>
  <r>
    <n v="480"/>
    <x v="21"/>
    <x v="0"/>
    <b v="0"/>
    <n v="13"/>
    <n v="0"/>
    <n v="13"/>
    <x v="0"/>
    <x v="0"/>
    <x v="0"/>
    <x v="0"/>
    <n v="1"/>
  </r>
  <r>
    <n v="481"/>
    <x v="21"/>
    <x v="0"/>
    <b v="0"/>
    <n v="12"/>
    <n v="3"/>
    <n v="9"/>
    <x v="0"/>
    <x v="0"/>
    <x v="0"/>
    <x v="1"/>
    <n v="2"/>
  </r>
  <r>
    <n v="482"/>
    <x v="21"/>
    <x v="0"/>
    <b v="0"/>
    <n v="11"/>
    <n v="0"/>
    <n v="11"/>
    <x v="0"/>
    <x v="0"/>
    <x v="0"/>
    <x v="1"/>
    <n v="2"/>
  </r>
  <r>
    <n v="483"/>
    <x v="21"/>
    <x v="0"/>
    <b v="0"/>
    <n v="7"/>
    <n v="1"/>
    <n v="6"/>
    <x v="0"/>
    <x v="0"/>
    <x v="0"/>
    <x v="1"/>
    <n v="2"/>
  </r>
  <r>
    <n v="484"/>
    <x v="21"/>
    <x v="0"/>
    <b v="0"/>
    <n v="3"/>
    <n v="0"/>
    <n v="3"/>
    <x v="0"/>
    <x v="0"/>
    <x v="0"/>
    <x v="1"/>
    <n v="2"/>
  </r>
  <r>
    <n v="485"/>
    <x v="21"/>
    <x v="0"/>
    <b v="0"/>
    <n v="2"/>
    <n v="0"/>
    <n v="2"/>
    <x v="0"/>
    <x v="0"/>
    <x v="0"/>
    <x v="1"/>
    <n v="2"/>
  </r>
  <r>
    <n v="486"/>
    <x v="21"/>
    <x v="0"/>
    <b v="0"/>
    <n v="8"/>
    <n v="0"/>
    <n v="8"/>
    <x v="0"/>
    <x v="0"/>
    <x v="0"/>
    <x v="0"/>
    <n v="1"/>
  </r>
  <r>
    <n v="487"/>
    <x v="21"/>
    <x v="0"/>
    <b v="0"/>
    <n v="27"/>
    <n v="1"/>
    <n v="26"/>
    <x v="0"/>
    <x v="0"/>
    <x v="0"/>
    <x v="0"/>
    <n v="1"/>
  </r>
  <r>
    <n v="488"/>
    <x v="21"/>
    <x v="0"/>
    <b v="0"/>
    <n v="40"/>
    <n v="3"/>
    <n v="37"/>
    <x v="0"/>
    <x v="0"/>
    <x v="0"/>
    <x v="0"/>
    <n v="1"/>
  </r>
  <r>
    <n v="489"/>
    <x v="21"/>
    <x v="0"/>
    <b v="0"/>
    <n v="53"/>
    <n v="3"/>
    <n v="50"/>
    <x v="0"/>
    <x v="0"/>
    <x v="0"/>
    <x v="1"/>
    <n v="2"/>
  </r>
  <r>
    <n v="490"/>
    <x v="21"/>
    <x v="0"/>
    <b v="0"/>
    <n v="63"/>
    <n v="4"/>
    <n v="59"/>
    <x v="0"/>
    <x v="0"/>
    <x v="0"/>
    <x v="1"/>
    <n v="2"/>
  </r>
  <r>
    <n v="491"/>
    <x v="21"/>
    <x v="0"/>
    <b v="0"/>
    <n v="70"/>
    <n v="10"/>
    <n v="60"/>
    <x v="0"/>
    <x v="0"/>
    <x v="0"/>
    <x v="1"/>
    <n v="2"/>
  </r>
  <r>
    <n v="492"/>
    <x v="21"/>
    <x v="0"/>
    <b v="0"/>
    <n v="84"/>
    <n v="12"/>
    <n v="72"/>
    <x v="0"/>
    <x v="0"/>
    <x v="0"/>
    <x v="0"/>
    <n v="1"/>
  </r>
  <r>
    <n v="493"/>
    <x v="21"/>
    <x v="0"/>
    <b v="0"/>
    <n v="75"/>
    <n v="11"/>
    <n v="64"/>
    <x v="0"/>
    <x v="0"/>
    <x v="0"/>
    <x v="0"/>
    <n v="1"/>
  </r>
  <r>
    <n v="494"/>
    <x v="21"/>
    <x v="0"/>
    <b v="0"/>
    <n v="103"/>
    <n v="10"/>
    <n v="93"/>
    <x v="0"/>
    <x v="0"/>
    <x v="1"/>
    <x v="0"/>
    <n v="1"/>
  </r>
  <r>
    <n v="495"/>
    <x v="21"/>
    <x v="0"/>
    <b v="0"/>
    <n v="83"/>
    <n v="11"/>
    <n v="72"/>
    <x v="0"/>
    <x v="0"/>
    <x v="0"/>
    <x v="0"/>
    <n v="1"/>
  </r>
  <r>
    <n v="496"/>
    <x v="21"/>
    <x v="0"/>
    <b v="0"/>
    <n v="67"/>
    <n v="8"/>
    <n v="59"/>
    <x v="0"/>
    <x v="0"/>
    <x v="0"/>
    <x v="0"/>
    <n v="1"/>
  </r>
  <r>
    <n v="497"/>
    <x v="21"/>
    <x v="0"/>
    <b v="0"/>
    <n v="54"/>
    <n v="0"/>
    <n v="54"/>
    <x v="0"/>
    <x v="0"/>
    <x v="0"/>
    <x v="0"/>
    <n v="1"/>
  </r>
  <r>
    <n v="498"/>
    <x v="21"/>
    <x v="0"/>
    <b v="0"/>
    <n v="59"/>
    <n v="6"/>
    <n v="53"/>
    <x v="0"/>
    <x v="0"/>
    <x v="0"/>
    <x v="0"/>
    <n v="1"/>
  </r>
  <r>
    <n v="499"/>
    <x v="21"/>
    <x v="0"/>
    <b v="0"/>
    <n v="45"/>
    <n v="1"/>
    <n v="44"/>
    <x v="0"/>
    <x v="0"/>
    <x v="0"/>
    <x v="0"/>
    <n v="1"/>
  </r>
  <r>
    <n v="500"/>
    <x v="21"/>
    <x v="0"/>
    <b v="0"/>
    <n v="39"/>
    <n v="0"/>
    <n v="39"/>
    <x v="0"/>
    <x v="0"/>
    <x v="0"/>
    <x v="0"/>
    <n v="1"/>
  </r>
  <r>
    <n v="501"/>
    <x v="21"/>
    <x v="0"/>
    <b v="0"/>
    <n v="30"/>
    <n v="7"/>
    <n v="23"/>
    <x v="0"/>
    <x v="0"/>
    <x v="0"/>
    <x v="0"/>
    <n v="1"/>
  </r>
  <r>
    <n v="502"/>
    <x v="21"/>
    <x v="0"/>
    <b v="0"/>
    <n v="33"/>
    <n v="2"/>
    <n v="31"/>
    <x v="0"/>
    <x v="0"/>
    <x v="0"/>
    <x v="0"/>
    <n v="1"/>
  </r>
  <r>
    <n v="503"/>
    <x v="22"/>
    <x v="1"/>
    <b v="0"/>
    <n v="22"/>
    <n v="2"/>
    <n v="20"/>
    <x v="0"/>
    <x v="0"/>
    <x v="0"/>
    <x v="0"/>
    <n v="1"/>
  </r>
  <r>
    <n v="504"/>
    <x v="22"/>
    <x v="1"/>
    <b v="0"/>
    <n v="13"/>
    <n v="1"/>
    <n v="12"/>
    <x v="0"/>
    <x v="0"/>
    <x v="0"/>
    <x v="0"/>
    <n v="1"/>
  </r>
  <r>
    <n v="505"/>
    <x v="22"/>
    <x v="1"/>
    <b v="0"/>
    <n v="18"/>
    <n v="3"/>
    <n v="15"/>
    <x v="0"/>
    <x v="0"/>
    <x v="0"/>
    <x v="0"/>
    <n v="1"/>
  </r>
  <r>
    <n v="506"/>
    <x v="22"/>
    <x v="1"/>
    <b v="0"/>
    <n v="5"/>
    <n v="1"/>
    <n v="4"/>
    <x v="0"/>
    <x v="0"/>
    <x v="0"/>
    <x v="0"/>
    <n v="1"/>
  </r>
  <r>
    <n v="507"/>
    <x v="22"/>
    <x v="1"/>
    <b v="0"/>
    <n v="3"/>
    <n v="0"/>
    <n v="3"/>
    <x v="0"/>
    <x v="0"/>
    <x v="0"/>
    <x v="1"/>
    <n v="2"/>
  </r>
  <r>
    <n v="508"/>
    <x v="22"/>
    <x v="1"/>
    <b v="0"/>
    <n v="1"/>
    <n v="0"/>
    <n v="1"/>
    <x v="0"/>
    <x v="0"/>
    <x v="0"/>
    <x v="1"/>
    <n v="2"/>
  </r>
  <r>
    <n v="509"/>
    <x v="22"/>
    <x v="1"/>
    <b v="0"/>
    <n v="2"/>
    <n v="1"/>
    <n v="1"/>
    <x v="0"/>
    <x v="0"/>
    <x v="0"/>
    <x v="0"/>
    <n v="1"/>
  </r>
  <r>
    <n v="510"/>
    <x v="22"/>
    <x v="1"/>
    <b v="0"/>
    <n v="19"/>
    <n v="2"/>
    <n v="17"/>
    <x v="0"/>
    <x v="0"/>
    <x v="0"/>
    <x v="0"/>
    <n v="1"/>
  </r>
  <r>
    <n v="511"/>
    <x v="22"/>
    <x v="1"/>
    <b v="0"/>
    <n v="28"/>
    <n v="3"/>
    <n v="25"/>
    <x v="0"/>
    <x v="0"/>
    <x v="0"/>
    <x v="0"/>
    <n v="1"/>
  </r>
  <r>
    <n v="512"/>
    <x v="22"/>
    <x v="1"/>
    <b v="0"/>
    <n v="58"/>
    <n v="7"/>
    <n v="51"/>
    <x v="0"/>
    <x v="0"/>
    <x v="0"/>
    <x v="0"/>
    <n v="1"/>
  </r>
  <r>
    <n v="513"/>
    <x v="22"/>
    <x v="1"/>
    <b v="0"/>
    <n v="99"/>
    <n v="22"/>
    <n v="77"/>
    <x v="0"/>
    <x v="0"/>
    <x v="0"/>
    <x v="0"/>
    <n v="1"/>
  </r>
  <r>
    <n v="514"/>
    <x v="22"/>
    <x v="1"/>
    <b v="0"/>
    <n v="116"/>
    <n v="24"/>
    <n v="92"/>
    <x v="0"/>
    <x v="0"/>
    <x v="1"/>
    <x v="0"/>
    <n v="1"/>
  </r>
  <r>
    <n v="515"/>
    <x v="22"/>
    <x v="1"/>
    <b v="0"/>
    <n v="87"/>
    <n v="12"/>
    <n v="75"/>
    <x v="0"/>
    <x v="0"/>
    <x v="0"/>
    <x v="0"/>
    <n v="1"/>
  </r>
  <r>
    <n v="516"/>
    <x v="22"/>
    <x v="1"/>
    <b v="0"/>
    <n v="110"/>
    <n v="17"/>
    <n v="93"/>
    <x v="0"/>
    <x v="0"/>
    <x v="1"/>
    <x v="0"/>
    <n v="1"/>
  </r>
  <r>
    <n v="517"/>
    <x v="22"/>
    <x v="1"/>
    <b v="0"/>
    <n v="77"/>
    <n v="13"/>
    <n v="64"/>
    <x v="0"/>
    <x v="0"/>
    <x v="0"/>
    <x v="0"/>
    <n v="1"/>
  </r>
  <r>
    <n v="518"/>
    <x v="22"/>
    <x v="1"/>
    <b v="0"/>
    <n v="65"/>
    <n v="9"/>
    <n v="56"/>
    <x v="0"/>
    <x v="0"/>
    <x v="0"/>
    <x v="0"/>
    <n v="1"/>
  </r>
  <r>
    <n v="519"/>
    <x v="22"/>
    <x v="1"/>
    <b v="0"/>
    <n v="55"/>
    <n v="5"/>
    <n v="50"/>
    <x v="0"/>
    <x v="0"/>
    <x v="0"/>
    <x v="0"/>
    <n v="1"/>
  </r>
  <r>
    <n v="520"/>
    <x v="22"/>
    <x v="1"/>
    <b v="0"/>
    <n v="49"/>
    <n v="5"/>
    <n v="44"/>
    <x v="0"/>
    <x v="0"/>
    <x v="0"/>
    <x v="0"/>
    <n v="1"/>
  </r>
  <r>
    <n v="521"/>
    <x v="22"/>
    <x v="1"/>
    <b v="0"/>
    <n v="50"/>
    <n v="5"/>
    <n v="45"/>
    <x v="0"/>
    <x v="0"/>
    <x v="0"/>
    <x v="0"/>
    <n v="1"/>
  </r>
  <r>
    <n v="522"/>
    <x v="22"/>
    <x v="1"/>
    <b v="0"/>
    <n v="35"/>
    <n v="4"/>
    <n v="31"/>
    <x v="0"/>
    <x v="0"/>
    <x v="0"/>
    <x v="0"/>
    <n v="1"/>
  </r>
  <r>
    <n v="523"/>
    <x v="22"/>
    <x v="1"/>
    <b v="0"/>
    <n v="25"/>
    <n v="5"/>
    <n v="20"/>
    <x v="0"/>
    <x v="0"/>
    <x v="0"/>
    <x v="0"/>
    <n v="1"/>
  </r>
  <r>
    <n v="524"/>
    <x v="22"/>
    <x v="1"/>
    <b v="0"/>
    <n v="28"/>
    <n v="5"/>
    <n v="23"/>
    <x v="0"/>
    <x v="0"/>
    <x v="0"/>
    <x v="0"/>
    <n v="1"/>
  </r>
  <r>
    <n v="525"/>
    <x v="22"/>
    <x v="1"/>
    <b v="0"/>
    <n v="21"/>
    <n v="4"/>
    <n v="17"/>
    <x v="0"/>
    <x v="0"/>
    <x v="0"/>
    <x v="0"/>
    <n v="1"/>
  </r>
  <r>
    <n v="526"/>
    <x v="23"/>
    <x v="2"/>
    <b v="0"/>
    <n v="7"/>
    <n v="0"/>
    <n v="7"/>
    <x v="1"/>
    <x v="0"/>
    <x v="0"/>
    <x v="0"/>
    <n v="1"/>
  </r>
  <r>
    <n v="527"/>
    <x v="23"/>
    <x v="2"/>
    <b v="0"/>
    <n v="1"/>
    <n v="0"/>
    <n v="1"/>
    <x v="1"/>
    <x v="0"/>
    <x v="0"/>
    <x v="0"/>
    <n v="1"/>
  </r>
  <r>
    <n v="528"/>
    <x v="23"/>
    <x v="2"/>
    <b v="0"/>
    <n v="1"/>
    <n v="0"/>
    <n v="1"/>
    <x v="1"/>
    <x v="0"/>
    <x v="0"/>
    <x v="0"/>
    <n v="1"/>
  </r>
  <r>
    <n v="529"/>
    <x v="23"/>
    <x v="2"/>
    <b v="0"/>
    <n v="1"/>
    <n v="0"/>
    <n v="1"/>
    <x v="1"/>
    <x v="0"/>
    <x v="0"/>
    <x v="0"/>
    <n v="1"/>
  </r>
  <r>
    <n v="530"/>
    <x v="23"/>
    <x v="2"/>
    <b v="0"/>
    <n v="5"/>
    <n v="0"/>
    <n v="5"/>
    <x v="1"/>
    <x v="0"/>
    <x v="0"/>
    <x v="0"/>
    <n v="1"/>
  </r>
  <r>
    <n v="531"/>
    <x v="23"/>
    <x v="2"/>
    <b v="0"/>
    <n v="15"/>
    <n v="0"/>
    <n v="15"/>
    <x v="1"/>
    <x v="0"/>
    <x v="0"/>
    <x v="0"/>
    <n v="1"/>
  </r>
  <r>
    <n v="532"/>
    <x v="23"/>
    <x v="2"/>
    <b v="0"/>
    <n v="84"/>
    <n v="5"/>
    <n v="79"/>
    <x v="1"/>
    <x v="0"/>
    <x v="0"/>
    <x v="0"/>
    <n v="1"/>
  </r>
  <r>
    <n v="533"/>
    <x v="23"/>
    <x v="2"/>
    <b v="0"/>
    <n v="177"/>
    <n v="6"/>
    <n v="171"/>
    <x v="1"/>
    <x v="0"/>
    <x v="2"/>
    <x v="0"/>
    <n v="1"/>
  </r>
  <r>
    <n v="534"/>
    <x v="23"/>
    <x v="2"/>
    <b v="0"/>
    <n v="102"/>
    <n v="4"/>
    <n v="98"/>
    <x v="1"/>
    <x v="0"/>
    <x v="1"/>
    <x v="0"/>
    <n v="1"/>
  </r>
  <r>
    <n v="535"/>
    <x v="23"/>
    <x v="2"/>
    <b v="0"/>
    <n v="40"/>
    <n v="6"/>
    <n v="34"/>
    <x v="1"/>
    <x v="0"/>
    <x v="0"/>
    <x v="0"/>
    <n v="1"/>
  </r>
  <r>
    <n v="536"/>
    <x v="23"/>
    <x v="2"/>
    <b v="0"/>
    <n v="46"/>
    <n v="3"/>
    <n v="43"/>
    <x v="1"/>
    <x v="0"/>
    <x v="0"/>
    <x v="0"/>
    <n v="1"/>
  </r>
  <r>
    <n v="537"/>
    <x v="23"/>
    <x v="2"/>
    <b v="0"/>
    <n v="63"/>
    <n v="11"/>
    <n v="52"/>
    <x v="1"/>
    <x v="0"/>
    <x v="0"/>
    <x v="1"/>
    <n v="2"/>
  </r>
  <r>
    <n v="538"/>
    <x v="23"/>
    <x v="2"/>
    <b v="0"/>
    <n v="60"/>
    <n v="6"/>
    <n v="54"/>
    <x v="1"/>
    <x v="0"/>
    <x v="0"/>
    <x v="1"/>
    <n v="2"/>
  </r>
  <r>
    <n v="539"/>
    <x v="23"/>
    <x v="2"/>
    <b v="0"/>
    <n v="45"/>
    <n v="2"/>
    <n v="43"/>
    <x v="1"/>
    <x v="0"/>
    <x v="0"/>
    <x v="1"/>
    <n v="2"/>
  </r>
  <r>
    <n v="540"/>
    <x v="23"/>
    <x v="2"/>
    <b v="0"/>
    <n v="57"/>
    <n v="7"/>
    <n v="50"/>
    <x v="1"/>
    <x v="0"/>
    <x v="0"/>
    <x v="0"/>
    <n v="1"/>
  </r>
  <r>
    <n v="541"/>
    <x v="23"/>
    <x v="2"/>
    <b v="0"/>
    <n v="70"/>
    <n v="4"/>
    <n v="66"/>
    <x v="1"/>
    <x v="0"/>
    <x v="0"/>
    <x v="0"/>
    <n v="1"/>
  </r>
  <r>
    <n v="542"/>
    <x v="23"/>
    <x v="2"/>
    <b v="0"/>
    <n v="184"/>
    <n v="6"/>
    <n v="178"/>
    <x v="1"/>
    <x v="0"/>
    <x v="2"/>
    <x v="0"/>
    <n v="1"/>
  </r>
  <r>
    <n v="543"/>
    <x v="23"/>
    <x v="2"/>
    <b v="0"/>
    <n v="153"/>
    <n v="8"/>
    <n v="145"/>
    <x v="1"/>
    <x v="0"/>
    <x v="2"/>
    <x v="0"/>
    <n v="1"/>
  </r>
  <r>
    <n v="544"/>
    <x v="23"/>
    <x v="2"/>
    <b v="0"/>
    <n v="106"/>
    <n v="5"/>
    <n v="101"/>
    <x v="1"/>
    <x v="0"/>
    <x v="1"/>
    <x v="0"/>
    <n v="1"/>
  </r>
  <r>
    <n v="545"/>
    <x v="23"/>
    <x v="2"/>
    <b v="0"/>
    <n v="81"/>
    <n v="1"/>
    <n v="80"/>
    <x v="1"/>
    <x v="0"/>
    <x v="0"/>
    <x v="0"/>
    <n v="1"/>
  </r>
  <r>
    <n v="546"/>
    <x v="23"/>
    <x v="2"/>
    <b v="0"/>
    <n v="59"/>
    <n v="6"/>
    <n v="53"/>
    <x v="1"/>
    <x v="0"/>
    <x v="0"/>
    <x v="0"/>
    <n v="1"/>
  </r>
  <r>
    <n v="547"/>
    <x v="23"/>
    <x v="2"/>
    <b v="0"/>
    <n v="35"/>
    <n v="3"/>
    <n v="32"/>
    <x v="1"/>
    <x v="0"/>
    <x v="0"/>
    <x v="1"/>
    <n v="2"/>
  </r>
  <r>
    <n v="548"/>
    <x v="23"/>
    <x v="2"/>
    <b v="0"/>
    <n v="24"/>
    <n v="3"/>
    <n v="21"/>
    <x v="1"/>
    <x v="0"/>
    <x v="0"/>
    <x v="1"/>
    <n v="2"/>
  </r>
  <r>
    <n v="549"/>
    <x v="24"/>
    <x v="3"/>
    <b v="0"/>
    <n v="9"/>
    <n v="3"/>
    <n v="6"/>
    <x v="1"/>
    <x v="0"/>
    <x v="0"/>
    <x v="1"/>
    <n v="2"/>
  </r>
  <r>
    <n v="550"/>
    <x v="24"/>
    <x v="3"/>
    <b v="0"/>
    <n v="5"/>
    <n v="0"/>
    <n v="5"/>
    <x v="1"/>
    <x v="0"/>
    <x v="0"/>
    <x v="1"/>
    <n v="2"/>
  </r>
  <r>
    <n v="551"/>
    <x v="24"/>
    <x v="3"/>
    <b v="0"/>
    <n v="2"/>
    <n v="0"/>
    <n v="2"/>
    <x v="1"/>
    <x v="0"/>
    <x v="0"/>
    <x v="0"/>
    <n v="1"/>
  </r>
  <r>
    <n v="552"/>
    <x v="24"/>
    <x v="3"/>
    <b v="0"/>
    <n v="1"/>
    <n v="0"/>
    <n v="1"/>
    <x v="1"/>
    <x v="0"/>
    <x v="0"/>
    <x v="0"/>
    <n v="1"/>
  </r>
  <r>
    <n v="553"/>
    <x v="24"/>
    <x v="3"/>
    <b v="0"/>
    <n v="9"/>
    <n v="0"/>
    <n v="9"/>
    <x v="1"/>
    <x v="0"/>
    <x v="0"/>
    <x v="0"/>
    <n v="1"/>
  </r>
  <r>
    <n v="554"/>
    <x v="24"/>
    <x v="3"/>
    <b v="0"/>
    <n v="36"/>
    <n v="1"/>
    <n v="35"/>
    <x v="1"/>
    <x v="0"/>
    <x v="0"/>
    <x v="0"/>
    <n v="1"/>
  </r>
  <r>
    <n v="555"/>
    <x v="24"/>
    <x v="3"/>
    <b v="0"/>
    <n v="108"/>
    <n v="5"/>
    <n v="103"/>
    <x v="1"/>
    <x v="0"/>
    <x v="1"/>
    <x v="0"/>
    <n v="1"/>
  </r>
  <r>
    <n v="556"/>
    <x v="24"/>
    <x v="3"/>
    <b v="0"/>
    <n v="238"/>
    <n v="5"/>
    <n v="233"/>
    <x v="1"/>
    <x v="0"/>
    <x v="2"/>
    <x v="1"/>
    <n v="2"/>
  </r>
  <r>
    <n v="557"/>
    <x v="24"/>
    <x v="3"/>
    <b v="0"/>
    <n v="144"/>
    <n v="10"/>
    <n v="134"/>
    <x v="1"/>
    <x v="0"/>
    <x v="1"/>
    <x v="1"/>
    <n v="2"/>
  </r>
  <r>
    <n v="558"/>
    <x v="24"/>
    <x v="3"/>
    <b v="0"/>
    <n v="55"/>
    <n v="6"/>
    <n v="49"/>
    <x v="1"/>
    <x v="0"/>
    <x v="0"/>
    <x v="1"/>
    <n v="2"/>
  </r>
  <r>
    <n v="559"/>
    <x v="24"/>
    <x v="3"/>
    <b v="0"/>
    <n v="61"/>
    <n v="6"/>
    <n v="55"/>
    <x v="1"/>
    <x v="0"/>
    <x v="0"/>
    <x v="1"/>
    <n v="2"/>
  </r>
  <r>
    <n v="560"/>
    <x v="24"/>
    <x v="3"/>
    <b v="0"/>
    <n v="106"/>
    <n v="21"/>
    <n v="85"/>
    <x v="1"/>
    <x v="0"/>
    <x v="1"/>
    <x v="1"/>
    <n v="2"/>
  </r>
  <r>
    <n v="561"/>
    <x v="24"/>
    <x v="3"/>
    <b v="0"/>
    <n v="93"/>
    <n v="21"/>
    <n v="72"/>
    <x v="1"/>
    <x v="0"/>
    <x v="0"/>
    <x v="1"/>
    <n v="2"/>
  </r>
  <r>
    <n v="562"/>
    <x v="24"/>
    <x v="3"/>
    <b v="0"/>
    <n v="68"/>
    <n v="11"/>
    <n v="57"/>
    <x v="1"/>
    <x v="0"/>
    <x v="0"/>
    <x v="1"/>
    <n v="2"/>
  </r>
  <r>
    <n v="563"/>
    <x v="24"/>
    <x v="3"/>
    <b v="0"/>
    <n v="84"/>
    <n v="21"/>
    <n v="63"/>
    <x v="1"/>
    <x v="0"/>
    <x v="0"/>
    <x v="1"/>
    <n v="2"/>
  </r>
  <r>
    <n v="564"/>
    <x v="24"/>
    <x v="3"/>
    <b v="0"/>
    <n v="116"/>
    <n v="14"/>
    <n v="102"/>
    <x v="1"/>
    <x v="0"/>
    <x v="1"/>
    <x v="1"/>
    <n v="2"/>
  </r>
  <r>
    <n v="565"/>
    <x v="24"/>
    <x v="3"/>
    <b v="0"/>
    <n v="222"/>
    <n v="14"/>
    <n v="208"/>
    <x v="1"/>
    <x v="0"/>
    <x v="2"/>
    <x v="0"/>
    <n v="1"/>
  </r>
  <r>
    <n v="566"/>
    <x v="24"/>
    <x v="3"/>
    <b v="0"/>
    <n v="225"/>
    <n v="7"/>
    <n v="218"/>
    <x v="1"/>
    <x v="0"/>
    <x v="2"/>
    <x v="1"/>
    <n v="2"/>
  </r>
  <r>
    <n v="567"/>
    <x v="24"/>
    <x v="3"/>
    <b v="0"/>
    <n v="146"/>
    <n v="13"/>
    <n v="133"/>
    <x v="1"/>
    <x v="0"/>
    <x v="1"/>
    <x v="1"/>
    <n v="2"/>
  </r>
  <r>
    <n v="568"/>
    <x v="24"/>
    <x v="3"/>
    <b v="0"/>
    <n v="119"/>
    <n v="16"/>
    <n v="103"/>
    <x v="1"/>
    <x v="0"/>
    <x v="1"/>
    <x v="0"/>
    <n v="1"/>
  </r>
  <r>
    <n v="569"/>
    <x v="24"/>
    <x v="3"/>
    <b v="0"/>
    <n v="45"/>
    <n v="5"/>
    <n v="40"/>
    <x v="1"/>
    <x v="0"/>
    <x v="0"/>
    <x v="0"/>
    <n v="1"/>
  </r>
  <r>
    <n v="570"/>
    <x v="24"/>
    <x v="3"/>
    <b v="0"/>
    <n v="53"/>
    <n v="4"/>
    <n v="49"/>
    <x v="1"/>
    <x v="0"/>
    <x v="0"/>
    <x v="0"/>
    <n v="1"/>
  </r>
  <r>
    <n v="571"/>
    <x v="24"/>
    <x v="3"/>
    <b v="0"/>
    <n v="40"/>
    <n v="3"/>
    <n v="37"/>
    <x v="1"/>
    <x v="0"/>
    <x v="0"/>
    <x v="1"/>
    <n v="2"/>
  </r>
  <r>
    <n v="572"/>
    <x v="25"/>
    <x v="4"/>
    <b v="0"/>
    <n v="17"/>
    <n v="3"/>
    <n v="14"/>
    <x v="1"/>
    <x v="0"/>
    <x v="0"/>
    <x v="1"/>
    <n v="2"/>
  </r>
  <r>
    <n v="573"/>
    <x v="25"/>
    <x v="4"/>
    <b v="0"/>
    <n v="5"/>
    <n v="0"/>
    <n v="5"/>
    <x v="1"/>
    <x v="0"/>
    <x v="0"/>
    <x v="1"/>
    <n v="2"/>
  </r>
  <r>
    <n v="574"/>
    <x v="25"/>
    <x v="4"/>
    <b v="0"/>
    <n v="10"/>
    <n v="3"/>
    <n v="7"/>
    <x v="1"/>
    <x v="0"/>
    <x v="0"/>
    <x v="2"/>
    <n v="3"/>
  </r>
  <r>
    <n v="575"/>
    <x v="25"/>
    <x v="4"/>
    <b v="0"/>
    <n v="1"/>
    <n v="0"/>
    <n v="1"/>
    <x v="1"/>
    <x v="0"/>
    <x v="0"/>
    <x v="2"/>
    <n v="3"/>
  </r>
  <r>
    <n v="576"/>
    <x v="25"/>
    <x v="4"/>
    <b v="0"/>
    <n v="8"/>
    <n v="0"/>
    <n v="8"/>
    <x v="1"/>
    <x v="0"/>
    <x v="0"/>
    <x v="2"/>
    <n v="3"/>
  </r>
  <r>
    <n v="577"/>
    <x v="25"/>
    <x v="4"/>
    <b v="0"/>
    <n v="30"/>
    <n v="1"/>
    <n v="29"/>
    <x v="1"/>
    <x v="0"/>
    <x v="0"/>
    <x v="2"/>
    <n v="3"/>
  </r>
  <r>
    <n v="578"/>
    <x v="25"/>
    <x v="4"/>
    <b v="0"/>
    <n v="72"/>
    <n v="3"/>
    <n v="69"/>
    <x v="1"/>
    <x v="0"/>
    <x v="0"/>
    <x v="2"/>
    <n v="3"/>
  </r>
  <r>
    <n v="579"/>
    <x v="25"/>
    <x v="4"/>
    <b v="0"/>
    <n v="58"/>
    <n v="3"/>
    <n v="55"/>
    <x v="1"/>
    <x v="0"/>
    <x v="0"/>
    <x v="2"/>
    <n v="3"/>
  </r>
  <r>
    <n v="580"/>
    <x v="25"/>
    <x v="4"/>
    <b v="0"/>
    <n v="28"/>
    <n v="2"/>
    <n v="26"/>
    <x v="1"/>
    <x v="0"/>
    <x v="0"/>
    <x v="2"/>
    <n v="3"/>
  </r>
  <r>
    <n v="581"/>
    <x v="25"/>
    <x v="4"/>
    <b v="0"/>
    <n v="41"/>
    <n v="6"/>
    <n v="35"/>
    <x v="1"/>
    <x v="0"/>
    <x v="0"/>
    <x v="2"/>
    <n v="3"/>
  </r>
  <r>
    <n v="582"/>
    <x v="25"/>
    <x v="4"/>
    <b v="0"/>
    <n v="48"/>
    <n v="7"/>
    <n v="41"/>
    <x v="1"/>
    <x v="0"/>
    <x v="0"/>
    <x v="2"/>
    <n v="3"/>
  </r>
  <r>
    <n v="583"/>
    <x v="25"/>
    <x v="4"/>
    <b v="0"/>
    <n v="47"/>
    <n v="4"/>
    <n v="43"/>
    <x v="1"/>
    <x v="0"/>
    <x v="0"/>
    <x v="2"/>
    <n v="3"/>
  </r>
  <r>
    <n v="584"/>
    <x v="25"/>
    <x v="4"/>
    <b v="0"/>
    <n v="36"/>
    <n v="0"/>
    <n v="36"/>
    <x v="1"/>
    <x v="0"/>
    <x v="0"/>
    <x v="2"/>
    <n v="3"/>
  </r>
  <r>
    <n v="585"/>
    <x v="25"/>
    <x v="4"/>
    <b v="0"/>
    <n v="43"/>
    <n v="1"/>
    <n v="42"/>
    <x v="1"/>
    <x v="0"/>
    <x v="0"/>
    <x v="2"/>
    <n v="3"/>
  </r>
  <r>
    <n v="586"/>
    <x v="25"/>
    <x v="4"/>
    <b v="0"/>
    <n v="36"/>
    <n v="1"/>
    <n v="35"/>
    <x v="1"/>
    <x v="0"/>
    <x v="0"/>
    <x v="3"/>
    <n v="4"/>
  </r>
  <r>
    <n v="587"/>
    <x v="25"/>
    <x v="4"/>
    <b v="0"/>
    <n v="26"/>
    <n v="0"/>
    <n v="26"/>
    <x v="1"/>
    <x v="0"/>
    <x v="0"/>
    <x v="2"/>
    <n v="3"/>
  </r>
  <r>
    <n v="588"/>
    <x v="26"/>
    <x v="5"/>
    <b v="0"/>
    <n v="24"/>
    <n v="1"/>
    <n v="23"/>
    <x v="1"/>
    <x v="0"/>
    <x v="0"/>
    <x v="0"/>
    <n v="1"/>
  </r>
  <r>
    <n v="589"/>
    <x v="26"/>
    <x v="5"/>
    <b v="0"/>
    <n v="84"/>
    <n v="2"/>
    <n v="82"/>
    <x v="1"/>
    <x v="0"/>
    <x v="0"/>
    <x v="0"/>
    <n v="1"/>
  </r>
  <r>
    <n v="590"/>
    <x v="26"/>
    <x v="5"/>
    <b v="0"/>
    <n v="104"/>
    <n v="3"/>
    <n v="101"/>
    <x v="1"/>
    <x v="0"/>
    <x v="1"/>
    <x v="0"/>
    <n v="1"/>
  </r>
  <r>
    <n v="591"/>
    <x v="26"/>
    <x v="5"/>
    <b v="0"/>
    <n v="79"/>
    <n v="3"/>
    <n v="76"/>
    <x v="1"/>
    <x v="0"/>
    <x v="0"/>
    <x v="0"/>
    <n v="1"/>
  </r>
  <r>
    <n v="592"/>
    <x v="26"/>
    <x v="5"/>
    <b v="0"/>
    <n v="59"/>
    <n v="4"/>
    <n v="55"/>
    <x v="1"/>
    <x v="0"/>
    <x v="0"/>
    <x v="0"/>
    <n v="1"/>
  </r>
  <r>
    <n v="593"/>
    <x v="26"/>
    <x v="5"/>
    <b v="0"/>
    <n v="38"/>
    <n v="2"/>
    <n v="36"/>
    <x v="1"/>
    <x v="0"/>
    <x v="0"/>
    <x v="0"/>
    <n v="1"/>
  </r>
  <r>
    <n v="594"/>
    <x v="26"/>
    <x v="5"/>
    <b v="0"/>
    <n v="27"/>
    <n v="0"/>
    <n v="27"/>
    <x v="1"/>
    <x v="0"/>
    <x v="0"/>
    <x v="0"/>
    <n v="1"/>
  </r>
  <r>
    <n v="595"/>
    <x v="26"/>
    <x v="5"/>
    <b v="0"/>
    <n v="16"/>
    <n v="0"/>
    <n v="16"/>
    <x v="1"/>
    <x v="0"/>
    <x v="0"/>
    <x v="0"/>
    <n v="1"/>
  </r>
  <r>
    <n v="596"/>
    <x v="27"/>
    <x v="6"/>
    <b v="0"/>
    <n v="9"/>
    <n v="0"/>
    <n v="9"/>
    <x v="1"/>
    <x v="0"/>
    <x v="0"/>
    <x v="1"/>
    <n v="2"/>
  </r>
  <r>
    <n v="597"/>
    <x v="27"/>
    <x v="6"/>
    <b v="0"/>
    <n v="3"/>
    <n v="1"/>
    <n v="2"/>
    <x v="1"/>
    <x v="0"/>
    <x v="0"/>
    <x v="1"/>
    <n v="2"/>
  </r>
  <r>
    <n v="598"/>
    <x v="27"/>
    <x v="6"/>
    <b v="0"/>
    <n v="2"/>
    <n v="0"/>
    <n v="2"/>
    <x v="1"/>
    <x v="0"/>
    <x v="0"/>
    <x v="1"/>
    <n v="2"/>
  </r>
  <r>
    <n v="599"/>
    <x v="27"/>
    <x v="6"/>
    <b v="0"/>
    <n v="1"/>
    <n v="1"/>
    <n v="0"/>
    <x v="1"/>
    <x v="0"/>
    <x v="0"/>
    <x v="1"/>
    <n v="2"/>
  </r>
  <r>
    <n v="600"/>
    <x v="27"/>
    <x v="6"/>
    <b v="0"/>
    <n v="4"/>
    <n v="0"/>
    <n v="4"/>
    <x v="1"/>
    <x v="0"/>
    <x v="0"/>
    <x v="1"/>
    <n v="2"/>
  </r>
  <r>
    <n v="601"/>
    <x v="27"/>
    <x v="6"/>
    <b v="0"/>
    <n v="16"/>
    <n v="0"/>
    <n v="16"/>
    <x v="1"/>
    <x v="0"/>
    <x v="0"/>
    <x v="1"/>
    <n v="2"/>
  </r>
  <r>
    <n v="602"/>
    <x v="27"/>
    <x v="6"/>
    <b v="0"/>
    <n v="60"/>
    <n v="2"/>
    <n v="58"/>
    <x v="1"/>
    <x v="0"/>
    <x v="0"/>
    <x v="1"/>
    <n v="2"/>
  </r>
  <r>
    <n v="603"/>
    <x v="27"/>
    <x v="6"/>
    <b v="0"/>
    <n v="157"/>
    <n v="2"/>
    <n v="155"/>
    <x v="1"/>
    <x v="0"/>
    <x v="2"/>
    <x v="1"/>
    <n v="2"/>
  </r>
  <r>
    <n v="604"/>
    <x v="27"/>
    <x v="6"/>
    <b v="0"/>
    <n v="101"/>
    <n v="6"/>
    <n v="95"/>
    <x v="1"/>
    <x v="0"/>
    <x v="1"/>
    <x v="2"/>
    <n v="3"/>
  </r>
  <r>
    <n v="605"/>
    <x v="27"/>
    <x v="6"/>
    <b v="0"/>
    <n v="49"/>
    <n v="0"/>
    <n v="49"/>
    <x v="1"/>
    <x v="0"/>
    <x v="0"/>
    <x v="2"/>
    <n v="3"/>
  </r>
  <r>
    <n v="606"/>
    <x v="27"/>
    <x v="6"/>
    <b v="0"/>
    <n v="30"/>
    <n v="0"/>
    <n v="30"/>
    <x v="1"/>
    <x v="0"/>
    <x v="0"/>
    <x v="2"/>
    <n v="3"/>
  </r>
  <r>
    <n v="607"/>
    <x v="27"/>
    <x v="6"/>
    <b v="0"/>
    <n v="29"/>
    <n v="1"/>
    <n v="28"/>
    <x v="1"/>
    <x v="0"/>
    <x v="0"/>
    <x v="2"/>
    <n v="3"/>
  </r>
  <r>
    <n v="608"/>
    <x v="27"/>
    <x v="6"/>
    <b v="0"/>
    <n v="31"/>
    <n v="0"/>
    <n v="31"/>
    <x v="1"/>
    <x v="0"/>
    <x v="0"/>
    <x v="2"/>
    <n v="3"/>
  </r>
  <r>
    <n v="609"/>
    <x v="27"/>
    <x v="6"/>
    <b v="0"/>
    <n v="38"/>
    <n v="2"/>
    <n v="36"/>
    <x v="1"/>
    <x v="0"/>
    <x v="0"/>
    <x v="2"/>
    <n v="3"/>
  </r>
  <r>
    <n v="610"/>
    <x v="27"/>
    <x v="6"/>
    <b v="0"/>
    <n v="41"/>
    <n v="1"/>
    <n v="40"/>
    <x v="1"/>
    <x v="0"/>
    <x v="0"/>
    <x v="1"/>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n v="1"/>
    <d v="2011-01-01T00:00:00"/>
    <s v="Winter"/>
    <s v="January"/>
    <x v="0"/>
    <b v="0"/>
    <s v="Saturday"/>
    <s v="Clear"/>
    <n v="0.24"/>
    <n v="0.28789999999999999"/>
    <n v="0.81"/>
    <n v="0"/>
    <n v="3"/>
    <n v="13"/>
    <n v="16"/>
  </r>
  <r>
    <n v="2"/>
    <d v="2011-01-01T00:00:00"/>
    <s v="Winter"/>
    <s v="January"/>
    <x v="1"/>
    <b v="0"/>
    <s v="Saturday"/>
    <s v="Clear"/>
    <n v="0.22"/>
    <n v="0.2727"/>
    <n v="0.8"/>
    <n v="0"/>
    <n v="8"/>
    <n v="32"/>
    <n v="40"/>
  </r>
  <r>
    <n v="3"/>
    <d v="2011-01-01T00:00:00"/>
    <s v="Winter"/>
    <s v="January"/>
    <x v="2"/>
    <b v="0"/>
    <s v="Saturday"/>
    <s v="Clear"/>
    <n v="0.22"/>
    <n v="0.2727"/>
    <n v="0.8"/>
    <n v="0"/>
    <n v="5"/>
    <n v="27"/>
    <n v="32"/>
  </r>
  <r>
    <n v="4"/>
    <d v="2011-01-01T00:00:00"/>
    <s v="Winter"/>
    <s v="January"/>
    <x v="3"/>
    <b v="0"/>
    <s v="Saturday"/>
    <s v="Clear"/>
    <n v="0.24"/>
    <n v="0.28789999999999999"/>
    <n v="0.75"/>
    <n v="0"/>
    <n v="3"/>
    <n v="10"/>
    <n v="13"/>
  </r>
  <r>
    <n v="5"/>
    <d v="2011-01-01T00:00:00"/>
    <s v="Winter"/>
    <s v="January"/>
    <x v="4"/>
    <b v="0"/>
    <s v="Saturday"/>
    <s v="Clear"/>
    <n v="0.24"/>
    <n v="0.28789999999999999"/>
    <n v="0.75"/>
    <n v="0"/>
    <n v="0"/>
    <n v="1"/>
    <n v="1"/>
  </r>
  <r>
    <n v="6"/>
    <d v="2011-01-01T00:00:00"/>
    <s v="Winter"/>
    <s v="January"/>
    <x v="5"/>
    <b v="0"/>
    <s v="Saturday"/>
    <s v="Mist"/>
    <n v="0.24"/>
    <n v="0.2576"/>
    <n v="0.75"/>
    <n v="8.9599999999999999E-2"/>
    <n v="0"/>
    <n v="1"/>
    <n v="1"/>
  </r>
  <r>
    <n v="7"/>
    <d v="2011-01-01T00:00:00"/>
    <s v="Winter"/>
    <s v="January"/>
    <x v="6"/>
    <b v="0"/>
    <s v="Saturday"/>
    <s v="Clear"/>
    <n v="0.22"/>
    <n v="0.2727"/>
    <n v="0.8"/>
    <n v="0"/>
    <n v="2"/>
    <n v="0"/>
    <n v="2"/>
  </r>
  <r>
    <n v="8"/>
    <d v="2011-01-01T00:00:00"/>
    <s v="Winter"/>
    <s v="January"/>
    <x v="7"/>
    <b v="0"/>
    <s v="Saturday"/>
    <s v="Clear"/>
    <n v="0.2"/>
    <n v="0.2576"/>
    <n v="0.86"/>
    <n v="0"/>
    <n v="1"/>
    <n v="2"/>
    <n v="3"/>
  </r>
  <r>
    <n v="9"/>
    <d v="2011-01-01T00:00:00"/>
    <s v="Winter"/>
    <s v="January"/>
    <x v="8"/>
    <b v="0"/>
    <s v="Saturday"/>
    <s v="Clear"/>
    <n v="0.24"/>
    <n v="0.19700000000000001"/>
    <n v="0.75"/>
    <n v="0"/>
    <n v="1"/>
    <n v="7"/>
    <n v="8"/>
  </r>
  <r>
    <n v="10"/>
    <d v="2011-01-01T00:00:00"/>
    <s v="Winter"/>
    <s v="January"/>
    <x v="9"/>
    <b v="0"/>
    <s v="Saturday"/>
    <s v="Clear"/>
    <n v="0.32"/>
    <n v="0.34849999999999998"/>
    <n v="0.76"/>
    <n v="0"/>
    <n v="8"/>
    <n v="6"/>
    <n v="14"/>
  </r>
  <r>
    <n v="11"/>
    <d v="2011-01-01T00:00:00"/>
    <s v="Winter"/>
    <s v="January"/>
    <x v="10"/>
    <b v="0"/>
    <s v="Saturday"/>
    <s v="Clear"/>
    <n v="0.38"/>
    <n v="0.39389999999999997"/>
    <n v="0.76"/>
    <n v="0.25369999999999998"/>
    <n v="12"/>
    <n v="24"/>
    <n v="36"/>
  </r>
  <r>
    <n v="12"/>
    <d v="2011-01-01T00:00:00"/>
    <s v="Winter"/>
    <s v="January"/>
    <x v="11"/>
    <b v="0"/>
    <s v="Saturday"/>
    <s v="Clear"/>
    <n v="0.36"/>
    <n v="0.33329999999999999"/>
    <n v="0.81"/>
    <n v="0.28360000000000002"/>
    <n v="26"/>
    <n v="30"/>
    <n v="56"/>
  </r>
  <r>
    <n v="13"/>
    <d v="2011-01-01T00:00:00"/>
    <s v="Winter"/>
    <s v="January"/>
    <x v="12"/>
    <b v="0"/>
    <s v="Saturday"/>
    <s v="Clear"/>
    <n v="0.42"/>
    <n v="0.42420000000000002"/>
    <n v="0.77"/>
    <n v="0.28360000000000002"/>
    <n v="29"/>
    <n v="55"/>
    <n v="84"/>
  </r>
  <r>
    <n v="14"/>
    <d v="2011-01-01T00:00:00"/>
    <s v="Winter"/>
    <s v="January"/>
    <x v="13"/>
    <b v="0"/>
    <s v="Saturday"/>
    <s v="Mist"/>
    <n v="0.46"/>
    <n v="0.45450000000000002"/>
    <n v="0.72"/>
    <n v="0.29849999999999999"/>
    <n v="47"/>
    <n v="47"/>
    <n v="94"/>
  </r>
  <r>
    <n v="15"/>
    <d v="2011-01-01T00:00:00"/>
    <s v="Winter"/>
    <s v="January"/>
    <x v="14"/>
    <b v="0"/>
    <s v="Saturday"/>
    <s v="Mist"/>
    <n v="0.46"/>
    <n v="0.45450000000000002"/>
    <n v="0.72"/>
    <n v="0.28360000000000002"/>
    <n v="35"/>
    <n v="71"/>
    <n v="106"/>
  </r>
  <r>
    <n v="16"/>
    <d v="2011-01-01T00:00:00"/>
    <s v="Winter"/>
    <s v="January"/>
    <x v="15"/>
    <b v="0"/>
    <s v="Saturday"/>
    <s v="Mist"/>
    <n v="0.44"/>
    <n v="0.43940000000000001"/>
    <n v="0.77"/>
    <n v="0.29849999999999999"/>
    <n v="40"/>
    <n v="70"/>
    <n v="110"/>
  </r>
  <r>
    <n v="17"/>
    <d v="2011-01-01T00:00:00"/>
    <s v="Winter"/>
    <s v="January"/>
    <x v="16"/>
    <b v="0"/>
    <s v="Saturday"/>
    <s v="Mist"/>
    <n v="0.42"/>
    <n v="0.42420000000000002"/>
    <n v="0.82"/>
    <n v="0.29849999999999999"/>
    <n v="41"/>
    <n v="52"/>
    <n v="93"/>
  </r>
  <r>
    <n v="18"/>
    <d v="2011-01-01T00:00:00"/>
    <s v="Winter"/>
    <s v="January"/>
    <x v="17"/>
    <b v="0"/>
    <s v="Saturday"/>
    <s v="Mist"/>
    <n v="0.44"/>
    <n v="0.19700000000000001"/>
    <n v="0.82"/>
    <n v="0.28360000000000002"/>
    <n v="15"/>
    <n v="52"/>
    <n v="67"/>
  </r>
  <r>
    <n v="19"/>
    <d v="2011-01-01T00:00:00"/>
    <s v="Winter"/>
    <s v="January"/>
    <x v="18"/>
    <b v="0"/>
    <s v="Saturday"/>
    <s v="Light Snow"/>
    <n v="0.42"/>
    <n v="0.42420000000000002"/>
    <n v="0.88"/>
    <n v="0.25369999999999998"/>
    <n v="9"/>
    <n v="26"/>
    <n v="35"/>
  </r>
  <r>
    <n v="20"/>
    <d v="2011-01-01T00:00:00"/>
    <s v="Winter"/>
    <s v="January"/>
    <x v="19"/>
    <b v="0"/>
    <s v="Saturday"/>
    <s v="Light Snow"/>
    <n v="0.42"/>
    <n v="0.42420000000000002"/>
    <n v="0.88"/>
    <n v="0.25369999999999998"/>
    <n v="6"/>
    <n v="31"/>
    <n v="37"/>
  </r>
  <r>
    <n v="21"/>
    <d v="2011-01-01T00:00:00"/>
    <s v="Winter"/>
    <s v="January"/>
    <x v="20"/>
    <b v="0"/>
    <s v="Saturday"/>
    <s v="Mist"/>
    <n v="0.4"/>
    <n v="0.40910000000000002"/>
    <n v="0.87"/>
    <n v="0.25369999999999998"/>
    <n v="11"/>
    <n v="25"/>
    <n v="36"/>
  </r>
  <r>
    <n v="22"/>
    <d v="2011-01-01T00:00:00"/>
    <s v="Winter"/>
    <s v="January"/>
    <x v="21"/>
    <b v="0"/>
    <s v="Saturday"/>
    <s v="Mist"/>
    <n v="0.4"/>
    <n v="0.40910000000000002"/>
    <n v="0.87"/>
    <n v="0.19400000000000001"/>
    <n v="3"/>
    <n v="31"/>
    <n v="34"/>
  </r>
  <r>
    <n v="23"/>
    <d v="2011-01-01T00:00:00"/>
    <s v="Winter"/>
    <s v="January"/>
    <x v="22"/>
    <b v="0"/>
    <s v="Saturday"/>
    <s v="Mist"/>
    <n v="0.4"/>
    <n v="0.40910000000000002"/>
    <n v="0.94"/>
    <n v="0.22389999999999999"/>
    <n v="11"/>
    <n v="17"/>
    <n v="28"/>
  </r>
  <r>
    <n v="24"/>
    <d v="2011-01-01T00:00:00"/>
    <s v="Winter"/>
    <s v="January"/>
    <x v="23"/>
    <b v="0"/>
    <s v="Saturday"/>
    <s v="Mist"/>
    <n v="0.46"/>
    <n v="0.19700000000000001"/>
    <n v="0.88"/>
    <n v="0.29849999999999999"/>
    <n v="15"/>
    <n v="24"/>
    <n v="39"/>
  </r>
  <r>
    <n v="25"/>
    <d v="2011-01-02T00:00:00"/>
    <s v="Winter"/>
    <s v="January"/>
    <x v="0"/>
    <b v="0"/>
    <s v="Sunday"/>
    <s v="Mist"/>
    <n v="0.46"/>
    <n v="0.45450000000000002"/>
    <n v="0.88"/>
    <n v="0.29849999999999999"/>
    <n v="4"/>
    <n v="13"/>
    <n v="17"/>
  </r>
  <r>
    <n v="26"/>
    <d v="2011-01-02T00:00:00"/>
    <s v="Winter"/>
    <s v="January"/>
    <x v="1"/>
    <b v="0"/>
    <s v="Sunday"/>
    <s v="Mist"/>
    <n v="0.44"/>
    <n v="0.43940000000000001"/>
    <n v="0.94"/>
    <n v="0.25369999999999998"/>
    <n v="1"/>
    <n v="16"/>
    <n v="17"/>
  </r>
  <r>
    <n v="27"/>
    <d v="2011-01-02T00:00:00"/>
    <s v="Winter"/>
    <s v="January"/>
    <x v="2"/>
    <b v="0"/>
    <s v="Sunday"/>
    <s v="Mist"/>
    <n v="0.42"/>
    <n v="0.42420000000000002"/>
    <n v="1"/>
    <n v="0.28360000000000002"/>
    <n v="1"/>
    <n v="8"/>
    <n v="9"/>
  </r>
  <r>
    <n v="28"/>
    <d v="2011-01-02T00:00:00"/>
    <s v="Winter"/>
    <s v="January"/>
    <x v="3"/>
    <b v="0"/>
    <s v="Sunday"/>
    <s v="Mist"/>
    <n v="0.46"/>
    <n v="0.45450000000000002"/>
    <n v="0.94"/>
    <n v="0.19400000000000001"/>
    <n v="2"/>
    <n v="4"/>
    <n v="6"/>
  </r>
  <r>
    <n v="29"/>
    <d v="2011-01-02T00:00:00"/>
    <s v="Winter"/>
    <s v="January"/>
    <x v="4"/>
    <b v="0"/>
    <s v="Sunday"/>
    <s v="Mist"/>
    <n v="0.46"/>
    <n v="0.19700000000000001"/>
    <n v="0.94"/>
    <n v="0.19400000000000001"/>
    <n v="2"/>
    <n v="1"/>
    <n v="3"/>
  </r>
  <r>
    <n v="30"/>
    <d v="2011-01-02T00:00:00"/>
    <s v="Winter"/>
    <s v="January"/>
    <x v="6"/>
    <b v="0"/>
    <s v="Sunday"/>
    <s v="Light Snow"/>
    <n v="0.42"/>
    <n v="0.42420000000000002"/>
    <n v="0.77"/>
    <n v="0.29849999999999999"/>
    <n v="0"/>
    <n v="2"/>
    <n v="2"/>
  </r>
  <r>
    <n v="31"/>
    <d v="2011-01-02T00:00:00"/>
    <s v="Winter"/>
    <s v="January"/>
    <x v="7"/>
    <b v="0"/>
    <s v="Sunday"/>
    <s v="Mist"/>
    <n v="0.4"/>
    <n v="0.40910000000000002"/>
    <n v="0.76"/>
    <n v="0.19400000000000001"/>
    <n v="0"/>
    <n v="1"/>
    <n v="1"/>
  </r>
  <r>
    <n v="32"/>
    <d v="2011-01-02T00:00:00"/>
    <s v="Winter"/>
    <s v="January"/>
    <x v="8"/>
    <b v="0"/>
    <s v="Sunday"/>
    <s v="Light Snow"/>
    <n v="0.4"/>
    <n v="0.40910000000000002"/>
    <n v="0.71"/>
    <n v="0.22389999999999999"/>
    <n v="0"/>
    <n v="8"/>
    <n v="8"/>
  </r>
  <r>
    <n v="33"/>
    <d v="2011-01-02T00:00:00"/>
    <s v="Winter"/>
    <s v="January"/>
    <x v="9"/>
    <b v="0"/>
    <s v="Sunday"/>
    <s v="Mist"/>
    <n v="0.38"/>
    <n v="0.19700000000000001"/>
    <n v="0.76"/>
    <n v="0.22389999999999999"/>
    <n v="1"/>
    <n v="19"/>
    <n v="20"/>
  </r>
  <r>
    <n v="34"/>
    <d v="2011-01-02T00:00:00"/>
    <s v="Winter"/>
    <s v="January"/>
    <x v="10"/>
    <b v="0"/>
    <s v="Sunday"/>
    <s v="Mist"/>
    <n v="0.36"/>
    <n v="0.34849999999999998"/>
    <n v="0.81"/>
    <n v="0.22389999999999999"/>
    <n v="7"/>
    <n v="46"/>
    <n v="53"/>
  </r>
  <r>
    <n v="35"/>
    <d v="2011-01-02T00:00:00"/>
    <s v="Winter"/>
    <s v="January"/>
    <x v="11"/>
    <b v="0"/>
    <s v="Sunday"/>
    <s v="Mist"/>
    <n v="0.36"/>
    <n v="0.33329999999999999"/>
    <n v="0.71"/>
    <n v="0.25369999999999998"/>
    <n v="16"/>
    <n v="54"/>
    <n v="70"/>
  </r>
  <r>
    <n v="36"/>
    <d v="2011-01-02T00:00:00"/>
    <s v="Winter"/>
    <s v="January"/>
    <x v="12"/>
    <b v="0"/>
    <s v="Sunday"/>
    <s v="Mist"/>
    <n v="0.36"/>
    <n v="0.33329999999999999"/>
    <n v="0.66"/>
    <n v="0.29849999999999999"/>
    <n v="20"/>
    <n v="73"/>
    <n v="93"/>
  </r>
  <r>
    <n v="37"/>
    <d v="2011-01-02T00:00:00"/>
    <s v="Winter"/>
    <s v="January"/>
    <x v="13"/>
    <b v="0"/>
    <s v="Sunday"/>
    <s v="Mist"/>
    <n v="0.36"/>
    <n v="0.34849999999999998"/>
    <n v="0.66"/>
    <n v="0.1343"/>
    <n v="11"/>
    <n v="64"/>
    <n v="75"/>
  </r>
  <r>
    <n v="38"/>
    <d v="2011-01-02T00:00:00"/>
    <s v="Winter"/>
    <s v="January"/>
    <x v="14"/>
    <b v="0"/>
    <s v="Sunday"/>
    <s v="Light Snow"/>
    <n v="0.36"/>
    <n v="0.19700000000000001"/>
    <n v="0.76"/>
    <n v="0.19400000000000001"/>
    <n v="4"/>
    <n v="55"/>
    <n v="59"/>
  </r>
  <r>
    <n v="39"/>
    <d v="2011-01-02T00:00:00"/>
    <s v="Winter"/>
    <s v="January"/>
    <x v="15"/>
    <b v="0"/>
    <s v="Sunday"/>
    <s v="Light Snow"/>
    <n v="0.34"/>
    <n v="0.33329999999999999"/>
    <n v="0.81"/>
    <n v="0.16420000000000001"/>
    <n v="19"/>
    <n v="55"/>
    <n v="74"/>
  </r>
  <r>
    <n v="40"/>
    <d v="2011-01-02T00:00:00"/>
    <s v="Winter"/>
    <s v="January"/>
    <x v="16"/>
    <b v="0"/>
    <s v="Sunday"/>
    <s v="Light Snow"/>
    <n v="0.34"/>
    <n v="0.33329999999999999"/>
    <n v="0.71"/>
    <n v="0.16420000000000001"/>
    <n v="9"/>
    <n v="67"/>
    <n v="76"/>
  </r>
  <r>
    <n v="41"/>
    <d v="2011-01-02T00:00:00"/>
    <s v="Winter"/>
    <s v="January"/>
    <x v="17"/>
    <b v="0"/>
    <s v="Sunday"/>
    <s v="Clear"/>
    <n v="0.34"/>
    <n v="0.33329999999999999"/>
    <n v="0.56999999999999995"/>
    <n v="0.19400000000000001"/>
    <n v="7"/>
    <n v="58"/>
    <n v="65"/>
  </r>
  <r>
    <n v="42"/>
    <d v="2011-01-02T00:00:00"/>
    <s v="Winter"/>
    <s v="January"/>
    <x v="18"/>
    <b v="0"/>
    <s v="Sunday"/>
    <s v="Mist"/>
    <n v="0.36"/>
    <n v="0.33329999999999999"/>
    <n v="0.46"/>
    <n v="0.32840000000000003"/>
    <n v="10"/>
    <n v="43"/>
    <n v="53"/>
  </r>
  <r>
    <n v="43"/>
    <d v="2011-01-02T00:00:00"/>
    <s v="Winter"/>
    <s v="January"/>
    <x v="19"/>
    <b v="0"/>
    <s v="Sunday"/>
    <s v="Clear"/>
    <n v="0.32"/>
    <n v="0.28789999999999999"/>
    <n v="0.42"/>
    <n v="0.44779999999999998"/>
    <n v="1"/>
    <n v="29"/>
    <n v="30"/>
  </r>
  <r>
    <n v="44"/>
    <d v="2011-01-02T00:00:00"/>
    <s v="Winter"/>
    <s v="January"/>
    <x v="20"/>
    <b v="0"/>
    <s v="Sunday"/>
    <s v="Clear"/>
    <n v="0.3"/>
    <n v="0.19700000000000001"/>
    <n v="0.39"/>
    <n v="0.35820000000000002"/>
    <n v="5"/>
    <n v="17"/>
    <n v="22"/>
  </r>
  <r>
    <n v="45"/>
    <d v="2011-01-02T00:00:00"/>
    <s v="Winter"/>
    <s v="January"/>
    <x v="21"/>
    <b v="0"/>
    <s v="Sunday"/>
    <s v="Clear"/>
    <n v="0.26"/>
    <n v="0.2273"/>
    <n v="0.44"/>
    <n v="0.32840000000000003"/>
    <n v="11"/>
    <n v="20"/>
    <n v="31"/>
  </r>
  <r>
    <n v="46"/>
    <d v="2011-01-02T00:00:00"/>
    <s v="Winter"/>
    <s v="January"/>
    <x v="22"/>
    <b v="0"/>
    <s v="Sunday"/>
    <s v="Clear"/>
    <n v="0.24"/>
    <n v="0.21210000000000001"/>
    <n v="0.44"/>
    <n v="0.29849999999999999"/>
    <n v="0"/>
    <n v="9"/>
    <n v="9"/>
  </r>
  <r>
    <n v="47"/>
    <d v="2011-01-02T00:00:00"/>
    <s v="Winter"/>
    <s v="January"/>
    <x v="23"/>
    <b v="0"/>
    <s v="Sunday"/>
    <s v="Clear"/>
    <n v="0.22"/>
    <n v="0.2273"/>
    <n v="0.47"/>
    <n v="0.16420000000000001"/>
    <n v="0"/>
    <n v="8"/>
    <n v="8"/>
  </r>
  <r>
    <n v="48"/>
    <d v="2011-01-03T00:00:00"/>
    <s v="Winter"/>
    <s v="January"/>
    <x v="0"/>
    <b v="0"/>
    <s v="Monday"/>
    <s v="Clear"/>
    <n v="0.22"/>
    <n v="0.19700000000000001"/>
    <n v="0.44"/>
    <n v="0.35820000000000002"/>
    <n v="0"/>
    <n v="5"/>
    <n v="5"/>
  </r>
  <r>
    <n v="49"/>
    <d v="2011-01-03T00:00:00"/>
    <s v="Winter"/>
    <s v="January"/>
    <x v="1"/>
    <b v="0"/>
    <s v="Monday"/>
    <s v="Clear"/>
    <n v="0.2"/>
    <n v="0.19700000000000001"/>
    <n v="0.44"/>
    <n v="0.41789999999999999"/>
    <n v="0"/>
    <n v="2"/>
    <n v="2"/>
  </r>
  <r>
    <n v="50"/>
    <d v="2011-01-03T00:00:00"/>
    <s v="Winter"/>
    <s v="January"/>
    <x v="4"/>
    <b v="0"/>
    <s v="Monday"/>
    <s v="Clear"/>
    <n v="0.16"/>
    <n v="0.13639999999999999"/>
    <n v="0.47"/>
    <n v="0.3881"/>
    <n v="0"/>
    <n v="1"/>
    <n v="1"/>
  </r>
  <r>
    <n v="51"/>
    <d v="2011-01-03T00:00:00"/>
    <s v="Winter"/>
    <s v="January"/>
    <x v="5"/>
    <b v="0"/>
    <s v="Monday"/>
    <s v="Clear"/>
    <n v="0.16"/>
    <n v="0.13639999999999999"/>
    <n v="0.47"/>
    <n v="0.28360000000000002"/>
    <n v="0"/>
    <n v="3"/>
    <n v="3"/>
  </r>
  <r>
    <n v="52"/>
    <d v="2011-01-03T00:00:00"/>
    <s v="Winter"/>
    <s v="January"/>
    <x v="6"/>
    <b v="0"/>
    <s v="Monday"/>
    <s v="Clear"/>
    <n v="0.14000000000000001"/>
    <n v="0.1061"/>
    <n v="0.5"/>
    <n v="0.3881"/>
    <n v="0"/>
    <n v="30"/>
    <n v="30"/>
  </r>
  <r>
    <n v="53"/>
    <d v="2011-01-03T00:00:00"/>
    <s v="Winter"/>
    <s v="January"/>
    <x v="7"/>
    <b v="0"/>
    <s v="Monday"/>
    <s v="Clear"/>
    <n v="0.14000000000000001"/>
    <n v="0.13639999999999999"/>
    <n v="0.5"/>
    <n v="0.19400000000000001"/>
    <n v="1"/>
    <n v="63"/>
    <n v="64"/>
  </r>
  <r>
    <n v="54"/>
    <d v="2011-01-03T00:00:00"/>
    <s v="Winter"/>
    <s v="January"/>
    <x v="8"/>
    <b v="0"/>
    <s v="Monday"/>
    <s v="Clear"/>
    <n v="0.14000000000000001"/>
    <n v="0.1212"/>
    <n v="0.5"/>
    <n v="0.28360000000000002"/>
    <n v="1"/>
    <n v="153"/>
    <n v="154"/>
  </r>
  <r>
    <n v="55"/>
    <d v="2011-01-03T00:00:00"/>
    <s v="Winter"/>
    <s v="January"/>
    <x v="9"/>
    <b v="0"/>
    <s v="Monday"/>
    <s v="Clear"/>
    <n v="0.16"/>
    <n v="0.13639999999999999"/>
    <n v="0.43"/>
    <n v="0.3881"/>
    <n v="7"/>
    <n v="81"/>
    <n v="88"/>
  </r>
  <r>
    <n v="56"/>
    <d v="2011-01-03T00:00:00"/>
    <s v="Winter"/>
    <s v="January"/>
    <x v="10"/>
    <b v="0"/>
    <s v="Monday"/>
    <s v="Clear"/>
    <n v="0.18"/>
    <n v="0.16669999999999999"/>
    <n v="0.43"/>
    <n v="0.25369999999999998"/>
    <n v="11"/>
    <n v="33"/>
    <n v="44"/>
  </r>
  <r>
    <n v="57"/>
    <d v="2011-01-03T00:00:00"/>
    <s v="Winter"/>
    <s v="January"/>
    <x v="11"/>
    <b v="0"/>
    <s v="Monday"/>
    <s v="Clear"/>
    <n v="0.2"/>
    <n v="0.18179999999999999"/>
    <n v="0.4"/>
    <n v="0.32840000000000003"/>
    <n v="10"/>
    <n v="41"/>
    <n v="51"/>
  </r>
  <r>
    <n v="58"/>
    <d v="2011-01-03T00:00:00"/>
    <s v="Winter"/>
    <s v="January"/>
    <x v="12"/>
    <b v="0"/>
    <s v="Monday"/>
    <s v="Clear"/>
    <n v="0.22"/>
    <n v="0.21210000000000001"/>
    <n v="0.35"/>
    <n v="0.29849999999999999"/>
    <n v="13"/>
    <n v="48"/>
    <n v="61"/>
  </r>
  <r>
    <n v="59"/>
    <d v="2011-01-03T00:00:00"/>
    <s v="Winter"/>
    <s v="January"/>
    <x v="13"/>
    <b v="0"/>
    <s v="Monday"/>
    <s v="Clear"/>
    <n v="0.24"/>
    <n v="0.19700000000000001"/>
    <n v="0.35"/>
    <n v="0.28360000000000002"/>
    <n v="8"/>
    <n v="53"/>
    <n v="61"/>
  </r>
  <r>
    <n v="60"/>
    <d v="2011-01-03T00:00:00"/>
    <s v="Winter"/>
    <s v="January"/>
    <x v="14"/>
    <b v="0"/>
    <s v="Monday"/>
    <s v="Clear"/>
    <n v="0.26"/>
    <n v="0.2424"/>
    <n v="0.3"/>
    <n v="0.28360000000000002"/>
    <n v="11"/>
    <n v="66"/>
    <n v="77"/>
  </r>
  <r>
    <n v="61"/>
    <d v="2011-01-03T00:00:00"/>
    <s v="Winter"/>
    <s v="January"/>
    <x v="15"/>
    <b v="0"/>
    <s v="Monday"/>
    <s v="Clear"/>
    <n v="0.26"/>
    <n v="0.2424"/>
    <n v="0.3"/>
    <n v="0.25369999999999998"/>
    <n v="14"/>
    <n v="58"/>
    <n v="72"/>
  </r>
  <r>
    <n v="62"/>
    <d v="2011-01-03T00:00:00"/>
    <s v="Winter"/>
    <s v="January"/>
    <x v="16"/>
    <b v="0"/>
    <s v="Monday"/>
    <s v="Clear"/>
    <n v="0.26"/>
    <n v="0.2424"/>
    <n v="0.3"/>
    <n v="0.25369999999999998"/>
    <n v="9"/>
    <n v="67"/>
    <n v="76"/>
  </r>
  <r>
    <n v="63"/>
    <d v="2011-01-03T00:00:00"/>
    <s v="Winter"/>
    <s v="January"/>
    <x v="17"/>
    <b v="0"/>
    <s v="Monday"/>
    <s v="Clear"/>
    <n v="0.24"/>
    <n v="0.2273"/>
    <n v="0.3"/>
    <n v="0.22389999999999999"/>
    <n v="11"/>
    <n v="146"/>
    <n v="157"/>
  </r>
  <r>
    <n v="64"/>
    <d v="2011-01-03T00:00:00"/>
    <s v="Winter"/>
    <s v="January"/>
    <x v="18"/>
    <b v="0"/>
    <s v="Monday"/>
    <s v="Clear"/>
    <n v="0.24"/>
    <n v="0.2576"/>
    <n v="0.32"/>
    <n v="0.1045"/>
    <n v="9"/>
    <n v="148"/>
    <n v="157"/>
  </r>
  <r>
    <n v="65"/>
    <d v="2011-01-03T00:00:00"/>
    <s v="Winter"/>
    <s v="January"/>
    <x v="19"/>
    <b v="0"/>
    <s v="Monday"/>
    <s v="Clear"/>
    <n v="0.2"/>
    <n v="0.2576"/>
    <n v="0.47"/>
    <n v="0"/>
    <n v="8"/>
    <n v="102"/>
    <n v="110"/>
  </r>
  <r>
    <n v="66"/>
    <d v="2011-01-03T00:00:00"/>
    <s v="Winter"/>
    <s v="January"/>
    <x v="20"/>
    <b v="0"/>
    <s v="Monday"/>
    <s v="Clear"/>
    <n v="0.2"/>
    <n v="0.19700000000000001"/>
    <n v="0.47"/>
    <n v="0.1045"/>
    <n v="3"/>
    <n v="49"/>
    <n v="52"/>
  </r>
  <r>
    <n v="67"/>
    <d v="2011-01-03T00:00:00"/>
    <s v="Winter"/>
    <s v="January"/>
    <x v="21"/>
    <b v="0"/>
    <s v="Monday"/>
    <s v="Clear"/>
    <n v="0.18"/>
    <n v="0.19700000000000001"/>
    <n v="0.64"/>
    <n v="0.1343"/>
    <n v="3"/>
    <n v="49"/>
    <n v="52"/>
  </r>
  <r>
    <n v="68"/>
    <d v="2011-01-03T00:00:00"/>
    <s v="Winter"/>
    <s v="January"/>
    <x v="22"/>
    <b v="0"/>
    <s v="Monday"/>
    <s v="Clear"/>
    <n v="0.14000000000000001"/>
    <n v="0.1515"/>
    <n v="0.69"/>
    <n v="0.1343"/>
    <n v="0"/>
    <n v="20"/>
    <n v="20"/>
  </r>
  <r>
    <n v="69"/>
    <d v="2011-01-03T00:00:00"/>
    <s v="Winter"/>
    <s v="January"/>
    <x v="23"/>
    <b v="0"/>
    <s v="Monday"/>
    <s v="Clear"/>
    <n v="0.18"/>
    <n v="0.21210000000000001"/>
    <n v="0.55000000000000004"/>
    <n v="0.1045"/>
    <n v="1"/>
    <n v="11"/>
    <n v="12"/>
  </r>
  <r>
    <n v="70"/>
    <d v="2011-01-04T00:00:00"/>
    <s v="Winter"/>
    <s v="January"/>
    <x v="0"/>
    <b v="0"/>
    <s v="Tuesday"/>
    <s v="Clear"/>
    <n v="0.16"/>
    <n v="0.19700000000000001"/>
    <n v="0.55000000000000004"/>
    <n v="0.1045"/>
    <n v="0"/>
    <n v="5"/>
    <n v="5"/>
  </r>
  <r>
    <n v="71"/>
    <d v="2011-01-04T00:00:00"/>
    <s v="Winter"/>
    <s v="January"/>
    <x v="1"/>
    <b v="0"/>
    <s v="Tuesday"/>
    <s v="Clear"/>
    <n v="0.16"/>
    <n v="0.18179999999999999"/>
    <n v="0.59"/>
    <n v="0.1045"/>
    <n v="0"/>
    <n v="2"/>
    <n v="2"/>
  </r>
  <r>
    <n v="72"/>
    <d v="2011-01-04T00:00:00"/>
    <s v="Winter"/>
    <s v="January"/>
    <x v="2"/>
    <b v="0"/>
    <s v="Tuesday"/>
    <s v="Clear"/>
    <n v="0.14000000000000001"/>
    <n v="0.1515"/>
    <n v="0.63"/>
    <n v="0.1343"/>
    <n v="0"/>
    <n v="1"/>
    <n v="1"/>
  </r>
  <r>
    <n v="73"/>
    <d v="2011-01-04T00:00:00"/>
    <s v="Winter"/>
    <s v="January"/>
    <x v="4"/>
    <b v="0"/>
    <s v="Tuesday"/>
    <s v="Clear"/>
    <n v="0.14000000000000001"/>
    <n v="0.18179999999999999"/>
    <n v="0.63"/>
    <n v="8.9599999999999999E-2"/>
    <n v="0"/>
    <n v="2"/>
    <n v="2"/>
  </r>
  <r>
    <n v="74"/>
    <d v="2011-01-04T00:00:00"/>
    <s v="Winter"/>
    <s v="January"/>
    <x v="5"/>
    <b v="0"/>
    <s v="Tuesday"/>
    <s v="Clear"/>
    <n v="0.12"/>
    <n v="0.1515"/>
    <n v="0.68"/>
    <n v="0.1045"/>
    <n v="0"/>
    <n v="4"/>
    <n v="4"/>
  </r>
  <r>
    <n v="75"/>
    <d v="2011-01-04T00:00:00"/>
    <s v="Winter"/>
    <s v="January"/>
    <x v="6"/>
    <b v="0"/>
    <s v="Tuesday"/>
    <s v="Clear"/>
    <n v="0.12"/>
    <n v="0.1515"/>
    <n v="0.74"/>
    <n v="0.1045"/>
    <n v="0"/>
    <n v="36"/>
    <n v="36"/>
  </r>
  <r>
    <n v="76"/>
    <d v="2011-01-04T00:00:00"/>
    <s v="Winter"/>
    <s v="January"/>
    <x v="7"/>
    <b v="0"/>
    <s v="Tuesday"/>
    <s v="Clear"/>
    <n v="0.12"/>
    <n v="0.1515"/>
    <n v="0.74"/>
    <n v="0.1343"/>
    <n v="2"/>
    <n v="92"/>
    <n v="94"/>
  </r>
  <r>
    <n v="77"/>
    <d v="2011-01-04T00:00:00"/>
    <s v="Winter"/>
    <s v="January"/>
    <x v="8"/>
    <b v="0"/>
    <s v="Tuesday"/>
    <s v="Clear"/>
    <n v="0.14000000000000001"/>
    <n v="0.1515"/>
    <n v="0.69"/>
    <n v="0.16420000000000001"/>
    <n v="2"/>
    <n v="177"/>
    <n v="179"/>
  </r>
  <r>
    <n v="78"/>
    <d v="2011-01-04T00:00:00"/>
    <s v="Winter"/>
    <s v="January"/>
    <x v="9"/>
    <b v="0"/>
    <s v="Tuesday"/>
    <s v="Clear"/>
    <n v="0.16"/>
    <n v="0.1515"/>
    <n v="0.64"/>
    <n v="0.22389999999999999"/>
    <n v="2"/>
    <n v="98"/>
    <n v="100"/>
  </r>
  <r>
    <n v="79"/>
    <d v="2011-01-04T00:00:00"/>
    <s v="Winter"/>
    <s v="January"/>
    <x v="10"/>
    <b v="0"/>
    <s v="Tuesday"/>
    <s v="Mist"/>
    <n v="0.16"/>
    <n v="0.13639999999999999"/>
    <n v="0.69"/>
    <n v="0.32840000000000003"/>
    <n v="5"/>
    <n v="37"/>
    <n v="42"/>
  </r>
  <r>
    <n v="80"/>
    <d v="2011-01-04T00:00:00"/>
    <s v="Winter"/>
    <s v="January"/>
    <x v="11"/>
    <b v="0"/>
    <s v="Tuesday"/>
    <s v="Clear"/>
    <n v="0.22"/>
    <n v="0.21210000000000001"/>
    <n v="0.51"/>
    <n v="0.29849999999999999"/>
    <n v="7"/>
    <n v="50"/>
    <n v="57"/>
  </r>
  <r>
    <n v="81"/>
    <d v="2011-01-04T00:00:00"/>
    <s v="Winter"/>
    <s v="January"/>
    <x v="12"/>
    <b v="0"/>
    <s v="Tuesday"/>
    <s v="Clear"/>
    <n v="0.22"/>
    <n v="0.2273"/>
    <n v="0.51"/>
    <n v="0.16420000000000001"/>
    <n v="12"/>
    <n v="66"/>
    <n v="78"/>
  </r>
  <r>
    <n v="82"/>
    <d v="2011-01-04T00:00:00"/>
    <s v="Winter"/>
    <s v="January"/>
    <x v="13"/>
    <b v="0"/>
    <s v="Tuesday"/>
    <s v="Clear"/>
    <n v="0.24"/>
    <n v="0.2273"/>
    <n v="0.56000000000000005"/>
    <n v="0.19400000000000001"/>
    <n v="18"/>
    <n v="79"/>
    <n v="97"/>
  </r>
  <r>
    <n v="83"/>
    <d v="2011-01-04T00:00:00"/>
    <s v="Winter"/>
    <s v="January"/>
    <x v="14"/>
    <b v="0"/>
    <s v="Tuesday"/>
    <s v="Clear"/>
    <n v="0.26"/>
    <n v="0.2576"/>
    <n v="0.52"/>
    <n v="0.22389999999999999"/>
    <n v="9"/>
    <n v="54"/>
    <n v="63"/>
  </r>
  <r>
    <n v="84"/>
    <d v="2011-01-04T00:00:00"/>
    <s v="Winter"/>
    <s v="January"/>
    <x v="15"/>
    <b v="0"/>
    <s v="Tuesday"/>
    <s v="Clear"/>
    <n v="0.28000000000000003"/>
    <n v="0.2727"/>
    <n v="0.52"/>
    <n v="0.25369999999999998"/>
    <n v="17"/>
    <n v="48"/>
    <n v="65"/>
  </r>
  <r>
    <n v="85"/>
    <d v="2011-01-04T00:00:00"/>
    <s v="Winter"/>
    <s v="January"/>
    <x v="16"/>
    <b v="0"/>
    <s v="Tuesday"/>
    <s v="Clear"/>
    <n v="0.3"/>
    <n v="0.28789999999999999"/>
    <n v="0.49"/>
    <n v="0.25369999999999998"/>
    <n v="15"/>
    <n v="68"/>
    <n v="83"/>
  </r>
  <r>
    <n v="86"/>
    <d v="2011-01-04T00:00:00"/>
    <s v="Winter"/>
    <s v="January"/>
    <x v="17"/>
    <b v="0"/>
    <s v="Tuesday"/>
    <s v="Clear"/>
    <n v="0.28000000000000003"/>
    <n v="0.2727"/>
    <n v="0.48"/>
    <n v="0.22389999999999999"/>
    <n v="10"/>
    <n v="202"/>
    <n v="212"/>
  </r>
  <r>
    <n v="87"/>
    <d v="2011-01-04T00:00:00"/>
    <s v="Winter"/>
    <s v="January"/>
    <x v="18"/>
    <b v="0"/>
    <s v="Tuesday"/>
    <s v="Clear"/>
    <n v="0.26"/>
    <n v="0.2576"/>
    <n v="0.48"/>
    <n v="0.19400000000000001"/>
    <n v="3"/>
    <n v="179"/>
    <n v="182"/>
  </r>
  <r>
    <n v="88"/>
    <d v="2011-01-04T00:00:00"/>
    <s v="Winter"/>
    <s v="January"/>
    <x v="19"/>
    <b v="0"/>
    <s v="Tuesday"/>
    <s v="Clear"/>
    <n v="0.24"/>
    <n v="0.2576"/>
    <n v="0.48"/>
    <n v="0.1045"/>
    <n v="2"/>
    <n v="110"/>
    <n v="112"/>
  </r>
  <r>
    <n v="89"/>
    <d v="2011-01-04T00:00:00"/>
    <s v="Winter"/>
    <s v="January"/>
    <x v="20"/>
    <b v="0"/>
    <s v="Tuesday"/>
    <s v="Clear"/>
    <n v="0.24"/>
    <n v="0.2576"/>
    <n v="0.48"/>
    <n v="0.1045"/>
    <n v="1"/>
    <n v="53"/>
    <n v="54"/>
  </r>
  <r>
    <n v="90"/>
    <d v="2011-01-04T00:00:00"/>
    <s v="Winter"/>
    <s v="January"/>
    <x v="21"/>
    <b v="0"/>
    <s v="Tuesday"/>
    <s v="Clear"/>
    <n v="0.22"/>
    <n v="0.2727"/>
    <n v="0.64"/>
    <n v="0"/>
    <n v="0"/>
    <n v="48"/>
    <n v="48"/>
  </r>
  <r>
    <n v="91"/>
    <d v="2011-01-04T00:00:00"/>
    <s v="Winter"/>
    <s v="January"/>
    <x v="22"/>
    <b v="0"/>
    <s v="Tuesday"/>
    <s v="Clear"/>
    <n v="0.22"/>
    <n v="0.2576"/>
    <n v="0.64"/>
    <n v="8.9599999999999999E-2"/>
    <n v="1"/>
    <n v="34"/>
    <n v="35"/>
  </r>
  <r>
    <n v="92"/>
    <d v="2011-01-04T00:00:00"/>
    <s v="Winter"/>
    <s v="January"/>
    <x v="23"/>
    <b v="0"/>
    <s v="Tuesday"/>
    <s v="Clear"/>
    <n v="0.2"/>
    <n v="0.2273"/>
    <n v="0.69"/>
    <n v="8.9599999999999999E-2"/>
    <n v="2"/>
    <n v="9"/>
    <n v="11"/>
  </r>
  <r>
    <n v="93"/>
    <d v="2011-01-05T00:00:00"/>
    <s v="Winter"/>
    <s v="January"/>
    <x v="0"/>
    <b v="0"/>
    <s v="Wednesday"/>
    <s v="Clear"/>
    <n v="0.2"/>
    <n v="0.2576"/>
    <n v="0.64"/>
    <n v="0"/>
    <n v="0"/>
    <n v="6"/>
    <n v="6"/>
  </r>
  <r>
    <n v="94"/>
    <d v="2011-01-05T00:00:00"/>
    <s v="Winter"/>
    <s v="January"/>
    <x v="1"/>
    <b v="0"/>
    <s v="Wednesday"/>
    <s v="Clear"/>
    <n v="0.16"/>
    <n v="0.19700000000000001"/>
    <n v="0.74"/>
    <n v="8.9599999999999999E-2"/>
    <n v="0"/>
    <n v="6"/>
    <n v="6"/>
  </r>
  <r>
    <n v="95"/>
    <d v="2011-01-05T00:00:00"/>
    <s v="Winter"/>
    <s v="January"/>
    <x v="2"/>
    <b v="0"/>
    <s v="Wednesday"/>
    <s v="Clear"/>
    <n v="0.16"/>
    <n v="0.19700000000000001"/>
    <n v="0.74"/>
    <n v="8.9599999999999999E-2"/>
    <n v="0"/>
    <n v="2"/>
    <n v="2"/>
  </r>
  <r>
    <n v="96"/>
    <d v="2011-01-05T00:00:00"/>
    <s v="Winter"/>
    <s v="January"/>
    <x v="4"/>
    <b v="0"/>
    <s v="Wednesday"/>
    <s v="Clear"/>
    <n v="0.24"/>
    <n v="0.2273"/>
    <n v="0.48"/>
    <n v="0.22389999999999999"/>
    <n v="0"/>
    <n v="2"/>
    <n v="2"/>
  </r>
  <r>
    <n v="97"/>
    <d v="2011-01-05T00:00:00"/>
    <s v="Winter"/>
    <s v="January"/>
    <x v="5"/>
    <b v="0"/>
    <s v="Wednesday"/>
    <s v="Clear"/>
    <n v="0.22"/>
    <n v="0.2273"/>
    <n v="0.47"/>
    <n v="0.16420000000000001"/>
    <n v="0"/>
    <n v="3"/>
    <n v="3"/>
  </r>
  <r>
    <n v="98"/>
    <d v="2011-01-05T00:00:00"/>
    <s v="Winter"/>
    <s v="January"/>
    <x v="6"/>
    <b v="0"/>
    <s v="Wednesday"/>
    <s v="Clear"/>
    <n v="0.2"/>
    <n v="0.19700000000000001"/>
    <n v="0.47"/>
    <n v="0.22389999999999999"/>
    <n v="0"/>
    <n v="33"/>
    <n v="33"/>
  </r>
  <r>
    <n v="99"/>
    <d v="2011-01-05T00:00:00"/>
    <s v="Winter"/>
    <s v="January"/>
    <x v="7"/>
    <b v="0"/>
    <s v="Wednesday"/>
    <s v="Clear"/>
    <n v="0.18"/>
    <n v="0.18179999999999999"/>
    <n v="0.43"/>
    <n v="0.19400000000000001"/>
    <n v="1"/>
    <n v="87"/>
    <n v="88"/>
  </r>
  <r>
    <n v="100"/>
    <d v="2011-01-05T00:00:00"/>
    <s v="Winter"/>
    <s v="January"/>
    <x v="8"/>
    <b v="0"/>
    <s v="Wednesday"/>
    <s v="Clear"/>
    <n v="0.2"/>
    <n v="0.18179999999999999"/>
    <n v="0.4"/>
    <n v="0.29849999999999999"/>
    <n v="3"/>
    <n v="192"/>
    <n v="195"/>
  </r>
  <r>
    <n v="101"/>
    <d v="2011-01-05T00:00:00"/>
    <s v="Winter"/>
    <s v="January"/>
    <x v="9"/>
    <b v="0"/>
    <s v="Wednesday"/>
    <s v="Clear"/>
    <n v="0.22"/>
    <n v="0.19700000000000001"/>
    <n v="0.37"/>
    <n v="0.32840000000000003"/>
    <n v="6"/>
    <n v="109"/>
    <n v="115"/>
  </r>
  <r>
    <n v="102"/>
    <d v="2011-01-05T00:00:00"/>
    <s v="Winter"/>
    <s v="January"/>
    <x v="10"/>
    <b v="0"/>
    <s v="Wednesday"/>
    <s v="Clear"/>
    <n v="0.22"/>
    <n v="0.19700000000000001"/>
    <n v="0.37"/>
    <n v="0.32840000000000003"/>
    <n v="4"/>
    <n v="53"/>
    <n v="57"/>
  </r>
  <r>
    <n v="103"/>
    <d v="2011-01-05T00:00:00"/>
    <s v="Winter"/>
    <s v="January"/>
    <x v="11"/>
    <b v="0"/>
    <s v="Wednesday"/>
    <s v="Clear"/>
    <n v="0.26"/>
    <n v="0.2273"/>
    <n v="0.33"/>
    <n v="0.32840000000000003"/>
    <n v="12"/>
    <n v="34"/>
    <n v="46"/>
  </r>
  <r>
    <n v="104"/>
    <d v="2011-01-05T00:00:00"/>
    <s v="Winter"/>
    <s v="January"/>
    <x v="12"/>
    <b v="0"/>
    <s v="Wednesday"/>
    <s v="Clear"/>
    <n v="0.26"/>
    <n v="0.2273"/>
    <n v="0.33"/>
    <n v="0.32840000000000003"/>
    <n v="5"/>
    <n v="74"/>
    <n v="79"/>
  </r>
  <r>
    <n v="105"/>
    <d v="2011-01-05T00:00:00"/>
    <s v="Winter"/>
    <s v="January"/>
    <x v="13"/>
    <b v="0"/>
    <s v="Wednesday"/>
    <s v="Clear"/>
    <n v="0.28000000000000003"/>
    <n v="0.2576"/>
    <n v="0.3"/>
    <n v="0.29849999999999999"/>
    <n v="6"/>
    <n v="65"/>
    <n v="71"/>
  </r>
  <r>
    <n v="106"/>
    <d v="2011-01-05T00:00:00"/>
    <s v="Winter"/>
    <s v="January"/>
    <x v="14"/>
    <b v="0"/>
    <s v="Wednesday"/>
    <s v="Clear"/>
    <n v="0.3"/>
    <n v="0.28789999999999999"/>
    <n v="0.28000000000000003"/>
    <n v="0.19400000000000001"/>
    <n v="10"/>
    <n v="52"/>
    <n v="62"/>
  </r>
  <r>
    <n v="107"/>
    <d v="2011-01-05T00:00:00"/>
    <s v="Winter"/>
    <s v="January"/>
    <x v="15"/>
    <b v="0"/>
    <s v="Wednesday"/>
    <s v="Clear"/>
    <n v="0.3"/>
    <n v="0.28789999999999999"/>
    <n v="0.28000000000000003"/>
    <n v="0.19400000000000001"/>
    <n v="7"/>
    <n v="55"/>
    <n v="62"/>
  </r>
  <r>
    <n v="108"/>
    <d v="2011-01-05T00:00:00"/>
    <s v="Winter"/>
    <s v="January"/>
    <x v="16"/>
    <b v="0"/>
    <s v="Wednesday"/>
    <s v="Clear"/>
    <n v="0.3"/>
    <n v="0.31819999999999998"/>
    <n v="0.28000000000000003"/>
    <n v="8.9599999999999999E-2"/>
    <n v="4"/>
    <n v="85"/>
    <n v="89"/>
  </r>
  <r>
    <n v="109"/>
    <d v="2011-01-05T00:00:00"/>
    <s v="Winter"/>
    <s v="January"/>
    <x v="17"/>
    <b v="0"/>
    <s v="Wednesday"/>
    <s v="Clear"/>
    <n v="0.24"/>
    <n v="0.2273"/>
    <n v="0.38"/>
    <n v="0.19400000000000001"/>
    <n v="4"/>
    <n v="186"/>
    <n v="190"/>
  </r>
  <r>
    <n v="110"/>
    <d v="2011-01-05T00:00:00"/>
    <s v="Winter"/>
    <s v="January"/>
    <x v="18"/>
    <b v="0"/>
    <s v="Wednesday"/>
    <s v="Clear"/>
    <n v="0.24"/>
    <n v="0.2424"/>
    <n v="0.38"/>
    <n v="0.1343"/>
    <n v="3"/>
    <n v="166"/>
    <n v="169"/>
  </r>
  <r>
    <n v="111"/>
    <d v="2011-01-05T00:00:00"/>
    <s v="Winter"/>
    <s v="January"/>
    <x v="19"/>
    <b v="0"/>
    <s v="Wednesday"/>
    <s v="Clear"/>
    <n v="0.24"/>
    <n v="0.2576"/>
    <n v="0.38"/>
    <n v="0.1045"/>
    <n v="5"/>
    <n v="127"/>
    <n v="132"/>
  </r>
  <r>
    <n v="112"/>
    <d v="2011-01-05T00:00:00"/>
    <s v="Winter"/>
    <s v="January"/>
    <x v="20"/>
    <b v="0"/>
    <s v="Wednesday"/>
    <s v="Clear"/>
    <n v="0.22"/>
    <n v="0.2273"/>
    <n v="0.47"/>
    <n v="0.16420000000000001"/>
    <n v="7"/>
    <n v="82"/>
    <n v="89"/>
  </r>
  <r>
    <n v="113"/>
    <d v="2011-01-05T00:00:00"/>
    <s v="Winter"/>
    <s v="January"/>
    <x v="21"/>
    <b v="0"/>
    <s v="Wednesday"/>
    <s v="Clear"/>
    <n v="0.2"/>
    <n v="0.19700000000000001"/>
    <n v="0.51"/>
    <n v="0.19400000000000001"/>
    <n v="3"/>
    <n v="40"/>
    <n v="43"/>
  </r>
  <r>
    <n v="114"/>
    <d v="2011-01-05T00:00:00"/>
    <s v="Winter"/>
    <s v="January"/>
    <x v="22"/>
    <b v="0"/>
    <s v="Wednesday"/>
    <s v="Clear"/>
    <n v="0.18"/>
    <n v="0.19700000000000001"/>
    <n v="0.55000000000000004"/>
    <n v="0.1343"/>
    <n v="1"/>
    <n v="41"/>
    <n v="42"/>
  </r>
  <r>
    <n v="115"/>
    <d v="2011-01-05T00:00:00"/>
    <s v="Winter"/>
    <s v="January"/>
    <x v="23"/>
    <b v="0"/>
    <s v="Wednesday"/>
    <s v="Clear"/>
    <n v="0.2"/>
    <n v="0.2576"/>
    <n v="0.47"/>
    <n v="0"/>
    <n v="1"/>
    <n v="18"/>
    <n v="19"/>
  </r>
  <r>
    <n v="116"/>
    <d v="2011-01-06T00:00:00"/>
    <s v="Winter"/>
    <s v="January"/>
    <x v="0"/>
    <b v="0"/>
    <s v="Thursday"/>
    <s v="Clear"/>
    <n v="0.18"/>
    <n v="0.2424"/>
    <n v="0.55000000000000004"/>
    <n v="0"/>
    <n v="0"/>
    <n v="11"/>
    <n v="11"/>
  </r>
  <r>
    <n v="117"/>
    <d v="2011-01-06T00:00:00"/>
    <s v="Winter"/>
    <s v="January"/>
    <x v="1"/>
    <b v="0"/>
    <s v="Thursday"/>
    <s v="Clear"/>
    <n v="0.16"/>
    <n v="0.2273"/>
    <n v="0.64"/>
    <n v="0"/>
    <n v="0"/>
    <n v="4"/>
    <n v="4"/>
  </r>
  <r>
    <n v="118"/>
    <d v="2011-01-06T00:00:00"/>
    <s v="Winter"/>
    <s v="January"/>
    <x v="2"/>
    <b v="0"/>
    <s v="Thursday"/>
    <s v="Clear"/>
    <n v="0.16"/>
    <n v="0.2273"/>
    <n v="0.64"/>
    <n v="0"/>
    <n v="0"/>
    <n v="2"/>
    <n v="2"/>
  </r>
  <r>
    <n v="119"/>
    <d v="2011-01-06T00:00:00"/>
    <s v="Winter"/>
    <s v="January"/>
    <x v="4"/>
    <b v="0"/>
    <s v="Thursday"/>
    <s v="Mist"/>
    <n v="0.16"/>
    <n v="0.19700000000000001"/>
    <n v="0.64"/>
    <n v="8.9599999999999999E-2"/>
    <n v="0"/>
    <n v="1"/>
    <n v="1"/>
  </r>
  <r>
    <n v="120"/>
    <d v="2011-01-06T00:00:00"/>
    <s v="Winter"/>
    <s v="January"/>
    <x v="5"/>
    <b v="0"/>
    <s v="Thursday"/>
    <s v="Mist"/>
    <n v="0.14000000000000001"/>
    <n v="0.18179999999999999"/>
    <n v="0.69"/>
    <n v="8.9599999999999999E-2"/>
    <n v="0"/>
    <n v="4"/>
    <n v="4"/>
  </r>
  <r>
    <n v="121"/>
    <d v="2011-01-06T00:00:00"/>
    <s v="Winter"/>
    <s v="January"/>
    <x v="6"/>
    <b v="0"/>
    <s v="Thursday"/>
    <s v="Mist"/>
    <n v="0.14000000000000001"/>
    <n v="0.16669999999999999"/>
    <n v="0.63"/>
    <n v="0.1045"/>
    <n v="0"/>
    <n v="36"/>
    <n v="36"/>
  </r>
  <r>
    <n v="122"/>
    <d v="2011-01-06T00:00:00"/>
    <s v="Winter"/>
    <s v="January"/>
    <x v="7"/>
    <b v="0"/>
    <s v="Thursday"/>
    <s v="Mist"/>
    <n v="0.16"/>
    <n v="0.2273"/>
    <n v="0.59"/>
    <n v="0"/>
    <n v="0"/>
    <n v="95"/>
    <n v="95"/>
  </r>
  <r>
    <n v="123"/>
    <d v="2011-01-06T00:00:00"/>
    <s v="Winter"/>
    <s v="January"/>
    <x v="8"/>
    <b v="0"/>
    <s v="Thursday"/>
    <s v="Clear"/>
    <n v="0.16"/>
    <n v="0.2273"/>
    <n v="0.59"/>
    <n v="0"/>
    <n v="3"/>
    <n v="216"/>
    <n v="219"/>
  </r>
  <r>
    <n v="124"/>
    <d v="2011-01-06T00:00:00"/>
    <s v="Winter"/>
    <s v="January"/>
    <x v="9"/>
    <b v="0"/>
    <s v="Thursday"/>
    <s v="Mist"/>
    <n v="0.18"/>
    <n v="0.2424"/>
    <n v="0.51"/>
    <n v="0"/>
    <n v="6"/>
    <n v="116"/>
    <n v="122"/>
  </r>
  <r>
    <n v="125"/>
    <d v="2011-01-06T00:00:00"/>
    <s v="Winter"/>
    <s v="January"/>
    <x v="10"/>
    <b v="0"/>
    <s v="Thursday"/>
    <s v="Clear"/>
    <n v="0.2"/>
    <n v="0.2576"/>
    <n v="0.47"/>
    <n v="0"/>
    <n v="3"/>
    <n v="42"/>
    <n v="45"/>
  </r>
  <r>
    <n v="126"/>
    <d v="2011-01-06T00:00:00"/>
    <s v="Winter"/>
    <s v="January"/>
    <x v="11"/>
    <b v="0"/>
    <s v="Thursday"/>
    <s v="Clear"/>
    <n v="0.22"/>
    <n v="0.2576"/>
    <n v="0.44"/>
    <n v="8.9599999999999999E-2"/>
    <n v="2"/>
    <n v="57"/>
    <n v="59"/>
  </r>
  <r>
    <n v="127"/>
    <d v="2011-01-06T00:00:00"/>
    <s v="Winter"/>
    <s v="January"/>
    <x v="12"/>
    <b v="0"/>
    <s v="Thursday"/>
    <s v="Clear"/>
    <n v="0.26"/>
    <n v="0.28789999999999999"/>
    <n v="0.35"/>
    <n v="0"/>
    <n v="6"/>
    <n v="78"/>
    <n v="84"/>
  </r>
  <r>
    <n v="128"/>
    <d v="2011-01-06T00:00:00"/>
    <s v="Winter"/>
    <s v="January"/>
    <x v="13"/>
    <b v="0"/>
    <s v="Thursday"/>
    <s v="Clear"/>
    <n v="0.26"/>
    <n v="0.2727"/>
    <n v="0.35"/>
    <n v="0.1045"/>
    <n v="12"/>
    <n v="55"/>
    <n v="67"/>
  </r>
  <r>
    <n v="129"/>
    <d v="2011-01-06T00:00:00"/>
    <s v="Winter"/>
    <s v="January"/>
    <x v="14"/>
    <b v="0"/>
    <s v="Thursday"/>
    <s v="Clear"/>
    <n v="0.28000000000000003"/>
    <n v="0.2727"/>
    <n v="0.36"/>
    <n v="0.16420000000000001"/>
    <n v="11"/>
    <n v="59"/>
    <n v="70"/>
  </r>
  <r>
    <n v="130"/>
    <d v="2011-01-06T00:00:00"/>
    <s v="Winter"/>
    <s v="January"/>
    <x v="15"/>
    <b v="0"/>
    <s v="Thursday"/>
    <s v="Clear"/>
    <n v="0.28000000000000003"/>
    <n v="0.2727"/>
    <n v="0.36"/>
    <n v="0"/>
    <n v="8"/>
    <n v="54"/>
    <n v="62"/>
  </r>
  <r>
    <n v="131"/>
    <d v="2011-01-06T00:00:00"/>
    <s v="Winter"/>
    <s v="January"/>
    <x v="16"/>
    <b v="0"/>
    <s v="Thursday"/>
    <s v="Clear"/>
    <n v="0.26"/>
    <n v="0.2576"/>
    <n v="0.38"/>
    <n v="0.16420000000000001"/>
    <n v="12"/>
    <n v="74"/>
    <n v="86"/>
  </r>
  <r>
    <n v="132"/>
    <d v="2011-01-06T00:00:00"/>
    <s v="Winter"/>
    <s v="January"/>
    <x v="17"/>
    <b v="0"/>
    <s v="Thursday"/>
    <s v="Clear"/>
    <n v="0.22"/>
    <n v="0.2273"/>
    <n v="0.51"/>
    <n v="0.16420000000000001"/>
    <n v="9"/>
    <n v="163"/>
    <n v="172"/>
  </r>
  <r>
    <n v="133"/>
    <d v="2011-01-06T00:00:00"/>
    <s v="Winter"/>
    <s v="January"/>
    <x v="18"/>
    <b v="0"/>
    <s v="Thursday"/>
    <s v="Clear"/>
    <n v="0.22"/>
    <n v="0.2273"/>
    <n v="0.51"/>
    <n v="0.1343"/>
    <n v="5"/>
    <n v="158"/>
    <n v="163"/>
  </r>
  <r>
    <n v="134"/>
    <d v="2011-01-06T00:00:00"/>
    <s v="Winter"/>
    <s v="January"/>
    <x v="19"/>
    <b v="0"/>
    <s v="Thursday"/>
    <s v="Clear"/>
    <n v="0.22"/>
    <n v="0.2576"/>
    <n v="0.55000000000000004"/>
    <n v="8.9599999999999999E-2"/>
    <n v="3"/>
    <n v="109"/>
    <n v="112"/>
  </r>
  <r>
    <n v="135"/>
    <d v="2011-01-06T00:00:00"/>
    <s v="Winter"/>
    <s v="January"/>
    <x v="20"/>
    <b v="0"/>
    <s v="Thursday"/>
    <s v="Clear"/>
    <n v="0.2"/>
    <n v="0.21210000000000001"/>
    <n v="0.51"/>
    <n v="0.16420000000000001"/>
    <n v="3"/>
    <n v="66"/>
    <n v="69"/>
  </r>
  <r>
    <n v="136"/>
    <d v="2011-01-06T00:00:00"/>
    <s v="Winter"/>
    <s v="January"/>
    <x v="21"/>
    <b v="0"/>
    <s v="Thursday"/>
    <s v="Mist"/>
    <n v="0.22"/>
    <n v="0.21210000000000001"/>
    <n v="0.55000000000000004"/>
    <n v="0.22389999999999999"/>
    <n v="0"/>
    <n v="48"/>
    <n v="48"/>
  </r>
  <r>
    <n v="137"/>
    <d v="2011-01-06T00:00:00"/>
    <s v="Winter"/>
    <s v="January"/>
    <x v="22"/>
    <b v="0"/>
    <s v="Thursday"/>
    <s v="Mist"/>
    <n v="0.22"/>
    <n v="0.21210000000000001"/>
    <n v="0.51"/>
    <n v="0.28360000000000002"/>
    <n v="1"/>
    <n v="51"/>
    <n v="52"/>
  </r>
  <r>
    <n v="138"/>
    <d v="2011-01-06T00:00:00"/>
    <s v="Winter"/>
    <s v="January"/>
    <x v="23"/>
    <b v="0"/>
    <s v="Thursday"/>
    <s v="Mist"/>
    <n v="0.2"/>
    <n v="0.19700000000000001"/>
    <n v="0.59"/>
    <n v="0.19400000000000001"/>
    <n v="4"/>
    <n v="19"/>
    <n v="23"/>
  </r>
  <r>
    <n v="139"/>
    <d v="2011-01-07T00:00:00"/>
    <s v="Winter"/>
    <s v="January"/>
    <x v="0"/>
    <b v="0"/>
    <s v="Friday"/>
    <s v="Mist"/>
    <n v="0.2"/>
    <n v="0.19700000000000001"/>
    <n v="0.64"/>
    <n v="0.19400000000000001"/>
    <n v="4"/>
    <n v="13"/>
    <n v="17"/>
  </r>
  <r>
    <n v="140"/>
    <d v="2011-01-07T00:00:00"/>
    <s v="Winter"/>
    <s v="January"/>
    <x v="1"/>
    <b v="0"/>
    <s v="Friday"/>
    <s v="Mist"/>
    <n v="0.2"/>
    <n v="0.19700000000000001"/>
    <n v="0.69"/>
    <n v="0.22389999999999999"/>
    <n v="2"/>
    <n v="5"/>
    <n v="7"/>
  </r>
  <r>
    <n v="141"/>
    <d v="2011-01-07T00:00:00"/>
    <s v="Winter"/>
    <s v="January"/>
    <x v="2"/>
    <b v="0"/>
    <s v="Friday"/>
    <s v="Mist"/>
    <n v="0.2"/>
    <n v="0.19700000000000001"/>
    <n v="0.69"/>
    <n v="0.22389999999999999"/>
    <n v="0"/>
    <n v="1"/>
    <n v="1"/>
  </r>
  <r>
    <n v="142"/>
    <d v="2011-01-07T00:00:00"/>
    <s v="Winter"/>
    <s v="January"/>
    <x v="4"/>
    <b v="0"/>
    <s v="Friday"/>
    <s v="Mist"/>
    <n v="0.2"/>
    <n v="0.21210000000000001"/>
    <n v="0.69"/>
    <n v="0.1343"/>
    <n v="0"/>
    <n v="1"/>
    <n v="1"/>
  </r>
  <r>
    <n v="143"/>
    <d v="2011-01-07T00:00:00"/>
    <s v="Winter"/>
    <s v="January"/>
    <x v="5"/>
    <b v="0"/>
    <s v="Friday"/>
    <s v="Light Snow"/>
    <n v="0.22"/>
    <n v="0.2727"/>
    <n v="0.55000000000000004"/>
    <n v="0"/>
    <n v="0"/>
    <n v="5"/>
    <n v="5"/>
  </r>
  <r>
    <n v="144"/>
    <d v="2011-01-07T00:00:00"/>
    <s v="Winter"/>
    <s v="January"/>
    <x v="6"/>
    <b v="0"/>
    <s v="Friday"/>
    <s v="Mist"/>
    <n v="0.2"/>
    <n v="0.2576"/>
    <n v="0.69"/>
    <n v="0"/>
    <n v="8"/>
    <n v="26"/>
    <n v="34"/>
  </r>
  <r>
    <n v="145"/>
    <d v="2011-01-07T00:00:00"/>
    <s v="Winter"/>
    <s v="January"/>
    <x v="7"/>
    <b v="0"/>
    <s v="Friday"/>
    <s v="Clear"/>
    <n v="0.2"/>
    <n v="0.21210000000000001"/>
    <n v="0.69"/>
    <n v="0.1343"/>
    <n v="8"/>
    <n v="76"/>
    <n v="84"/>
  </r>
  <r>
    <n v="146"/>
    <d v="2011-01-07T00:00:00"/>
    <s v="Winter"/>
    <s v="January"/>
    <x v="8"/>
    <b v="0"/>
    <s v="Friday"/>
    <s v="Clear"/>
    <n v="0.2"/>
    <n v="0.19700000000000001"/>
    <n v="0.51"/>
    <n v="0.25369999999999998"/>
    <n v="20"/>
    <n v="190"/>
    <n v="210"/>
  </r>
  <r>
    <n v="147"/>
    <d v="2011-01-07T00:00:00"/>
    <s v="Winter"/>
    <s v="January"/>
    <x v="9"/>
    <b v="0"/>
    <s v="Friday"/>
    <s v="Clear"/>
    <n v="0.2"/>
    <n v="0.18179999999999999"/>
    <n v="0.47"/>
    <n v="0.29849999999999999"/>
    <n v="9"/>
    <n v="125"/>
    <n v="134"/>
  </r>
  <r>
    <n v="148"/>
    <d v="2011-01-07T00:00:00"/>
    <s v="Winter"/>
    <s v="January"/>
    <x v="10"/>
    <b v="0"/>
    <s v="Friday"/>
    <s v="Clear"/>
    <n v="0.22"/>
    <n v="0.19700000000000001"/>
    <n v="0.37"/>
    <n v="0.32840000000000003"/>
    <n v="16"/>
    <n v="47"/>
    <n v="63"/>
  </r>
  <r>
    <n v="149"/>
    <d v="2011-01-07T00:00:00"/>
    <s v="Winter"/>
    <s v="January"/>
    <x v="11"/>
    <b v="0"/>
    <s v="Friday"/>
    <s v="Mist"/>
    <n v="0.2"/>
    <n v="0.19700000000000001"/>
    <n v="0.4"/>
    <n v="0.22389999999999999"/>
    <n v="19"/>
    <n v="48"/>
    <n v="67"/>
  </r>
  <r>
    <n v="150"/>
    <d v="2011-01-07T00:00:00"/>
    <s v="Winter"/>
    <s v="January"/>
    <x v="12"/>
    <b v="0"/>
    <s v="Friday"/>
    <s v="Mist"/>
    <n v="0.2"/>
    <n v="0.19700000000000001"/>
    <n v="0.37"/>
    <n v="0.25369999999999998"/>
    <n v="9"/>
    <n v="50"/>
    <n v="59"/>
  </r>
  <r>
    <n v="151"/>
    <d v="2011-01-07T00:00:00"/>
    <s v="Winter"/>
    <s v="January"/>
    <x v="13"/>
    <b v="0"/>
    <s v="Friday"/>
    <s v="Mist"/>
    <n v="0.2"/>
    <n v="0.18179999999999999"/>
    <n v="0.37"/>
    <n v="0.28360000000000002"/>
    <n v="9"/>
    <n v="64"/>
    <n v="73"/>
  </r>
  <r>
    <n v="152"/>
    <d v="2011-01-07T00:00:00"/>
    <s v="Winter"/>
    <s v="January"/>
    <x v="14"/>
    <b v="0"/>
    <s v="Friday"/>
    <s v="Mist"/>
    <n v="0.2"/>
    <n v="0.19700000000000001"/>
    <n v="0.4"/>
    <n v="0.25369999999999998"/>
    <n v="7"/>
    <n v="43"/>
    <n v="50"/>
  </r>
  <r>
    <n v="153"/>
    <d v="2011-01-07T00:00:00"/>
    <s v="Winter"/>
    <s v="January"/>
    <x v="15"/>
    <b v="0"/>
    <s v="Friday"/>
    <s v="Mist"/>
    <n v="0.2"/>
    <n v="0.21210000000000001"/>
    <n v="0.37"/>
    <n v="0.16420000000000001"/>
    <n v="9"/>
    <n v="63"/>
    <n v="72"/>
  </r>
  <r>
    <n v="154"/>
    <d v="2011-01-07T00:00:00"/>
    <s v="Winter"/>
    <s v="January"/>
    <x v="16"/>
    <b v="0"/>
    <s v="Friday"/>
    <s v="Mist"/>
    <n v="0.2"/>
    <n v="0.21210000000000001"/>
    <n v="0.37"/>
    <n v="0.16420000000000001"/>
    <n v="5"/>
    <n v="82"/>
    <n v="87"/>
  </r>
  <r>
    <n v="155"/>
    <d v="2011-01-07T00:00:00"/>
    <s v="Winter"/>
    <s v="January"/>
    <x v="17"/>
    <b v="0"/>
    <s v="Friday"/>
    <s v="Mist"/>
    <n v="0.2"/>
    <n v="0.2576"/>
    <n v="0.37"/>
    <n v="0"/>
    <n v="9"/>
    <n v="178"/>
    <n v="187"/>
  </r>
  <r>
    <n v="156"/>
    <d v="2011-01-07T00:00:00"/>
    <s v="Winter"/>
    <s v="January"/>
    <x v="18"/>
    <b v="0"/>
    <s v="Friday"/>
    <s v="Clear"/>
    <n v="0.2"/>
    <n v="0.2273"/>
    <n v="0.4"/>
    <n v="8.9599999999999999E-2"/>
    <n v="7"/>
    <n v="116"/>
    <n v="123"/>
  </r>
  <r>
    <n v="157"/>
    <d v="2011-01-07T00:00:00"/>
    <s v="Winter"/>
    <s v="January"/>
    <x v="19"/>
    <b v="0"/>
    <s v="Friday"/>
    <s v="Clear"/>
    <n v="0.16"/>
    <n v="0.19700000000000001"/>
    <n v="0.55000000000000004"/>
    <n v="8.9599999999999999E-2"/>
    <n v="3"/>
    <n v="92"/>
    <n v="95"/>
  </r>
  <r>
    <n v="158"/>
    <d v="2011-01-07T00:00:00"/>
    <s v="Winter"/>
    <s v="January"/>
    <x v="20"/>
    <b v="0"/>
    <s v="Friday"/>
    <s v="Clear"/>
    <n v="0.18"/>
    <n v="0.21210000000000001"/>
    <n v="0.47"/>
    <n v="0.1045"/>
    <n v="1"/>
    <n v="50"/>
    <n v="51"/>
  </r>
  <r>
    <n v="159"/>
    <d v="2011-01-07T00:00:00"/>
    <s v="Winter"/>
    <s v="January"/>
    <x v="21"/>
    <b v="0"/>
    <s v="Friday"/>
    <s v="Clear"/>
    <n v="0.18"/>
    <n v="0.19700000000000001"/>
    <n v="0.47"/>
    <n v="0.1343"/>
    <n v="0"/>
    <n v="39"/>
    <n v="39"/>
  </r>
  <r>
    <n v="160"/>
    <d v="2011-01-07T00:00:00"/>
    <s v="Winter"/>
    <s v="January"/>
    <x v="22"/>
    <b v="0"/>
    <s v="Friday"/>
    <s v="Mist"/>
    <n v="0.18"/>
    <n v="0.19700000000000001"/>
    <n v="0.43"/>
    <n v="0.16420000000000001"/>
    <n v="2"/>
    <n v="34"/>
    <n v="36"/>
  </r>
  <r>
    <n v="161"/>
    <d v="2011-01-07T00:00:00"/>
    <s v="Winter"/>
    <s v="January"/>
    <x v="23"/>
    <b v="0"/>
    <s v="Friday"/>
    <s v="Mist"/>
    <n v="0.18"/>
    <n v="0.19700000000000001"/>
    <n v="0.51"/>
    <n v="0.16420000000000001"/>
    <n v="1"/>
    <n v="14"/>
    <n v="15"/>
  </r>
  <r>
    <n v="162"/>
    <d v="2011-01-08T00:00:00"/>
    <s v="Winter"/>
    <s v="January"/>
    <x v="0"/>
    <b v="0"/>
    <s v="Saturday"/>
    <s v="Mist"/>
    <n v="0.18"/>
    <n v="0.19700000000000001"/>
    <n v="0.51"/>
    <n v="0.16420000000000001"/>
    <n v="1"/>
    <n v="24"/>
    <n v="25"/>
  </r>
  <r>
    <n v="163"/>
    <d v="2011-01-08T00:00:00"/>
    <s v="Winter"/>
    <s v="January"/>
    <x v="1"/>
    <b v="0"/>
    <s v="Saturday"/>
    <s v="Mist"/>
    <n v="0.18"/>
    <n v="0.21210000000000001"/>
    <n v="0.55000000000000004"/>
    <n v="8.9599999999999999E-2"/>
    <n v="1"/>
    <n v="15"/>
    <n v="16"/>
  </r>
  <r>
    <n v="164"/>
    <d v="2011-01-08T00:00:00"/>
    <s v="Winter"/>
    <s v="January"/>
    <x v="2"/>
    <b v="0"/>
    <s v="Saturday"/>
    <s v="Mist"/>
    <n v="0.18"/>
    <n v="0.2424"/>
    <n v="0.55000000000000004"/>
    <n v="0"/>
    <n v="3"/>
    <n v="13"/>
    <n v="16"/>
  </r>
  <r>
    <n v="165"/>
    <d v="2011-01-08T00:00:00"/>
    <s v="Winter"/>
    <s v="January"/>
    <x v="3"/>
    <b v="0"/>
    <s v="Saturday"/>
    <s v="Light Snow"/>
    <n v="0.18"/>
    <n v="0.19700000000000001"/>
    <n v="0.55000000000000004"/>
    <n v="0.16420000000000001"/>
    <n v="0"/>
    <n v="7"/>
    <n v="7"/>
  </r>
  <r>
    <n v="166"/>
    <d v="2011-01-08T00:00:00"/>
    <s v="Winter"/>
    <s v="January"/>
    <x v="4"/>
    <b v="0"/>
    <s v="Saturday"/>
    <s v="Light Snow"/>
    <n v="0.18"/>
    <n v="0.19700000000000001"/>
    <n v="0.55000000000000004"/>
    <n v="0.16420000000000001"/>
    <n v="0"/>
    <n v="1"/>
    <n v="1"/>
  </r>
  <r>
    <n v="167"/>
    <d v="2011-01-08T00:00:00"/>
    <s v="Winter"/>
    <s v="January"/>
    <x v="5"/>
    <b v="0"/>
    <s v="Saturday"/>
    <s v="Mist"/>
    <n v="0.16"/>
    <n v="0.16669999999999999"/>
    <n v="0.74"/>
    <n v="0.16420000000000001"/>
    <n v="0"/>
    <n v="5"/>
    <n v="5"/>
  </r>
  <r>
    <n v="168"/>
    <d v="2011-01-08T00:00:00"/>
    <s v="Winter"/>
    <s v="January"/>
    <x v="6"/>
    <b v="0"/>
    <s v="Saturday"/>
    <s v="Mist"/>
    <n v="0.16"/>
    <n v="0.16669999999999999"/>
    <n v="0.74"/>
    <n v="0.16420000000000001"/>
    <n v="0"/>
    <n v="2"/>
    <n v="2"/>
  </r>
  <r>
    <n v="169"/>
    <d v="2011-01-08T00:00:00"/>
    <s v="Winter"/>
    <s v="January"/>
    <x v="7"/>
    <b v="0"/>
    <s v="Saturday"/>
    <s v="Mist"/>
    <n v="0.16"/>
    <n v="0.18179999999999999"/>
    <n v="0.74"/>
    <n v="0.1045"/>
    <n v="1"/>
    <n v="8"/>
    <n v="9"/>
  </r>
  <r>
    <n v="170"/>
    <d v="2011-01-08T00:00:00"/>
    <s v="Winter"/>
    <s v="January"/>
    <x v="8"/>
    <b v="0"/>
    <s v="Saturday"/>
    <s v="Light Snow"/>
    <n v="0.16"/>
    <n v="0.18179999999999999"/>
    <n v="0.93"/>
    <n v="0.1045"/>
    <n v="0"/>
    <n v="15"/>
    <n v="15"/>
  </r>
  <r>
    <n v="171"/>
    <d v="2011-01-08T00:00:00"/>
    <s v="Winter"/>
    <s v="January"/>
    <x v="9"/>
    <b v="0"/>
    <s v="Saturday"/>
    <s v="Light Snow"/>
    <n v="0.16"/>
    <n v="0.18179999999999999"/>
    <n v="0.93"/>
    <n v="0.1045"/>
    <n v="0"/>
    <n v="20"/>
    <n v="20"/>
  </r>
  <r>
    <n v="172"/>
    <d v="2011-01-08T00:00:00"/>
    <s v="Winter"/>
    <s v="January"/>
    <x v="10"/>
    <b v="0"/>
    <s v="Saturday"/>
    <s v="Mist"/>
    <n v="0.18"/>
    <n v="0.19700000000000001"/>
    <n v="0.8"/>
    <n v="0.16420000000000001"/>
    <n v="5"/>
    <n v="56"/>
    <n v="61"/>
  </r>
  <r>
    <n v="173"/>
    <d v="2011-01-08T00:00:00"/>
    <s v="Winter"/>
    <s v="January"/>
    <x v="11"/>
    <b v="0"/>
    <s v="Saturday"/>
    <s v="Mist"/>
    <n v="0.2"/>
    <n v="0.18179999999999999"/>
    <n v="0.69"/>
    <n v="0.3881"/>
    <n v="2"/>
    <n v="60"/>
    <n v="62"/>
  </r>
  <r>
    <n v="174"/>
    <d v="2011-01-08T00:00:00"/>
    <s v="Winter"/>
    <s v="January"/>
    <x v="12"/>
    <b v="0"/>
    <s v="Saturday"/>
    <s v="Mist"/>
    <n v="0.2"/>
    <n v="0.18179999999999999"/>
    <n v="0.59"/>
    <n v="0.35820000000000002"/>
    <n v="8"/>
    <n v="90"/>
    <n v="98"/>
  </r>
  <r>
    <n v="175"/>
    <d v="2011-01-08T00:00:00"/>
    <s v="Winter"/>
    <s v="January"/>
    <x v="13"/>
    <b v="0"/>
    <s v="Saturday"/>
    <s v="Clear"/>
    <n v="0.2"/>
    <n v="0.18179999999999999"/>
    <n v="0.44"/>
    <n v="0.32840000000000003"/>
    <n v="7"/>
    <n v="95"/>
    <n v="102"/>
  </r>
  <r>
    <n v="176"/>
    <d v="2011-01-08T00:00:00"/>
    <s v="Winter"/>
    <s v="January"/>
    <x v="14"/>
    <b v="0"/>
    <s v="Saturday"/>
    <s v="Clear"/>
    <n v="0.2"/>
    <n v="0.16669999999999999"/>
    <n v="0.32"/>
    <n v="0.49249999999999999"/>
    <n v="12"/>
    <n v="83"/>
    <n v="95"/>
  </r>
  <r>
    <n v="177"/>
    <d v="2011-01-08T00:00:00"/>
    <s v="Winter"/>
    <s v="January"/>
    <x v="15"/>
    <b v="0"/>
    <s v="Saturday"/>
    <s v="Clear"/>
    <n v="0.2"/>
    <n v="0.16669999999999999"/>
    <n v="0.32"/>
    <n v="0.44779999999999998"/>
    <n v="5"/>
    <n v="69"/>
    <n v="74"/>
  </r>
  <r>
    <n v="178"/>
    <d v="2011-01-08T00:00:00"/>
    <s v="Winter"/>
    <s v="January"/>
    <x v="16"/>
    <b v="0"/>
    <s v="Saturday"/>
    <s v="Clear"/>
    <n v="0.18"/>
    <n v="0.13639999999999999"/>
    <n v="0.28999999999999998"/>
    <n v="0.44779999999999998"/>
    <n v="8"/>
    <n v="68"/>
    <n v="76"/>
  </r>
  <r>
    <n v="179"/>
    <d v="2011-01-08T00:00:00"/>
    <s v="Winter"/>
    <s v="January"/>
    <x v="17"/>
    <b v="0"/>
    <s v="Saturday"/>
    <s v="Clear"/>
    <n v="0.16"/>
    <n v="0.1212"/>
    <n v="0.37"/>
    <n v="0.55220000000000002"/>
    <n v="5"/>
    <n v="64"/>
    <n v="69"/>
  </r>
  <r>
    <n v="180"/>
    <d v="2011-01-08T00:00:00"/>
    <s v="Winter"/>
    <s v="January"/>
    <x v="18"/>
    <b v="0"/>
    <s v="Saturday"/>
    <s v="Clear"/>
    <n v="0.14000000000000001"/>
    <n v="0.1212"/>
    <n v="0.39"/>
    <n v="0.29849999999999999"/>
    <n v="3"/>
    <n v="52"/>
    <n v="55"/>
  </r>
  <r>
    <n v="181"/>
    <d v="2011-01-08T00:00:00"/>
    <s v="Winter"/>
    <s v="January"/>
    <x v="19"/>
    <b v="0"/>
    <s v="Saturday"/>
    <s v="Clear"/>
    <n v="0.14000000000000001"/>
    <n v="0.1212"/>
    <n v="0.36"/>
    <n v="0.25369999999999998"/>
    <n v="4"/>
    <n v="26"/>
    <n v="30"/>
  </r>
  <r>
    <n v="182"/>
    <d v="2011-01-08T00:00:00"/>
    <s v="Winter"/>
    <s v="January"/>
    <x v="20"/>
    <b v="0"/>
    <s v="Saturday"/>
    <s v="Clear"/>
    <n v="0.12"/>
    <n v="0.1212"/>
    <n v="0.36"/>
    <n v="0.25369999999999998"/>
    <n v="0"/>
    <n v="28"/>
    <n v="28"/>
  </r>
  <r>
    <n v="183"/>
    <d v="2011-01-08T00:00:00"/>
    <s v="Winter"/>
    <s v="January"/>
    <x v="21"/>
    <b v="0"/>
    <s v="Saturday"/>
    <s v="Clear"/>
    <n v="0.12"/>
    <n v="0.1061"/>
    <n v="0.39"/>
    <n v="0.35820000000000002"/>
    <n v="2"/>
    <n v="35"/>
    <n v="37"/>
  </r>
  <r>
    <n v="184"/>
    <d v="2011-01-08T00:00:00"/>
    <s v="Winter"/>
    <s v="January"/>
    <x v="22"/>
    <b v="0"/>
    <s v="Saturday"/>
    <s v="Clear"/>
    <n v="0.12"/>
    <n v="0.1061"/>
    <n v="0.36"/>
    <n v="0.3881"/>
    <n v="1"/>
    <n v="33"/>
    <n v="34"/>
  </r>
  <r>
    <n v="185"/>
    <d v="2011-01-08T00:00:00"/>
    <s v="Winter"/>
    <s v="January"/>
    <x v="23"/>
    <b v="0"/>
    <s v="Saturday"/>
    <s v="Clear"/>
    <n v="0.1"/>
    <n v="6.0600000000000001E-2"/>
    <n v="0.39"/>
    <n v="0.44779999999999998"/>
    <n v="0"/>
    <n v="22"/>
    <n v="22"/>
  </r>
  <r>
    <n v="186"/>
    <d v="2011-01-09T00:00:00"/>
    <s v="Winter"/>
    <s v="January"/>
    <x v="0"/>
    <b v="0"/>
    <s v="Sunday"/>
    <s v="Clear"/>
    <n v="0.1"/>
    <n v="7.5800000000000006E-2"/>
    <n v="0.42"/>
    <n v="0.3881"/>
    <n v="1"/>
    <n v="24"/>
    <n v="25"/>
  </r>
  <r>
    <n v="187"/>
    <d v="2011-01-09T00:00:00"/>
    <s v="Winter"/>
    <s v="January"/>
    <x v="1"/>
    <b v="0"/>
    <s v="Sunday"/>
    <s v="Clear"/>
    <n v="0.1"/>
    <n v="6.0600000000000001E-2"/>
    <n v="0.42"/>
    <n v="0.4627"/>
    <n v="0"/>
    <n v="12"/>
    <n v="12"/>
  </r>
  <r>
    <n v="188"/>
    <d v="2011-01-09T00:00:00"/>
    <s v="Winter"/>
    <s v="January"/>
    <x v="2"/>
    <b v="0"/>
    <s v="Sunday"/>
    <s v="Clear"/>
    <n v="0.1"/>
    <n v="6.0600000000000001E-2"/>
    <n v="0.46"/>
    <n v="0.4627"/>
    <n v="0"/>
    <n v="11"/>
    <n v="11"/>
  </r>
  <r>
    <n v="189"/>
    <d v="2011-01-09T00:00:00"/>
    <s v="Winter"/>
    <s v="January"/>
    <x v="3"/>
    <b v="0"/>
    <s v="Sunday"/>
    <s v="Clear"/>
    <n v="0.1"/>
    <n v="7.5800000000000006E-2"/>
    <n v="0.46"/>
    <n v="0.41789999999999999"/>
    <n v="0"/>
    <n v="4"/>
    <n v="4"/>
  </r>
  <r>
    <n v="190"/>
    <d v="2011-01-09T00:00:00"/>
    <s v="Winter"/>
    <s v="January"/>
    <x v="4"/>
    <b v="0"/>
    <s v="Sunday"/>
    <s v="Clear"/>
    <n v="0.08"/>
    <n v="9.0899999999999995E-2"/>
    <n v="0.53"/>
    <n v="0.19400000000000001"/>
    <n v="0"/>
    <n v="1"/>
    <n v="1"/>
  </r>
  <r>
    <n v="191"/>
    <d v="2011-01-09T00:00:00"/>
    <s v="Winter"/>
    <s v="January"/>
    <x v="5"/>
    <b v="0"/>
    <s v="Sunday"/>
    <s v="Clear"/>
    <n v="0.08"/>
    <n v="9.0899999999999995E-2"/>
    <n v="0.53"/>
    <n v="0.19400000000000001"/>
    <n v="0"/>
    <n v="1"/>
    <n v="1"/>
  </r>
  <r>
    <n v="192"/>
    <d v="2011-01-09T00:00:00"/>
    <s v="Winter"/>
    <s v="January"/>
    <x v="6"/>
    <b v="0"/>
    <s v="Sunday"/>
    <s v="Clear"/>
    <n v="0.1"/>
    <n v="9.0899999999999995E-2"/>
    <n v="0.49"/>
    <n v="0.28360000000000002"/>
    <n v="0"/>
    <n v="1"/>
    <n v="1"/>
  </r>
  <r>
    <n v="193"/>
    <d v="2011-01-09T00:00:00"/>
    <s v="Winter"/>
    <s v="January"/>
    <x v="7"/>
    <b v="0"/>
    <s v="Sunday"/>
    <s v="Clear"/>
    <n v="0.08"/>
    <n v="9.0899999999999995E-2"/>
    <n v="0.53"/>
    <n v="0.19400000000000001"/>
    <n v="1"/>
    <n v="5"/>
    <n v="6"/>
  </r>
  <r>
    <n v="194"/>
    <d v="2011-01-09T00:00:00"/>
    <s v="Winter"/>
    <s v="January"/>
    <x v="8"/>
    <b v="0"/>
    <s v="Sunday"/>
    <s v="Clear"/>
    <n v="0.1"/>
    <n v="9.0899999999999995E-2"/>
    <n v="0.49"/>
    <n v="0.28360000000000002"/>
    <n v="0"/>
    <n v="10"/>
    <n v="10"/>
  </r>
  <r>
    <n v="195"/>
    <d v="2011-01-09T00:00:00"/>
    <s v="Winter"/>
    <s v="January"/>
    <x v="9"/>
    <b v="0"/>
    <s v="Sunday"/>
    <s v="Clear"/>
    <n v="0.12"/>
    <n v="7.5800000000000006E-2"/>
    <n v="0.46"/>
    <n v="0.52239999999999998"/>
    <n v="0"/>
    <n v="19"/>
    <n v="19"/>
  </r>
  <r>
    <n v="196"/>
    <d v="2011-01-09T00:00:00"/>
    <s v="Winter"/>
    <s v="January"/>
    <x v="10"/>
    <b v="0"/>
    <s v="Sunday"/>
    <s v="Clear"/>
    <n v="0.14000000000000001"/>
    <n v="0.1061"/>
    <n v="0.43"/>
    <n v="0.3881"/>
    <n v="0"/>
    <n v="49"/>
    <n v="49"/>
  </r>
  <r>
    <n v="197"/>
    <d v="2011-01-09T00:00:00"/>
    <s v="Winter"/>
    <s v="January"/>
    <x v="11"/>
    <b v="0"/>
    <s v="Sunday"/>
    <s v="Clear"/>
    <n v="0.16"/>
    <n v="0.1212"/>
    <n v="0.4"/>
    <n v="0.52239999999999998"/>
    <n v="2"/>
    <n v="47"/>
    <n v="49"/>
  </r>
  <r>
    <n v="198"/>
    <d v="2011-01-09T00:00:00"/>
    <s v="Winter"/>
    <s v="January"/>
    <x v="12"/>
    <b v="0"/>
    <s v="Sunday"/>
    <s v="Clear"/>
    <n v="0.18"/>
    <n v="0.13639999999999999"/>
    <n v="0.37"/>
    <n v="0.44779999999999998"/>
    <n v="4"/>
    <n v="79"/>
    <n v="83"/>
  </r>
  <r>
    <n v="199"/>
    <d v="2011-01-09T00:00:00"/>
    <s v="Winter"/>
    <s v="January"/>
    <x v="13"/>
    <b v="0"/>
    <s v="Sunday"/>
    <s v="Clear"/>
    <n v="0.2"/>
    <n v="0.16669999999999999"/>
    <n v="0.34"/>
    <n v="0.44779999999999998"/>
    <n v="6"/>
    <n v="69"/>
    <n v="75"/>
  </r>
  <r>
    <n v="200"/>
    <d v="2011-01-09T00:00:00"/>
    <s v="Winter"/>
    <s v="January"/>
    <x v="14"/>
    <b v="0"/>
    <s v="Sunday"/>
    <s v="Clear"/>
    <n v="0.22"/>
    <n v="0.18179999999999999"/>
    <n v="0.32"/>
    <n v="0.4627"/>
    <n v="8"/>
    <n v="64"/>
    <n v="72"/>
  </r>
  <r>
    <n v="201"/>
    <d v="2011-01-09T00:00:00"/>
    <s v="Winter"/>
    <s v="January"/>
    <x v="15"/>
    <b v="0"/>
    <s v="Sunday"/>
    <s v="Clear"/>
    <n v="0.22"/>
    <n v="0.19700000000000001"/>
    <n v="0.35"/>
    <n v="0.35820000000000002"/>
    <n v="5"/>
    <n v="77"/>
    <n v="82"/>
  </r>
  <r>
    <n v="202"/>
    <d v="2011-01-09T00:00:00"/>
    <s v="Winter"/>
    <s v="January"/>
    <x v="16"/>
    <b v="0"/>
    <s v="Sunday"/>
    <s v="Clear"/>
    <n v="0.2"/>
    <n v="0.16669999999999999"/>
    <n v="0.34"/>
    <n v="0.44779999999999998"/>
    <n v="13"/>
    <n v="79"/>
    <n v="92"/>
  </r>
  <r>
    <n v="203"/>
    <d v="2011-01-09T00:00:00"/>
    <s v="Winter"/>
    <s v="January"/>
    <x v="17"/>
    <b v="0"/>
    <s v="Sunday"/>
    <s v="Clear"/>
    <n v="0.18"/>
    <n v="0.1515"/>
    <n v="0.37"/>
    <n v="0.3881"/>
    <n v="3"/>
    <n v="59"/>
    <n v="62"/>
  </r>
  <r>
    <n v="204"/>
    <d v="2011-01-09T00:00:00"/>
    <s v="Winter"/>
    <s v="January"/>
    <x v="18"/>
    <b v="0"/>
    <s v="Sunday"/>
    <s v="Clear"/>
    <n v="0.16"/>
    <n v="0.13639999999999999"/>
    <n v="0.4"/>
    <n v="0.32840000000000003"/>
    <n v="4"/>
    <n v="44"/>
    <n v="48"/>
  </r>
  <r>
    <n v="205"/>
    <d v="2011-01-09T00:00:00"/>
    <s v="Winter"/>
    <s v="January"/>
    <x v="19"/>
    <b v="0"/>
    <s v="Sunday"/>
    <s v="Clear"/>
    <n v="0.16"/>
    <n v="0.13639999999999999"/>
    <n v="0.43"/>
    <n v="0.32840000000000003"/>
    <n v="1"/>
    <n v="40"/>
    <n v="41"/>
  </r>
  <r>
    <n v="206"/>
    <d v="2011-01-09T00:00:00"/>
    <s v="Winter"/>
    <s v="January"/>
    <x v="20"/>
    <b v="0"/>
    <s v="Sunday"/>
    <s v="Clear"/>
    <n v="0.14000000000000001"/>
    <n v="0.1212"/>
    <n v="0.46"/>
    <n v="0.25369999999999998"/>
    <n v="0"/>
    <n v="38"/>
    <n v="38"/>
  </r>
  <r>
    <n v="207"/>
    <d v="2011-01-09T00:00:00"/>
    <s v="Winter"/>
    <s v="January"/>
    <x v="21"/>
    <b v="0"/>
    <s v="Sunday"/>
    <s v="Clear"/>
    <n v="0.14000000000000001"/>
    <n v="0.1061"/>
    <n v="0.46"/>
    <n v="0.41789999999999999"/>
    <n v="1"/>
    <n v="19"/>
    <n v="20"/>
  </r>
  <r>
    <n v="208"/>
    <d v="2011-01-09T00:00:00"/>
    <s v="Winter"/>
    <s v="January"/>
    <x v="22"/>
    <b v="0"/>
    <s v="Sunday"/>
    <s v="Clear"/>
    <n v="0.14000000000000001"/>
    <n v="0.1212"/>
    <n v="0.46"/>
    <n v="0.29849999999999999"/>
    <n v="5"/>
    <n v="10"/>
    <n v="15"/>
  </r>
  <r>
    <n v="209"/>
    <d v="2011-01-09T00:00:00"/>
    <s v="Winter"/>
    <s v="January"/>
    <x v="23"/>
    <b v="0"/>
    <s v="Sunday"/>
    <s v="Clear"/>
    <n v="0.12"/>
    <n v="0.13639999999999999"/>
    <n v="0.5"/>
    <n v="0.19400000000000001"/>
    <n v="0"/>
    <n v="6"/>
    <n v="6"/>
  </r>
  <r>
    <n v="210"/>
    <d v="2011-01-10T00:00:00"/>
    <s v="Winter"/>
    <s v="January"/>
    <x v="0"/>
    <b v="0"/>
    <s v="Monday"/>
    <s v="Clear"/>
    <n v="0.12"/>
    <n v="0.1212"/>
    <n v="0.5"/>
    <n v="0.28360000000000002"/>
    <n v="2"/>
    <n v="3"/>
    <n v="5"/>
  </r>
  <r>
    <n v="211"/>
    <d v="2011-01-10T00:00:00"/>
    <s v="Winter"/>
    <s v="January"/>
    <x v="1"/>
    <b v="0"/>
    <s v="Monday"/>
    <s v="Clear"/>
    <n v="0.12"/>
    <n v="0.1212"/>
    <n v="0.5"/>
    <n v="0.28360000000000002"/>
    <n v="1"/>
    <n v="0"/>
    <n v="1"/>
  </r>
  <r>
    <n v="212"/>
    <d v="2011-01-10T00:00:00"/>
    <s v="Winter"/>
    <s v="January"/>
    <x v="2"/>
    <b v="0"/>
    <s v="Monday"/>
    <s v="Clear"/>
    <n v="0.12"/>
    <n v="0.1212"/>
    <n v="0.5"/>
    <n v="0.22389999999999999"/>
    <n v="0"/>
    <n v="3"/>
    <n v="3"/>
  </r>
  <r>
    <n v="213"/>
    <d v="2011-01-10T00:00:00"/>
    <s v="Winter"/>
    <s v="January"/>
    <x v="3"/>
    <b v="0"/>
    <s v="Monday"/>
    <s v="Clear"/>
    <n v="0.12"/>
    <n v="0.1212"/>
    <n v="0.5"/>
    <n v="0.22389999999999999"/>
    <n v="0"/>
    <n v="1"/>
    <n v="1"/>
  </r>
  <r>
    <n v="214"/>
    <d v="2011-01-10T00:00:00"/>
    <s v="Winter"/>
    <s v="January"/>
    <x v="4"/>
    <b v="0"/>
    <s v="Monday"/>
    <s v="Clear"/>
    <n v="0.1"/>
    <n v="0.1212"/>
    <n v="0.54"/>
    <n v="0.1343"/>
    <n v="1"/>
    <n v="2"/>
    <n v="3"/>
  </r>
  <r>
    <n v="215"/>
    <d v="2011-01-10T00:00:00"/>
    <s v="Winter"/>
    <s v="January"/>
    <x v="5"/>
    <b v="0"/>
    <s v="Monday"/>
    <s v="Clear"/>
    <n v="0.1"/>
    <n v="0.1061"/>
    <n v="0.54"/>
    <n v="0.25369999999999998"/>
    <n v="0"/>
    <n v="3"/>
    <n v="3"/>
  </r>
  <r>
    <n v="216"/>
    <d v="2011-01-10T00:00:00"/>
    <s v="Winter"/>
    <s v="January"/>
    <x v="6"/>
    <b v="0"/>
    <s v="Monday"/>
    <s v="Clear"/>
    <n v="0.12"/>
    <n v="0.1212"/>
    <n v="0.5"/>
    <n v="0.28360000000000002"/>
    <n v="0"/>
    <n v="31"/>
    <n v="31"/>
  </r>
  <r>
    <n v="217"/>
    <d v="2011-01-10T00:00:00"/>
    <s v="Winter"/>
    <s v="January"/>
    <x v="7"/>
    <b v="0"/>
    <s v="Monday"/>
    <s v="Clear"/>
    <n v="0.12"/>
    <n v="0.1212"/>
    <n v="0.5"/>
    <n v="0.22389999999999999"/>
    <n v="2"/>
    <n v="75"/>
    <n v="77"/>
  </r>
  <r>
    <n v="218"/>
    <d v="2011-01-10T00:00:00"/>
    <s v="Winter"/>
    <s v="January"/>
    <x v="8"/>
    <b v="0"/>
    <s v="Monday"/>
    <s v="Mist"/>
    <n v="0.12"/>
    <n v="0.1212"/>
    <n v="0.5"/>
    <n v="0.28360000000000002"/>
    <n v="4"/>
    <n v="184"/>
    <n v="188"/>
  </r>
  <r>
    <n v="219"/>
    <d v="2011-01-10T00:00:00"/>
    <s v="Winter"/>
    <s v="January"/>
    <x v="9"/>
    <b v="0"/>
    <s v="Monday"/>
    <s v="Mist"/>
    <n v="0.14000000000000001"/>
    <n v="0.1212"/>
    <n v="0.5"/>
    <n v="0.25369999999999998"/>
    <n v="2"/>
    <n v="92"/>
    <n v="94"/>
  </r>
  <r>
    <n v="220"/>
    <d v="2011-01-10T00:00:00"/>
    <s v="Winter"/>
    <s v="January"/>
    <x v="10"/>
    <b v="0"/>
    <s v="Monday"/>
    <s v="Mist"/>
    <n v="0.14000000000000001"/>
    <n v="0.1212"/>
    <n v="0.5"/>
    <n v="0.29849999999999999"/>
    <n v="0"/>
    <n v="31"/>
    <n v="31"/>
  </r>
  <r>
    <n v="221"/>
    <d v="2011-01-10T00:00:00"/>
    <s v="Winter"/>
    <s v="January"/>
    <x v="11"/>
    <b v="0"/>
    <s v="Monday"/>
    <s v="Mist"/>
    <n v="0.16"/>
    <n v="0.13639999999999999"/>
    <n v="0.47"/>
    <n v="0.28360000000000002"/>
    <n v="2"/>
    <n v="28"/>
    <n v="30"/>
  </r>
  <r>
    <n v="222"/>
    <d v="2011-01-10T00:00:00"/>
    <s v="Winter"/>
    <s v="January"/>
    <x v="12"/>
    <b v="0"/>
    <s v="Monday"/>
    <s v="Mist"/>
    <n v="0.2"/>
    <n v="0.18179999999999999"/>
    <n v="0.4"/>
    <n v="0.28360000000000002"/>
    <n v="5"/>
    <n v="47"/>
    <n v="52"/>
  </r>
  <r>
    <n v="223"/>
    <d v="2011-01-10T00:00:00"/>
    <s v="Winter"/>
    <s v="January"/>
    <x v="13"/>
    <b v="0"/>
    <s v="Monday"/>
    <s v="Mist"/>
    <n v="0.2"/>
    <n v="0.18179999999999999"/>
    <n v="0.4"/>
    <n v="0.28360000000000002"/>
    <n v="4"/>
    <n v="50"/>
    <n v="54"/>
  </r>
  <r>
    <n v="224"/>
    <d v="2011-01-10T00:00:00"/>
    <s v="Winter"/>
    <s v="January"/>
    <x v="14"/>
    <b v="0"/>
    <s v="Monday"/>
    <s v="Mist"/>
    <n v="0.2"/>
    <n v="0.19700000000000001"/>
    <n v="0.4"/>
    <n v="0.22389999999999999"/>
    <n v="0"/>
    <n v="47"/>
    <n v="47"/>
  </r>
  <r>
    <n v="225"/>
    <d v="2011-01-10T00:00:00"/>
    <s v="Winter"/>
    <s v="January"/>
    <x v="15"/>
    <b v="0"/>
    <s v="Monday"/>
    <s v="Mist"/>
    <n v="0.2"/>
    <n v="0.19700000000000001"/>
    <n v="0.4"/>
    <n v="0.22389999999999999"/>
    <n v="2"/>
    <n v="43"/>
    <n v="45"/>
  </r>
  <r>
    <n v="226"/>
    <d v="2011-01-10T00:00:00"/>
    <s v="Winter"/>
    <s v="January"/>
    <x v="16"/>
    <b v="0"/>
    <s v="Monday"/>
    <s v="Clear"/>
    <n v="0.2"/>
    <n v="0.21210000000000001"/>
    <n v="0.4"/>
    <n v="0.1343"/>
    <n v="4"/>
    <n v="70"/>
    <n v="74"/>
  </r>
  <r>
    <n v="227"/>
    <d v="2011-01-10T00:00:00"/>
    <s v="Winter"/>
    <s v="January"/>
    <x v="17"/>
    <b v="0"/>
    <s v="Monday"/>
    <s v="Clear"/>
    <n v="0.2"/>
    <n v="0.2273"/>
    <n v="0.4"/>
    <n v="0.1045"/>
    <n v="4"/>
    <n v="174"/>
    <n v="178"/>
  </r>
  <r>
    <n v="228"/>
    <d v="2011-01-10T00:00:00"/>
    <s v="Winter"/>
    <s v="January"/>
    <x v="18"/>
    <b v="0"/>
    <s v="Monday"/>
    <s v="Clear"/>
    <n v="0.2"/>
    <n v="0.19700000000000001"/>
    <n v="0.4"/>
    <n v="0.22389999999999999"/>
    <n v="1"/>
    <n v="154"/>
    <n v="155"/>
  </r>
  <r>
    <n v="229"/>
    <d v="2011-01-10T00:00:00"/>
    <s v="Winter"/>
    <s v="January"/>
    <x v="19"/>
    <b v="0"/>
    <s v="Monday"/>
    <s v="Clear"/>
    <n v="0.16"/>
    <n v="0.16669999999999999"/>
    <n v="0.47"/>
    <n v="0.16420000000000001"/>
    <n v="3"/>
    <n v="92"/>
    <n v="95"/>
  </r>
  <r>
    <n v="230"/>
    <d v="2011-01-10T00:00:00"/>
    <s v="Winter"/>
    <s v="January"/>
    <x v="20"/>
    <b v="0"/>
    <s v="Monday"/>
    <s v="Clear"/>
    <n v="0.16"/>
    <n v="0.16669999999999999"/>
    <n v="0.5"/>
    <n v="0.16420000000000001"/>
    <n v="1"/>
    <n v="73"/>
    <n v="74"/>
  </r>
  <r>
    <n v="231"/>
    <d v="2011-01-10T00:00:00"/>
    <s v="Winter"/>
    <s v="January"/>
    <x v="21"/>
    <b v="0"/>
    <s v="Monday"/>
    <s v="Clear"/>
    <n v="0.14000000000000001"/>
    <n v="0.13639999999999999"/>
    <n v="0.59"/>
    <n v="0.19400000000000001"/>
    <n v="1"/>
    <n v="37"/>
    <n v="38"/>
  </r>
  <r>
    <n v="232"/>
    <d v="2011-01-10T00:00:00"/>
    <s v="Winter"/>
    <s v="January"/>
    <x v="22"/>
    <b v="0"/>
    <s v="Monday"/>
    <s v="Clear"/>
    <n v="0.14000000000000001"/>
    <n v="0.1515"/>
    <n v="0.59"/>
    <n v="0.16420000000000001"/>
    <n v="2"/>
    <n v="22"/>
    <n v="24"/>
  </r>
  <r>
    <n v="233"/>
    <d v="2011-01-10T00:00:00"/>
    <s v="Winter"/>
    <s v="January"/>
    <x v="23"/>
    <b v="0"/>
    <s v="Monday"/>
    <s v="Clear"/>
    <n v="0.14000000000000001"/>
    <n v="0.1515"/>
    <n v="0.59"/>
    <n v="0.16420000000000001"/>
    <n v="0"/>
    <n v="18"/>
    <n v="18"/>
  </r>
  <r>
    <n v="234"/>
    <d v="2011-01-11T00:00:00"/>
    <s v="Winter"/>
    <s v="January"/>
    <x v="0"/>
    <b v="0"/>
    <s v="Tuesday"/>
    <s v="Clear"/>
    <n v="0.14000000000000001"/>
    <n v="0.16669999999999999"/>
    <n v="0.59"/>
    <n v="0.1045"/>
    <n v="2"/>
    <n v="10"/>
    <n v="12"/>
  </r>
  <r>
    <n v="235"/>
    <d v="2011-01-11T00:00:00"/>
    <s v="Winter"/>
    <s v="January"/>
    <x v="1"/>
    <b v="0"/>
    <s v="Tuesday"/>
    <s v="Clear"/>
    <n v="0.14000000000000001"/>
    <n v="0.1515"/>
    <n v="0.59"/>
    <n v="0.16420000000000001"/>
    <n v="0"/>
    <n v="3"/>
    <n v="3"/>
  </r>
  <r>
    <n v="236"/>
    <d v="2011-01-11T00:00:00"/>
    <s v="Winter"/>
    <s v="January"/>
    <x v="2"/>
    <b v="0"/>
    <s v="Tuesday"/>
    <s v="Mist"/>
    <n v="0.16"/>
    <n v="0.1515"/>
    <n v="0.55000000000000004"/>
    <n v="0.19400000000000001"/>
    <n v="0"/>
    <n v="3"/>
    <n v="3"/>
  </r>
  <r>
    <n v="237"/>
    <d v="2011-01-11T00:00:00"/>
    <s v="Winter"/>
    <s v="January"/>
    <x v="5"/>
    <b v="0"/>
    <s v="Tuesday"/>
    <s v="Mist"/>
    <n v="0.16"/>
    <n v="0.18179999999999999"/>
    <n v="0.55000000000000004"/>
    <n v="0.1343"/>
    <n v="0"/>
    <n v="6"/>
    <n v="6"/>
  </r>
  <r>
    <n v="238"/>
    <d v="2011-01-11T00:00:00"/>
    <s v="Winter"/>
    <s v="January"/>
    <x v="6"/>
    <b v="0"/>
    <s v="Tuesday"/>
    <s v="Mist"/>
    <n v="0.16"/>
    <n v="0.18179999999999999"/>
    <n v="0.55000000000000004"/>
    <n v="0.1343"/>
    <n v="0"/>
    <n v="27"/>
    <n v="27"/>
  </r>
  <r>
    <n v="239"/>
    <d v="2011-01-11T00:00:00"/>
    <s v="Winter"/>
    <s v="January"/>
    <x v="7"/>
    <b v="0"/>
    <s v="Tuesday"/>
    <s v="Mist"/>
    <n v="0.16"/>
    <n v="0.2273"/>
    <n v="0.55000000000000004"/>
    <n v="0"/>
    <n v="2"/>
    <n v="97"/>
    <n v="99"/>
  </r>
  <r>
    <n v="240"/>
    <d v="2011-01-11T00:00:00"/>
    <s v="Winter"/>
    <s v="January"/>
    <x v="8"/>
    <b v="0"/>
    <s v="Tuesday"/>
    <s v="Mist"/>
    <n v="0.18"/>
    <n v="0.21210000000000001"/>
    <n v="0.51"/>
    <n v="8.9599999999999999E-2"/>
    <n v="3"/>
    <n v="214"/>
    <n v="217"/>
  </r>
  <r>
    <n v="241"/>
    <d v="2011-01-11T00:00:00"/>
    <s v="Winter"/>
    <s v="January"/>
    <x v="9"/>
    <b v="0"/>
    <s v="Tuesday"/>
    <s v="Mist"/>
    <n v="0.18"/>
    <n v="0.19700000000000001"/>
    <n v="0.51"/>
    <n v="0.16420000000000001"/>
    <n v="3"/>
    <n v="127"/>
    <n v="130"/>
  </r>
  <r>
    <n v="242"/>
    <d v="2011-01-11T00:00:00"/>
    <s v="Winter"/>
    <s v="January"/>
    <x v="10"/>
    <b v="0"/>
    <s v="Tuesday"/>
    <s v="Mist"/>
    <n v="0.2"/>
    <n v="0.21210000000000001"/>
    <n v="0.51"/>
    <n v="0.16420000000000001"/>
    <n v="3"/>
    <n v="51"/>
    <n v="54"/>
  </r>
  <r>
    <n v="243"/>
    <d v="2011-01-11T00:00:00"/>
    <s v="Winter"/>
    <s v="January"/>
    <x v="11"/>
    <b v="0"/>
    <s v="Tuesday"/>
    <s v="Mist"/>
    <n v="0.2"/>
    <n v="0.21210000000000001"/>
    <n v="0.47"/>
    <n v="0.1343"/>
    <n v="4"/>
    <n v="31"/>
    <n v="35"/>
  </r>
  <r>
    <n v="244"/>
    <d v="2011-01-11T00:00:00"/>
    <s v="Winter"/>
    <s v="January"/>
    <x v="12"/>
    <b v="0"/>
    <s v="Tuesday"/>
    <s v="Mist"/>
    <n v="0.2"/>
    <n v="0.2273"/>
    <n v="0.51"/>
    <n v="0.1045"/>
    <n v="2"/>
    <n v="55"/>
    <n v="57"/>
  </r>
  <r>
    <n v="245"/>
    <d v="2011-01-11T00:00:00"/>
    <s v="Winter"/>
    <s v="January"/>
    <x v="13"/>
    <b v="0"/>
    <s v="Tuesday"/>
    <s v="Mist"/>
    <n v="0.2"/>
    <n v="0.2273"/>
    <n v="0.59"/>
    <n v="8.9599999999999999E-2"/>
    <n v="6"/>
    <n v="46"/>
    <n v="52"/>
  </r>
  <r>
    <n v="246"/>
    <d v="2011-01-11T00:00:00"/>
    <s v="Winter"/>
    <s v="January"/>
    <x v="14"/>
    <b v="0"/>
    <s v="Tuesday"/>
    <s v="Mist"/>
    <n v="0.2"/>
    <n v="0.2273"/>
    <n v="0.59"/>
    <n v="8.9599999999999999E-2"/>
    <n v="3"/>
    <n v="60"/>
    <n v="63"/>
  </r>
  <r>
    <n v="247"/>
    <d v="2011-01-11T00:00:00"/>
    <s v="Winter"/>
    <s v="January"/>
    <x v="15"/>
    <b v="0"/>
    <s v="Tuesday"/>
    <s v="Mist"/>
    <n v="0.16"/>
    <n v="0.19700000000000001"/>
    <n v="0.8"/>
    <n v="8.9599999999999999E-2"/>
    <n v="2"/>
    <n v="45"/>
    <n v="47"/>
  </r>
  <r>
    <n v="248"/>
    <d v="2011-01-11T00:00:00"/>
    <s v="Winter"/>
    <s v="January"/>
    <x v="16"/>
    <b v="0"/>
    <s v="Tuesday"/>
    <s v="Mist"/>
    <n v="0.16"/>
    <n v="0.1515"/>
    <n v="0.86"/>
    <n v="0.22389999999999999"/>
    <n v="4"/>
    <n v="72"/>
    <n v="76"/>
  </r>
  <r>
    <n v="249"/>
    <d v="2011-01-11T00:00:00"/>
    <s v="Winter"/>
    <s v="January"/>
    <x v="17"/>
    <b v="0"/>
    <s v="Tuesday"/>
    <s v="Mist"/>
    <n v="0.16"/>
    <n v="0.1515"/>
    <n v="0.86"/>
    <n v="0.22389999999999999"/>
    <n v="6"/>
    <n v="130"/>
    <n v="136"/>
  </r>
  <r>
    <n v="250"/>
    <d v="2011-01-11T00:00:00"/>
    <s v="Winter"/>
    <s v="January"/>
    <x v="18"/>
    <b v="0"/>
    <s v="Tuesday"/>
    <s v="Light Snow"/>
    <n v="0.16"/>
    <n v="0.18179999999999999"/>
    <n v="0.93"/>
    <n v="0.1045"/>
    <n v="1"/>
    <n v="94"/>
    <n v="95"/>
  </r>
  <r>
    <n v="251"/>
    <d v="2011-01-11T00:00:00"/>
    <s v="Winter"/>
    <s v="January"/>
    <x v="19"/>
    <b v="0"/>
    <s v="Tuesday"/>
    <s v="Light Snow"/>
    <n v="0.16"/>
    <n v="0.2273"/>
    <n v="0.93"/>
    <n v="0"/>
    <n v="0"/>
    <n v="51"/>
    <n v="51"/>
  </r>
  <r>
    <n v="252"/>
    <d v="2011-01-11T00:00:00"/>
    <s v="Winter"/>
    <s v="January"/>
    <x v="20"/>
    <b v="0"/>
    <s v="Tuesday"/>
    <s v="Light Snow"/>
    <n v="0.16"/>
    <n v="0.1515"/>
    <n v="0.93"/>
    <n v="0.19400000000000001"/>
    <n v="0"/>
    <n v="32"/>
    <n v="32"/>
  </r>
  <r>
    <n v="253"/>
    <d v="2011-01-11T00:00:00"/>
    <s v="Winter"/>
    <s v="January"/>
    <x v="21"/>
    <b v="0"/>
    <s v="Tuesday"/>
    <s v="Light Snow"/>
    <n v="0.16"/>
    <n v="0.19700000000000001"/>
    <n v="0.86"/>
    <n v="8.9599999999999999E-2"/>
    <n v="0"/>
    <n v="20"/>
    <n v="20"/>
  </r>
  <r>
    <n v="254"/>
    <d v="2011-01-11T00:00:00"/>
    <s v="Winter"/>
    <s v="January"/>
    <x v="22"/>
    <b v="0"/>
    <s v="Tuesday"/>
    <s v="Light Snow"/>
    <n v="0.16"/>
    <n v="0.18179999999999999"/>
    <n v="0.93"/>
    <n v="0.1045"/>
    <n v="1"/>
    <n v="28"/>
    <n v="29"/>
  </r>
  <r>
    <n v="255"/>
    <d v="2011-01-11T00:00:00"/>
    <s v="Winter"/>
    <s v="January"/>
    <x v="23"/>
    <b v="0"/>
    <s v="Tuesday"/>
    <s v="Light Snow"/>
    <n v="0.16"/>
    <n v="0.19700000000000001"/>
    <n v="0.93"/>
    <n v="8.9599999999999999E-2"/>
    <n v="1"/>
    <n v="18"/>
    <n v="19"/>
  </r>
  <r>
    <n v="256"/>
    <d v="2011-01-12T00:00:00"/>
    <s v="Winter"/>
    <s v="January"/>
    <x v="0"/>
    <b v="0"/>
    <s v="Wednesday"/>
    <s v="Mist"/>
    <n v="0.16"/>
    <n v="0.19700000000000001"/>
    <n v="0.86"/>
    <n v="8.9599999999999999E-2"/>
    <n v="0"/>
    <n v="7"/>
    <n v="7"/>
  </r>
  <r>
    <n v="257"/>
    <d v="2011-01-12T00:00:00"/>
    <s v="Winter"/>
    <s v="January"/>
    <x v="1"/>
    <b v="0"/>
    <s v="Wednesday"/>
    <s v="Mist"/>
    <n v="0.16"/>
    <n v="0.18179999999999999"/>
    <n v="0.86"/>
    <n v="0.1045"/>
    <n v="0"/>
    <n v="6"/>
    <n v="6"/>
  </r>
  <r>
    <n v="258"/>
    <d v="2011-01-12T00:00:00"/>
    <s v="Winter"/>
    <s v="January"/>
    <x v="2"/>
    <b v="0"/>
    <s v="Wednesday"/>
    <s v="Clear"/>
    <n v="0.14000000000000001"/>
    <n v="0.1515"/>
    <n v="0.86"/>
    <n v="0.1343"/>
    <n v="0"/>
    <n v="1"/>
    <n v="1"/>
  </r>
  <r>
    <n v="259"/>
    <d v="2011-01-12T00:00:00"/>
    <s v="Winter"/>
    <s v="January"/>
    <x v="5"/>
    <b v="0"/>
    <s v="Wednesday"/>
    <s v="Clear"/>
    <n v="0.14000000000000001"/>
    <n v="0.1515"/>
    <n v="0.86"/>
    <n v="0.16420000000000001"/>
    <n v="0"/>
    <n v="5"/>
    <n v="5"/>
  </r>
  <r>
    <n v="260"/>
    <d v="2011-01-12T00:00:00"/>
    <s v="Winter"/>
    <s v="January"/>
    <x v="6"/>
    <b v="0"/>
    <s v="Wednesday"/>
    <s v="Clear"/>
    <n v="0.12"/>
    <n v="0.1515"/>
    <n v="0.93"/>
    <n v="0.1343"/>
    <n v="0"/>
    <n v="16"/>
    <n v="16"/>
  </r>
  <r>
    <n v="261"/>
    <d v="2011-01-12T00:00:00"/>
    <s v="Winter"/>
    <s v="January"/>
    <x v="7"/>
    <b v="0"/>
    <s v="Wednesday"/>
    <s v="Clear"/>
    <n v="0.14000000000000001"/>
    <n v="0.1515"/>
    <n v="0.69"/>
    <n v="0.1343"/>
    <n v="0"/>
    <n v="54"/>
    <n v="54"/>
  </r>
  <r>
    <n v="262"/>
    <d v="2011-01-12T00:00:00"/>
    <s v="Winter"/>
    <s v="January"/>
    <x v="8"/>
    <b v="0"/>
    <s v="Wednesday"/>
    <s v="Clear"/>
    <n v="0.16"/>
    <n v="0.16669999999999999"/>
    <n v="0.59"/>
    <n v="0.16420000000000001"/>
    <n v="3"/>
    <n v="125"/>
    <n v="128"/>
  </r>
  <r>
    <n v="263"/>
    <d v="2011-01-12T00:00:00"/>
    <s v="Winter"/>
    <s v="January"/>
    <x v="9"/>
    <b v="0"/>
    <s v="Wednesday"/>
    <s v="Clear"/>
    <n v="0.16"/>
    <n v="0.13639999999999999"/>
    <n v="0.59"/>
    <n v="0.32840000000000003"/>
    <n v="3"/>
    <n v="78"/>
    <n v="81"/>
  </r>
  <r>
    <n v="264"/>
    <d v="2011-01-12T00:00:00"/>
    <s v="Winter"/>
    <s v="January"/>
    <x v="10"/>
    <b v="0"/>
    <s v="Wednesday"/>
    <s v="Clear"/>
    <n v="0.18"/>
    <n v="0.18179999999999999"/>
    <n v="0.55000000000000004"/>
    <n v="0.22389999999999999"/>
    <n v="0"/>
    <n v="39"/>
    <n v="39"/>
  </r>
  <r>
    <n v="265"/>
    <d v="2011-01-12T00:00:00"/>
    <s v="Winter"/>
    <s v="January"/>
    <x v="11"/>
    <b v="0"/>
    <s v="Wednesday"/>
    <s v="Clear"/>
    <n v="0.2"/>
    <n v="0.18179999999999999"/>
    <n v="0.51"/>
    <n v="0.3881"/>
    <n v="3"/>
    <n v="32"/>
    <n v="35"/>
  </r>
  <r>
    <n v="266"/>
    <d v="2011-01-12T00:00:00"/>
    <s v="Winter"/>
    <s v="January"/>
    <x v="12"/>
    <b v="0"/>
    <s v="Wednesday"/>
    <s v="Clear"/>
    <n v="0.2"/>
    <n v="0.1515"/>
    <n v="0.47"/>
    <n v="0.58209999999999995"/>
    <n v="3"/>
    <n v="52"/>
    <n v="55"/>
  </r>
  <r>
    <n v="267"/>
    <d v="2011-01-12T00:00:00"/>
    <s v="Winter"/>
    <s v="January"/>
    <x v="13"/>
    <b v="0"/>
    <s v="Wednesday"/>
    <s v="Clear"/>
    <n v="0.22"/>
    <n v="0.19700000000000001"/>
    <n v="0.44"/>
    <n v="0.35820000000000002"/>
    <n v="0"/>
    <n v="49"/>
    <n v="49"/>
  </r>
  <r>
    <n v="268"/>
    <d v="2011-01-12T00:00:00"/>
    <s v="Winter"/>
    <s v="January"/>
    <x v="14"/>
    <b v="0"/>
    <s v="Wednesday"/>
    <s v="Clear"/>
    <n v="0.2"/>
    <n v="0.18179999999999999"/>
    <n v="0.47"/>
    <n v="0.32840000000000003"/>
    <n v="0"/>
    <n v="44"/>
    <n v="44"/>
  </r>
  <r>
    <n v="269"/>
    <d v="2011-01-12T00:00:00"/>
    <s v="Winter"/>
    <s v="January"/>
    <x v="15"/>
    <b v="0"/>
    <s v="Wednesday"/>
    <s v="Clear"/>
    <n v="0.2"/>
    <n v="0.16669999999999999"/>
    <n v="0.47"/>
    <n v="0.41789999999999999"/>
    <n v="1"/>
    <n v="48"/>
    <n v="49"/>
  </r>
  <r>
    <n v="270"/>
    <d v="2011-01-12T00:00:00"/>
    <s v="Winter"/>
    <s v="January"/>
    <x v="16"/>
    <b v="0"/>
    <s v="Wednesday"/>
    <s v="Clear"/>
    <n v="0.22"/>
    <n v="0.19700000000000001"/>
    <n v="0.44"/>
    <n v="0.32840000000000003"/>
    <n v="5"/>
    <n v="63"/>
    <n v="68"/>
  </r>
  <r>
    <n v="271"/>
    <d v="2011-01-12T00:00:00"/>
    <s v="Winter"/>
    <s v="January"/>
    <x v="17"/>
    <b v="0"/>
    <s v="Wednesday"/>
    <s v="Clear"/>
    <n v="0.2"/>
    <n v="0.18179999999999999"/>
    <n v="0.47"/>
    <n v="0.35820000000000002"/>
    <n v="0"/>
    <n v="139"/>
    <n v="139"/>
  </r>
  <r>
    <n v="272"/>
    <d v="2011-01-12T00:00:00"/>
    <s v="Winter"/>
    <s v="January"/>
    <x v="18"/>
    <b v="0"/>
    <s v="Wednesday"/>
    <s v="Clear"/>
    <n v="0.2"/>
    <n v="0.1515"/>
    <n v="0.47"/>
    <n v="0.52239999999999998"/>
    <n v="2"/>
    <n v="135"/>
    <n v="137"/>
  </r>
  <r>
    <n v="273"/>
    <d v="2011-01-12T00:00:00"/>
    <s v="Winter"/>
    <s v="January"/>
    <x v="19"/>
    <b v="0"/>
    <s v="Wednesday"/>
    <s v="Clear"/>
    <n v="0.18"/>
    <n v="0.1515"/>
    <n v="0.47"/>
    <n v="0.41789999999999999"/>
    <n v="1"/>
    <n v="82"/>
    <n v="83"/>
  </r>
  <r>
    <n v="274"/>
    <d v="2011-01-12T00:00:00"/>
    <s v="Winter"/>
    <s v="January"/>
    <x v="20"/>
    <b v="0"/>
    <s v="Wednesday"/>
    <s v="Clear"/>
    <n v="0.16"/>
    <n v="0.13639999999999999"/>
    <n v="0.5"/>
    <n v="0.32840000000000003"/>
    <n v="2"/>
    <n v="54"/>
    <n v="56"/>
  </r>
  <r>
    <n v="275"/>
    <d v="2011-01-12T00:00:00"/>
    <s v="Winter"/>
    <s v="January"/>
    <x v="21"/>
    <b v="0"/>
    <s v="Wednesday"/>
    <s v="Clear"/>
    <n v="0.16"/>
    <n v="0.13639999999999999"/>
    <n v="0.55000000000000004"/>
    <n v="0.32840000000000003"/>
    <n v="0"/>
    <n v="57"/>
    <n v="57"/>
  </r>
  <r>
    <n v="276"/>
    <d v="2011-01-12T00:00:00"/>
    <s v="Winter"/>
    <s v="January"/>
    <x v="22"/>
    <b v="0"/>
    <s v="Wednesday"/>
    <s v="Clear"/>
    <n v="0.16"/>
    <n v="0.1212"/>
    <n v="0.55000000000000004"/>
    <n v="0.44779999999999998"/>
    <n v="1"/>
    <n v="32"/>
    <n v="33"/>
  </r>
  <r>
    <n v="277"/>
    <d v="2011-01-12T00:00:00"/>
    <s v="Winter"/>
    <s v="January"/>
    <x v="23"/>
    <b v="0"/>
    <s v="Wednesday"/>
    <s v="Clear"/>
    <n v="0.14000000000000001"/>
    <n v="0.1061"/>
    <n v="0.59"/>
    <n v="0.41789999999999999"/>
    <n v="1"/>
    <n v="19"/>
    <n v="20"/>
  </r>
  <r>
    <n v="278"/>
    <d v="2011-01-13T00:00:00"/>
    <s v="Winter"/>
    <s v="January"/>
    <x v="0"/>
    <b v="0"/>
    <s v="Thursday"/>
    <s v="Clear"/>
    <n v="0.14000000000000001"/>
    <n v="0.1212"/>
    <n v="0.59"/>
    <n v="0.28360000000000002"/>
    <n v="1"/>
    <n v="6"/>
    <n v="7"/>
  </r>
  <r>
    <n v="279"/>
    <d v="2011-01-13T00:00:00"/>
    <s v="Winter"/>
    <s v="January"/>
    <x v="1"/>
    <b v="0"/>
    <s v="Thursday"/>
    <s v="Clear"/>
    <n v="0.14000000000000001"/>
    <n v="0.1212"/>
    <n v="0.5"/>
    <n v="0.28360000000000002"/>
    <n v="0"/>
    <n v="2"/>
    <n v="2"/>
  </r>
  <r>
    <n v="280"/>
    <d v="2011-01-13T00:00:00"/>
    <s v="Winter"/>
    <s v="January"/>
    <x v="2"/>
    <b v="0"/>
    <s v="Thursday"/>
    <s v="Clear"/>
    <n v="0.14000000000000001"/>
    <n v="0.1212"/>
    <n v="0.5"/>
    <n v="0.35820000000000002"/>
    <n v="0"/>
    <n v="2"/>
    <n v="2"/>
  </r>
  <r>
    <n v="281"/>
    <d v="2011-01-13T00:00:00"/>
    <s v="Winter"/>
    <s v="January"/>
    <x v="3"/>
    <b v="0"/>
    <s v="Thursday"/>
    <s v="Clear"/>
    <n v="0.14000000000000001"/>
    <n v="0.1212"/>
    <n v="0.5"/>
    <n v="0.32840000000000003"/>
    <n v="0"/>
    <n v="3"/>
    <n v="3"/>
  </r>
  <r>
    <n v="282"/>
    <d v="2011-01-13T00:00:00"/>
    <s v="Winter"/>
    <s v="January"/>
    <x v="4"/>
    <b v="0"/>
    <s v="Thursday"/>
    <s v="Clear"/>
    <n v="0.14000000000000001"/>
    <n v="0.1212"/>
    <n v="0.5"/>
    <n v="0.25369999999999998"/>
    <n v="0"/>
    <n v="4"/>
    <n v="4"/>
  </r>
  <r>
    <n v="283"/>
    <d v="2011-01-13T00:00:00"/>
    <s v="Winter"/>
    <s v="January"/>
    <x v="5"/>
    <b v="0"/>
    <s v="Thursday"/>
    <s v="Clear"/>
    <n v="0.14000000000000001"/>
    <n v="0.1212"/>
    <n v="0.5"/>
    <n v="0.29849999999999999"/>
    <n v="0"/>
    <n v="3"/>
    <n v="3"/>
  </r>
  <r>
    <n v="284"/>
    <d v="2011-01-13T00:00:00"/>
    <s v="Winter"/>
    <s v="January"/>
    <x v="6"/>
    <b v="0"/>
    <s v="Thursday"/>
    <s v="Clear"/>
    <n v="0.12"/>
    <n v="0.1515"/>
    <n v="0.54"/>
    <n v="0.1343"/>
    <n v="0"/>
    <n v="28"/>
    <n v="28"/>
  </r>
  <r>
    <n v="285"/>
    <d v="2011-01-13T00:00:00"/>
    <s v="Winter"/>
    <s v="January"/>
    <x v="7"/>
    <b v="0"/>
    <s v="Thursday"/>
    <s v="Clear"/>
    <n v="0.12"/>
    <n v="0.1515"/>
    <n v="0.54"/>
    <n v="0.1343"/>
    <n v="0"/>
    <n v="72"/>
    <n v="72"/>
  </r>
  <r>
    <n v="286"/>
    <d v="2011-01-13T00:00:00"/>
    <s v="Winter"/>
    <s v="January"/>
    <x v="8"/>
    <b v="0"/>
    <s v="Thursday"/>
    <s v="Clear"/>
    <n v="0.14000000000000001"/>
    <n v="0.13639999999999999"/>
    <n v="0.5"/>
    <n v="0.19400000000000001"/>
    <n v="5"/>
    <n v="197"/>
    <n v="202"/>
  </r>
  <r>
    <n v="287"/>
    <d v="2011-01-13T00:00:00"/>
    <s v="Winter"/>
    <s v="January"/>
    <x v="9"/>
    <b v="0"/>
    <s v="Thursday"/>
    <s v="Clear"/>
    <n v="0.14000000000000001"/>
    <n v="0.1212"/>
    <n v="0.5"/>
    <n v="0.32840000000000003"/>
    <n v="2"/>
    <n v="137"/>
    <n v="139"/>
  </r>
  <r>
    <n v="288"/>
    <d v="2011-01-13T00:00:00"/>
    <s v="Winter"/>
    <s v="January"/>
    <x v="10"/>
    <b v="0"/>
    <s v="Thursday"/>
    <s v="Mist"/>
    <n v="0.16"/>
    <n v="0.13639999999999999"/>
    <n v="0.5"/>
    <n v="0.35820000000000002"/>
    <n v="2"/>
    <n v="36"/>
    <n v="38"/>
  </r>
  <r>
    <n v="289"/>
    <d v="2011-01-13T00:00:00"/>
    <s v="Winter"/>
    <s v="January"/>
    <x v="11"/>
    <b v="0"/>
    <s v="Thursday"/>
    <s v="Mist"/>
    <n v="0.2"/>
    <n v="0.16669999999999999"/>
    <n v="0.44"/>
    <n v="0.44779999999999998"/>
    <n v="4"/>
    <n v="33"/>
    <n v="37"/>
  </r>
  <r>
    <n v="290"/>
    <d v="2011-01-13T00:00:00"/>
    <s v="Winter"/>
    <s v="January"/>
    <x v="12"/>
    <b v="0"/>
    <s v="Thursday"/>
    <s v="Clear"/>
    <n v="0.2"/>
    <n v="0.16669999999999999"/>
    <n v="0.44"/>
    <n v="0.41789999999999999"/>
    <n v="3"/>
    <n v="49"/>
    <n v="52"/>
  </r>
  <r>
    <n v="291"/>
    <d v="2011-01-13T00:00:00"/>
    <s v="Winter"/>
    <s v="January"/>
    <x v="13"/>
    <b v="0"/>
    <s v="Thursday"/>
    <s v="Clear"/>
    <n v="0.22"/>
    <n v="0.19700000000000001"/>
    <n v="0.41"/>
    <n v="0.44779999999999998"/>
    <n v="2"/>
    <n v="81"/>
    <n v="83"/>
  </r>
  <r>
    <n v="292"/>
    <d v="2011-01-13T00:00:00"/>
    <s v="Winter"/>
    <s v="January"/>
    <x v="14"/>
    <b v="0"/>
    <s v="Thursday"/>
    <s v="Clear"/>
    <n v="0.22"/>
    <n v="0.19700000000000001"/>
    <n v="0.41"/>
    <n v="0.3881"/>
    <n v="3"/>
    <n v="39"/>
    <n v="42"/>
  </r>
  <r>
    <n v="293"/>
    <d v="2011-01-13T00:00:00"/>
    <s v="Winter"/>
    <s v="January"/>
    <x v="15"/>
    <b v="0"/>
    <s v="Thursday"/>
    <s v="Clear"/>
    <n v="0.24"/>
    <n v="0.21210000000000001"/>
    <n v="0.38"/>
    <n v="0.29849999999999999"/>
    <n v="5"/>
    <n v="55"/>
    <n v="60"/>
  </r>
  <r>
    <n v="294"/>
    <d v="2011-01-13T00:00:00"/>
    <s v="Winter"/>
    <s v="January"/>
    <x v="16"/>
    <b v="0"/>
    <s v="Thursday"/>
    <s v="Clear"/>
    <n v="0.24"/>
    <n v="0.21210000000000001"/>
    <n v="0.38"/>
    <n v="0.35820000000000002"/>
    <n v="2"/>
    <n v="76"/>
    <n v="78"/>
  </r>
  <r>
    <n v="295"/>
    <d v="2011-01-13T00:00:00"/>
    <s v="Winter"/>
    <s v="January"/>
    <x v="17"/>
    <b v="0"/>
    <s v="Thursday"/>
    <s v="Clear"/>
    <n v="0.2"/>
    <n v="0.18179999999999999"/>
    <n v="0.4"/>
    <n v="0.28360000000000002"/>
    <n v="4"/>
    <n v="158"/>
    <n v="162"/>
  </r>
  <r>
    <n v="296"/>
    <d v="2011-01-13T00:00:00"/>
    <s v="Winter"/>
    <s v="January"/>
    <x v="18"/>
    <b v="0"/>
    <s v="Thursday"/>
    <s v="Clear"/>
    <n v="0.2"/>
    <n v="0.18179999999999999"/>
    <n v="0.4"/>
    <n v="0.32840000000000003"/>
    <n v="3"/>
    <n v="141"/>
    <n v="144"/>
  </r>
  <r>
    <n v="297"/>
    <d v="2011-01-13T00:00:00"/>
    <s v="Winter"/>
    <s v="January"/>
    <x v="19"/>
    <b v="0"/>
    <s v="Thursday"/>
    <s v="Clear"/>
    <n v="0.16"/>
    <n v="0.1515"/>
    <n v="0.47"/>
    <n v="0.25369999999999998"/>
    <n v="1"/>
    <n v="98"/>
    <n v="99"/>
  </r>
  <r>
    <n v="298"/>
    <d v="2011-01-13T00:00:00"/>
    <s v="Winter"/>
    <s v="January"/>
    <x v="20"/>
    <b v="0"/>
    <s v="Thursday"/>
    <s v="Clear"/>
    <n v="0.16"/>
    <n v="0.1515"/>
    <n v="0.47"/>
    <n v="0.22389999999999999"/>
    <n v="0"/>
    <n v="64"/>
    <n v="64"/>
  </r>
  <r>
    <n v="299"/>
    <d v="2011-01-13T00:00:00"/>
    <s v="Winter"/>
    <s v="January"/>
    <x v="21"/>
    <b v="0"/>
    <s v="Thursday"/>
    <s v="Clear"/>
    <n v="0.14000000000000001"/>
    <n v="0.1212"/>
    <n v="0.46"/>
    <n v="0.29849999999999999"/>
    <n v="0"/>
    <n v="40"/>
    <n v="40"/>
  </r>
  <r>
    <n v="300"/>
    <d v="2011-01-13T00:00:00"/>
    <s v="Winter"/>
    <s v="January"/>
    <x v="22"/>
    <b v="0"/>
    <s v="Thursday"/>
    <s v="Clear"/>
    <n v="0.14000000000000001"/>
    <n v="0.1212"/>
    <n v="0.46"/>
    <n v="0.32840000000000003"/>
    <n v="0"/>
    <n v="30"/>
    <n v="30"/>
  </r>
  <r>
    <n v="301"/>
    <d v="2011-01-13T00:00:00"/>
    <s v="Winter"/>
    <s v="January"/>
    <x v="23"/>
    <b v="0"/>
    <s v="Thursday"/>
    <s v="Clear"/>
    <n v="0.12"/>
    <n v="0.13639999999999999"/>
    <n v="0.5"/>
    <n v="0.19400000000000001"/>
    <n v="1"/>
    <n v="14"/>
    <n v="15"/>
  </r>
  <r>
    <n v="302"/>
    <d v="2011-01-14T00:00:00"/>
    <s v="Winter"/>
    <s v="January"/>
    <x v="0"/>
    <b v="0"/>
    <s v="Friday"/>
    <s v="Clear"/>
    <n v="0.12"/>
    <n v="0.13639999999999999"/>
    <n v="0.5"/>
    <n v="0.19400000000000001"/>
    <n v="0"/>
    <n v="14"/>
    <n v="14"/>
  </r>
  <r>
    <n v="303"/>
    <d v="2011-01-14T00:00:00"/>
    <s v="Winter"/>
    <s v="January"/>
    <x v="1"/>
    <b v="0"/>
    <s v="Friday"/>
    <s v="Clear"/>
    <n v="0.1"/>
    <n v="0.1212"/>
    <n v="0.54"/>
    <n v="0.16420000000000001"/>
    <n v="0"/>
    <n v="5"/>
    <n v="5"/>
  </r>
  <r>
    <n v="304"/>
    <d v="2011-01-14T00:00:00"/>
    <s v="Winter"/>
    <s v="January"/>
    <x v="2"/>
    <b v="0"/>
    <s v="Friday"/>
    <s v="Clear"/>
    <n v="0.1"/>
    <n v="0.1212"/>
    <n v="0.54"/>
    <n v="0.1343"/>
    <n v="0"/>
    <n v="1"/>
    <n v="1"/>
  </r>
  <r>
    <n v="305"/>
    <d v="2011-01-14T00:00:00"/>
    <s v="Winter"/>
    <s v="January"/>
    <x v="3"/>
    <b v="0"/>
    <s v="Friday"/>
    <s v="Clear"/>
    <n v="0.1"/>
    <n v="0.13639999999999999"/>
    <n v="0.54"/>
    <n v="0.1045"/>
    <n v="0"/>
    <n v="1"/>
    <n v="1"/>
  </r>
  <r>
    <n v="306"/>
    <d v="2011-01-14T00:00:00"/>
    <s v="Winter"/>
    <s v="January"/>
    <x v="5"/>
    <b v="0"/>
    <s v="Friday"/>
    <s v="Clear"/>
    <n v="0.1"/>
    <n v="0.13639999999999999"/>
    <n v="0.54"/>
    <n v="8.9599999999999999E-2"/>
    <n v="0"/>
    <n v="8"/>
    <n v="8"/>
  </r>
  <r>
    <n v="307"/>
    <d v="2011-01-14T00:00:00"/>
    <s v="Winter"/>
    <s v="January"/>
    <x v="6"/>
    <b v="0"/>
    <s v="Friday"/>
    <s v="Clear"/>
    <n v="0.1"/>
    <n v="0.18179999999999999"/>
    <n v="0.54"/>
    <n v="0"/>
    <n v="0"/>
    <n v="17"/>
    <n v="17"/>
  </r>
  <r>
    <n v="308"/>
    <d v="2011-01-14T00:00:00"/>
    <s v="Winter"/>
    <s v="January"/>
    <x v="7"/>
    <b v="0"/>
    <s v="Friday"/>
    <s v="Clear"/>
    <n v="0.1"/>
    <n v="0.1212"/>
    <n v="0.74"/>
    <n v="0.16420000000000001"/>
    <n v="0"/>
    <n v="70"/>
    <n v="70"/>
  </r>
  <r>
    <n v="309"/>
    <d v="2011-01-14T00:00:00"/>
    <s v="Winter"/>
    <s v="January"/>
    <x v="8"/>
    <b v="0"/>
    <s v="Friday"/>
    <s v="Clear"/>
    <n v="0.12"/>
    <n v="0.16669999999999999"/>
    <n v="0.68"/>
    <n v="0"/>
    <n v="2"/>
    <n v="156"/>
    <n v="158"/>
  </r>
  <r>
    <n v="310"/>
    <d v="2011-01-14T00:00:00"/>
    <s v="Winter"/>
    <s v="January"/>
    <x v="9"/>
    <b v="0"/>
    <s v="Friday"/>
    <s v="Clear"/>
    <n v="0.14000000000000001"/>
    <n v="0.1515"/>
    <n v="0.69"/>
    <n v="0.1343"/>
    <n v="0"/>
    <n v="117"/>
    <n v="117"/>
  </r>
  <r>
    <n v="311"/>
    <d v="2011-01-14T00:00:00"/>
    <s v="Winter"/>
    <s v="January"/>
    <x v="10"/>
    <b v="0"/>
    <s v="Friday"/>
    <s v="Clear"/>
    <n v="0.18"/>
    <n v="0.18179999999999999"/>
    <n v="0.55000000000000004"/>
    <n v="0.19400000000000001"/>
    <n v="4"/>
    <n v="40"/>
    <n v="44"/>
  </r>
  <r>
    <n v="312"/>
    <d v="2011-01-14T00:00:00"/>
    <s v="Winter"/>
    <s v="January"/>
    <x v="11"/>
    <b v="0"/>
    <s v="Friday"/>
    <s v="Clear"/>
    <n v="0.18"/>
    <n v="0.16669999999999999"/>
    <n v="0.51"/>
    <n v="0.28360000000000002"/>
    <n v="6"/>
    <n v="47"/>
    <n v="53"/>
  </r>
  <r>
    <n v="313"/>
    <d v="2011-01-14T00:00:00"/>
    <s v="Winter"/>
    <s v="January"/>
    <x v="12"/>
    <b v="0"/>
    <s v="Friday"/>
    <s v="Clear"/>
    <n v="0.2"/>
    <n v="0.19700000000000001"/>
    <n v="0.44"/>
    <n v="0.25369999999999998"/>
    <n v="2"/>
    <n v="59"/>
    <n v="61"/>
  </r>
  <r>
    <n v="314"/>
    <d v="2011-01-14T00:00:00"/>
    <s v="Winter"/>
    <s v="January"/>
    <x v="13"/>
    <b v="0"/>
    <s v="Friday"/>
    <s v="Clear"/>
    <n v="0.22"/>
    <n v="0.19700000000000001"/>
    <n v="0.37"/>
    <n v="0.3881"/>
    <n v="4"/>
    <n v="73"/>
    <n v="77"/>
  </r>
  <r>
    <n v="315"/>
    <d v="2011-01-14T00:00:00"/>
    <s v="Winter"/>
    <s v="January"/>
    <x v="14"/>
    <b v="0"/>
    <s v="Friday"/>
    <s v="Clear"/>
    <n v="0.22"/>
    <n v="0.21210000000000001"/>
    <n v="0.41"/>
    <n v="0.28360000000000002"/>
    <n v="5"/>
    <n v="59"/>
    <n v="64"/>
  </r>
  <r>
    <n v="316"/>
    <d v="2011-01-14T00:00:00"/>
    <s v="Winter"/>
    <s v="January"/>
    <x v="15"/>
    <b v="0"/>
    <s v="Friday"/>
    <s v="Clear"/>
    <n v="0.24"/>
    <n v="0.2424"/>
    <n v="0.38"/>
    <n v="0.16420000000000001"/>
    <n v="9"/>
    <n v="59"/>
    <n v="68"/>
  </r>
  <r>
    <n v="317"/>
    <d v="2011-01-14T00:00:00"/>
    <s v="Winter"/>
    <s v="January"/>
    <x v="16"/>
    <b v="0"/>
    <s v="Friday"/>
    <s v="Clear"/>
    <n v="0.22"/>
    <n v="0.2424"/>
    <n v="0.41"/>
    <n v="0.1045"/>
    <n v="3"/>
    <n v="87"/>
    <n v="90"/>
  </r>
  <r>
    <n v="318"/>
    <d v="2011-01-14T00:00:00"/>
    <s v="Winter"/>
    <s v="January"/>
    <x v="17"/>
    <b v="0"/>
    <s v="Friday"/>
    <s v="Clear"/>
    <n v="0.22"/>
    <n v="0.2273"/>
    <n v="0.41"/>
    <n v="0.16420000000000001"/>
    <n v="4"/>
    <n v="155"/>
    <n v="159"/>
  </r>
  <r>
    <n v="319"/>
    <d v="2011-01-14T00:00:00"/>
    <s v="Winter"/>
    <s v="January"/>
    <x v="18"/>
    <b v="0"/>
    <s v="Friday"/>
    <s v="Clear"/>
    <n v="0.2"/>
    <n v="0.2576"/>
    <n v="0.47"/>
    <n v="0"/>
    <n v="5"/>
    <n v="134"/>
    <n v="139"/>
  </r>
  <r>
    <n v="320"/>
    <d v="2011-01-14T00:00:00"/>
    <s v="Winter"/>
    <s v="January"/>
    <x v="19"/>
    <b v="0"/>
    <s v="Friday"/>
    <s v="Clear"/>
    <n v="0.16"/>
    <n v="0.19700000000000001"/>
    <n v="0.59"/>
    <n v="8.9599999999999999E-2"/>
    <n v="3"/>
    <n v="89"/>
    <n v="92"/>
  </r>
  <r>
    <n v="321"/>
    <d v="2011-01-14T00:00:00"/>
    <s v="Winter"/>
    <s v="January"/>
    <x v="20"/>
    <b v="0"/>
    <s v="Friday"/>
    <s v="Clear"/>
    <n v="0.18"/>
    <n v="0.2424"/>
    <n v="0.59"/>
    <n v="0"/>
    <n v="0"/>
    <n v="68"/>
    <n v="68"/>
  </r>
  <r>
    <n v="322"/>
    <d v="2011-01-14T00:00:00"/>
    <s v="Winter"/>
    <s v="January"/>
    <x v="21"/>
    <b v="0"/>
    <s v="Friday"/>
    <s v="Clear"/>
    <n v="0.16"/>
    <n v="0.2273"/>
    <n v="0.69"/>
    <n v="0"/>
    <n v="4"/>
    <n v="48"/>
    <n v="52"/>
  </r>
  <r>
    <n v="323"/>
    <d v="2011-01-14T00:00:00"/>
    <s v="Winter"/>
    <s v="January"/>
    <x v="22"/>
    <b v="0"/>
    <s v="Friday"/>
    <s v="Mist"/>
    <n v="0.16"/>
    <n v="0.2273"/>
    <n v="0.69"/>
    <n v="0"/>
    <n v="2"/>
    <n v="34"/>
    <n v="36"/>
  </r>
  <r>
    <n v="324"/>
    <d v="2011-01-14T00:00:00"/>
    <s v="Winter"/>
    <s v="January"/>
    <x v="23"/>
    <b v="0"/>
    <s v="Friday"/>
    <s v="Mist"/>
    <n v="0.18"/>
    <n v="0.2424"/>
    <n v="0.55000000000000004"/>
    <n v="0"/>
    <n v="1"/>
    <n v="26"/>
    <n v="27"/>
  </r>
  <r>
    <n v="325"/>
    <d v="2011-01-15T00:00:00"/>
    <s v="Winter"/>
    <s v="January"/>
    <x v="0"/>
    <b v="0"/>
    <s v="Saturday"/>
    <s v="Clear"/>
    <n v="0.18"/>
    <n v="0.2424"/>
    <n v="0.55000000000000004"/>
    <n v="0"/>
    <n v="3"/>
    <n v="25"/>
    <n v="28"/>
  </r>
  <r>
    <n v="326"/>
    <d v="2011-01-15T00:00:00"/>
    <s v="Winter"/>
    <s v="January"/>
    <x v="1"/>
    <b v="0"/>
    <s v="Saturday"/>
    <s v="Mist"/>
    <n v="0.16"/>
    <n v="0.19700000000000001"/>
    <n v="0.59"/>
    <n v="8.9599999999999999E-2"/>
    <n v="2"/>
    <n v="18"/>
    <n v="20"/>
  </r>
  <r>
    <n v="327"/>
    <d v="2011-01-15T00:00:00"/>
    <s v="Winter"/>
    <s v="January"/>
    <x v="2"/>
    <b v="0"/>
    <s v="Saturday"/>
    <s v="Mist"/>
    <n v="0.16"/>
    <n v="0.19700000000000001"/>
    <n v="0.59"/>
    <n v="8.9599999999999999E-2"/>
    <n v="0"/>
    <n v="12"/>
    <n v="12"/>
  </r>
  <r>
    <n v="328"/>
    <d v="2011-01-15T00:00:00"/>
    <s v="Winter"/>
    <s v="January"/>
    <x v="3"/>
    <b v="0"/>
    <s v="Saturday"/>
    <s v="Mist"/>
    <n v="0.16"/>
    <n v="0.2273"/>
    <n v="0.59"/>
    <n v="0"/>
    <n v="1"/>
    <n v="7"/>
    <n v="8"/>
  </r>
  <r>
    <n v="329"/>
    <d v="2011-01-15T00:00:00"/>
    <s v="Winter"/>
    <s v="January"/>
    <x v="4"/>
    <b v="0"/>
    <s v="Saturday"/>
    <s v="Mist"/>
    <n v="0.16"/>
    <n v="0.2273"/>
    <n v="0.59"/>
    <n v="0"/>
    <n v="0"/>
    <n v="5"/>
    <n v="5"/>
  </r>
  <r>
    <n v="330"/>
    <d v="2011-01-15T00:00:00"/>
    <s v="Winter"/>
    <s v="January"/>
    <x v="5"/>
    <b v="0"/>
    <s v="Saturday"/>
    <s v="Clear"/>
    <n v="0.16"/>
    <n v="0.2273"/>
    <n v="0.59"/>
    <n v="0"/>
    <n v="0"/>
    <n v="1"/>
    <n v="1"/>
  </r>
  <r>
    <n v="331"/>
    <d v="2011-01-15T00:00:00"/>
    <s v="Winter"/>
    <s v="January"/>
    <x v="6"/>
    <b v="0"/>
    <s v="Saturday"/>
    <s v="Clear"/>
    <n v="0.14000000000000001"/>
    <n v="0.16669999999999999"/>
    <n v="0.63"/>
    <n v="0.1045"/>
    <n v="1"/>
    <n v="2"/>
    <n v="3"/>
  </r>
  <r>
    <n v="332"/>
    <d v="2011-01-15T00:00:00"/>
    <s v="Winter"/>
    <s v="January"/>
    <x v="7"/>
    <b v="0"/>
    <s v="Saturday"/>
    <s v="Clear"/>
    <n v="0.14000000000000001"/>
    <n v="0.21210000000000001"/>
    <n v="0.63"/>
    <n v="0"/>
    <n v="1"/>
    <n v="9"/>
    <n v="10"/>
  </r>
  <r>
    <n v="333"/>
    <d v="2011-01-15T00:00:00"/>
    <s v="Winter"/>
    <s v="January"/>
    <x v="8"/>
    <b v="0"/>
    <s v="Saturday"/>
    <s v="Clear"/>
    <n v="0.14000000000000001"/>
    <n v="0.1515"/>
    <n v="0.63"/>
    <n v="0.1343"/>
    <n v="1"/>
    <n v="22"/>
    <n v="23"/>
  </r>
  <r>
    <n v="334"/>
    <d v="2011-01-15T00:00:00"/>
    <s v="Winter"/>
    <s v="January"/>
    <x v="9"/>
    <b v="0"/>
    <s v="Saturday"/>
    <s v="Clear"/>
    <n v="0.16"/>
    <n v="0.18179999999999999"/>
    <n v="0.64"/>
    <n v="0.1343"/>
    <n v="2"/>
    <n v="31"/>
    <n v="33"/>
  </r>
  <r>
    <n v="335"/>
    <d v="2011-01-15T00:00:00"/>
    <s v="Winter"/>
    <s v="January"/>
    <x v="10"/>
    <b v="0"/>
    <s v="Saturday"/>
    <s v="Clear"/>
    <n v="0.18"/>
    <n v="0.19700000000000001"/>
    <n v="0.59"/>
    <n v="0.16420000000000001"/>
    <n v="2"/>
    <n v="57"/>
    <n v="59"/>
  </r>
  <r>
    <n v="336"/>
    <d v="2011-01-15T00:00:00"/>
    <s v="Winter"/>
    <s v="January"/>
    <x v="11"/>
    <b v="0"/>
    <s v="Saturday"/>
    <s v="Clear"/>
    <n v="0.2"/>
    <n v="0.19700000000000001"/>
    <n v="0.55000000000000004"/>
    <n v="0.22389999999999999"/>
    <n v="18"/>
    <n v="54"/>
    <n v="72"/>
  </r>
  <r>
    <n v="337"/>
    <d v="2011-01-15T00:00:00"/>
    <s v="Winter"/>
    <s v="January"/>
    <x v="12"/>
    <b v="0"/>
    <s v="Saturday"/>
    <s v="Clear"/>
    <n v="0.24"/>
    <n v="0.2273"/>
    <n v="0.48"/>
    <n v="0.22389999999999999"/>
    <n v="15"/>
    <n v="74"/>
    <n v="89"/>
  </r>
  <r>
    <n v="338"/>
    <d v="2011-01-15T00:00:00"/>
    <s v="Winter"/>
    <s v="January"/>
    <x v="13"/>
    <b v="0"/>
    <s v="Saturday"/>
    <s v="Clear"/>
    <n v="0.28000000000000003"/>
    <n v="0.2576"/>
    <n v="0.38"/>
    <n v="0.29849999999999999"/>
    <n v="21"/>
    <n v="80"/>
    <n v="101"/>
  </r>
  <r>
    <n v="339"/>
    <d v="2011-01-15T00:00:00"/>
    <s v="Winter"/>
    <s v="January"/>
    <x v="14"/>
    <b v="0"/>
    <s v="Saturday"/>
    <s v="Clear"/>
    <n v="0.3"/>
    <n v="0.28789999999999999"/>
    <n v="0.39"/>
    <n v="0.28360000000000002"/>
    <n v="26"/>
    <n v="92"/>
    <n v="118"/>
  </r>
  <r>
    <n v="340"/>
    <d v="2011-01-15T00:00:00"/>
    <s v="Winter"/>
    <s v="January"/>
    <x v="15"/>
    <b v="0"/>
    <s v="Saturday"/>
    <s v="Mist"/>
    <n v="0.32"/>
    <n v="0.31819999999999998"/>
    <n v="0.36"/>
    <n v="0.19400000000000001"/>
    <n v="21"/>
    <n v="108"/>
    <n v="129"/>
  </r>
  <r>
    <n v="341"/>
    <d v="2011-01-15T00:00:00"/>
    <s v="Winter"/>
    <s v="January"/>
    <x v="16"/>
    <b v="0"/>
    <s v="Saturday"/>
    <s v="Mist"/>
    <n v="0.34"/>
    <n v="0.33329999999999999"/>
    <n v="0.34"/>
    <n v="0.19400000000000001"/>
    <n v="33"/>
    <n v="95"/>
    <n v="128"/>
  </r>
  <r>
    <n v="342"/>
    <d v="2011-01-15T00:00:00"/>
    <s v="Winter"/>
    <s v="January"/>
    <x v="17"/>
    <b v="0"/>
    <s v="Saturday"/>
    <s v="Mist"/>
    <n v="0.32"/>
    <n v="0.30299999999999999"/>
    <n v="0.36"/>
    <n v="0.28360000000000002"/>
    <n v="29"/>
    <n v="54"/>
    <n v="83"/>
  </r>
  <r>
    <n v="343"/>
    <d v="2011-01-15T00:00:00"/>
    <s v="Winter"/>
    <s v="January"/>
    <x v="18"/>
    <b v="0"/>
    <s v="Saturday"/>
    <s v="Mist"/>
    <n v="0.3"/>
    <n v="0.28789999999999999"/>
    <n v="0.45"/>
    <n v="0.25369999999999998"/>
    <n v="15"/>
    <n v="69"/>
    <n v="84"/>
  </r>
  <r>
    <n v="344"/>
    <d v="2011-01-15T00:00:00"/>
    <s v="Winter"/>
    <s v="January"/>
    <x v="19"/>
    <b v="0"/>
    <s v="Saturday"/>
    <s v="Mist"/>
    <n v="0.32"/>
    <n v="0.30299999999999999"/>
    <n v="0.39"/>
    <n v="0.25369999999999998"/>
    <n v="14"/>
    <n v="60"/>
    <n v="74"/>
  </r>
  <r>
    <n v="345"/>
    <d v="2011-01-15T00:00:00"/>
    <s v="Winter"/>
    <s v="January"/>
    <x v="20"/>
    <b v="0"/>
    <s v="Saturday"/>
    <s v="Mist"/>
    <n v="0.32"/>
    <n v="0.30299999999999999"/>
    <n v="0.39"/>
    <n v="0.25369999999999998"/>
    <n v="6"/>
    <n v="35"/>
    <n v="41"/>
  </r>
  <r>
    <n v="346"/>
    <d v="2011-01-15T00:00:00"/>
    <s v="Winter"/>
    <s v="January"/>
    <x v="21"/>
    <b v="0"/>
    <s v="Saturday"/>
    <s v="Mist"/>
    <n v="0.32"/>
    <n v="0.30299999999999999"/>
    <n v="0.39"/>
    <n v="0.22389999999999999"/>
    <n v="6"/>
    <n v="51"/>
    <n v="57"/>
  </r>
  <r>
    <n v="347"/>
    <d v="2011-01-15T00:00:00"/>
    <s v="Winter"/>
    <s v="January"/>
    <x v="22"/>
    <b v="0"/>
    <s v="Saturday"/>
    <s v="Mist"/>
    <n v="0.3"/>
    <n v="0.31819999999999998"/>
    <n v="0.42"/>
    <n v="0.1045"/>
    <n v="0"/>
    <n v="26"/>
    <n v="26"/>
  </r>
  <r>
    <n v="348"/>
    <d v="2011-01-15T00:00:00"/>
    <s v="Winter"/>
    <s v="January"/>
    <x v="23"/>
    <b v="0"/>
    <s v="Saturday"/>
    <s v="Clear"/>
    <n v="0.3"/>
    <n v="0.28789999999999999"/>
    <n v="0.45"/>
    <n v="0.28360000000000002"/>
    <n v="5"/>
    <n v="39"/>
    <n v="44"/>
  </r>
  <r>
    <n v="349"/>
    <d v="2011-01-16T00:00:00"/>
    <s v="Winter"/>
    <s v="January"/>
    <x v="0"/>
    <b v="0"/>
    <s v="Sunday"/>
    <s v="Clear"/>
    <n v="0.26"/>
    <n v="0.30299999999999999"/>
    <n v="0.56000000000000005"/>
    <n v="0"/>
    <n v="6"/>
    <n v="33"/>
    <n v="39"/>
  </r>
  <r>
    <n v="350"/>
    <d v="2011-01-16T00:00:00"/>
    <s v="Winter"/>
    <s v="January"/>
    <x v="1"/>
    <b v="0"/>
    <s v="Sunday"/>
    <s v="Clear"/>
    <n v="0.26"/>
    <n v="0.2727"/>
    <n v="0.56000000000000005"/>
    <n v="0.1343"/>
    <n v="4"/>
    <n v="19"/>
    <n v="23"/>
  </r>
  <r>
    <n v="351"/>
    <d v="2011-01-16T00:00:00"/>
    <s v="Winter"/>
    <s v="January"/>
    <x v="2"/>
    <b v="0"/>
    <s v="Sunday"/>
    <s v="Clear"/>
    <n v="0.26"/>
    <n v="0.28789999999999999"/>
    <n v="0.56000000000000005"/>
    <n v="8.9599999999999999E-2"/>
    <n v="3"/>
    <n v="13"/>
    <n v="16"/>
  </r>
  <r>
    <n v="352"/>
    <d v="2011-01-16T00:00:00"/>
    <s v="Winter"/>
    <s v="January"/>
    <x v="3"/>
    <b v="0"/>
    <s v="Sunday"/>
    <s v="Clear"/>
    <n v="0.22"/>
    <n v="0.2727"/>
    <n v="0.69"/>
    <n v="0"/>
    <n v="9"/>
    <n v="6"/>
    <n v="15"/>
  </r>
  <r>
    <n v="353"/>
    <d v="2011-01-16T00:00:00"/>
    <s v="Winter"/>
    <s v="January"/>
    <x v="4"/>
    <b v="0"/>
    <s v="Sunday"/>
    <s v="Clear"/>
    <n v="0.26"/>
    <n v="0.2576"/>
    <n v="0.56000000000000005"/>
    <n v="0.16420000000000001"/>
    <n v="0"/>
    <n v="1"/>
    <n v="1"/>
  </r>
  <r>
    <n v="354"/>
    <d v="2011-01-16T00:00:00"/>
    <s v="Winter"/>
    <s v="January"/>
    <x v="5"/>
    <b v="0"/>
    <s v="Sunday"/>
    <s v="Mist"/>
    <n v="0.26"/>
    <n v="0.2576"/>
    <n v="0.56000000000000005"/>
    <n v="0.16420000000000001"/>
    <n v="1"/>
    <n v="1"/>
    <n v="2"/>
  </r>
  <r>
    <n v="355"/>
    <d v="2011-01-16T00:00:00"/>
    <s v="Winter"/>
    <s v="January"/>
    <x v="6"/>
    <b v="0"/>
    <s v="Sunday"/>
    <s v="Mist"/>
    <n v="0.26"/>
    <n v="0.2576"/>
    <n v="0.56000000000000005"/>
    <n v="0.16420000000000001"/>
    <n v="0"/>
    <n v="1"/>
    <n v="1"/>
  </r>
  <r>
    <n v="356"/>
    <d v="2011-01-16T00:00:00"/>
    <s v="Winter"/>
    <s v="January"/>
    <x v="7"/>
    <b v="0"/>
    <s v="Sunday"/>
    <s v="Mist"/>
    <n v="0.24"/>
    <n v="0.21210000000000001"/>
    <n v="0.56000000000000005"/>
    <n v="0.29849999999999999"/>
    <n v="0"/>
    <n v="3"/>
    <n v="3"/>
  </r>
  <r>
    <n v="357"/>
    <d v="2011-01-16T00:00:00"/>
    <s v="Winter"/>
    <s v="January"/>
    <x v="8"/>
    <b v="0"/>
    <s v="Sunday"/>
    <s v="Clear"/>
    <n v="0.22"/>
    <n v="0.21210000000000001"/>
    <n v="0.55000000000000004"/>
    <n v="0.28360000000000002"/>
    <n v="0"/>
    <n v="18"/>
    <n v="18"/>
  </r>
  <r>
    <n v="358"/>
    <d v="2011-01-16T00:00:00"/>
    <s v="Winter"/>
    <s v="January"/>
    <x v="9"/>
    <b v="0"/>
    <s v="Sunday"/>
    <s v="Clear"/>
    <n v="0.22"/>
    <n v="0.21210000000000001"/>
    <n v="0.51"/>
    <n v="0.25369999999999998"/>
    <n v="3"/>
    <n v="29"/>
    <n v="32"/>
  </r>
  <r>
    <n v="359"/>
    <d v="2011-01-16T00:00:00"/>
    <s v="Winter"/>
    <s v="January"/>
    <x v="10"/>
    <b v="0"/>
    <s v="Sunday"/>
    <s v="Clear"/>
    <n v="0.22"/>
    <n v="0.21210000000000001"/>
    <n v="0.51"/>
    <n v="0.28360000000000002"/>
    <n v="8"/>
    <n v="71"/>
    <n v="79"/>
  </r>
  <r>
    <n v="360"/>
    <d v="2011-01-16T00:00:00"/>
    <s v="Winter"/>
    <s v="January"/>
    <x v="11"/>
    <b v="0"/>
    <s v="Sunday"/>
    <s v="Clear"/>
    <n v="0.24"/>
    <n v="0.2273"/>
    <n v="0.44"/>
    <n v="0.25369999999999998"/>
    <n v="23"/>
    <n v="70"/>
    <n v="93"/>
  </r>
  <r>
    <n v="361"/>
    <d v="2011-01-16T00:00:00"/>
    <s v="Winter"/>
    <s v="January"/>
    <x v="12"/>
    <b v="0"/>
    <s v="Sunday"/>
    <s v="Clear"/>
    <n v="0.24"/>
    <n v="0.21210000000000001"/>
    <n v="0.41"/>
    <n v="0.28360000000000002"/>
    <n v="29"/>
    <n v="75"/>
    <n v="104"/>
  </r>
  <r>
    <n v="362"/>
    <d v="2011-01-16T00:00:00"/>
    <s v="Winter"/>
    <s v="January"/>
    <x v="13"/>
    <b v="0"/>
    <s v="Sunday"/>
    <s v="Clear"/>
    <n v="0.26"/>
    <n v="0.2273"/>
    <n v="0.35"/>
    <n v="0.29849999999999999"/>
    <n v="23"/>
    <n v="95"/>
    <n v="118"/>
  </r>
  <r>
    <n v="363"/>
    <d v="2011-01-16T00:00:00"/>
    <s v="Winter"/>
    <s v="January"/>
    <x v="14"/>
    <b v="0"/>
    <s v="Sunday"/>
    <s v="Clear"/>
    <n v="0.28000000000000003"/>
    <n v="0.2727"/>
    <n v="0.36"/>
    <n v="0.25369999999999998"/>
    <n v="22"/>
    <n v="69"/>
    <n v="91"/>
  </r>
  <r>
    <n v="364"/>
    <d v="2011-01-16T00:00:00"/>
    <s v="Winter"/>
    <s v="January"/>
    <x v="15"/>
    <b v="0"/>
    <s v="Sunday"/>
    <s v="Clear"/>
    <n v="0.26"/>
    <n v="0.2424"/>
    <n v="0.38"/>
    <n v="0.25369999999999998"/>
    <n v="35"/>
    <n v="78"/>
    <n v="113"/>
  </r>
  <r>
    <n v="365"/>
    <d v="2011-01-16T00:00:00"/>
    <s v="Winter"/>
    <s v="January"/>
    <x v="16"/>
    <b v="0"/>
    <s v="Sunday"/>
    <s v="Clear"/>
    <n v="0.24"/>
    <n v="0.2273"/>
    <n v="0.38"/>
    <n v="0.22389999999999999"/>
    <n v="22"/>
    <n v="77"/>
    <n v="99"/>
  </r>
  <r>
    <n v="366"/>
    <d v="2011-01-16T00:00:00"/>
    <s v="Winter"/>
    <s v="January"/>
    <x v="17"/>
    <b v="0"/>
    <s v="Sunday"/>
    <s v="Clear"/>
    <n v="0.22"/>
    <n v="0.21210000000000001"/>
    <n v="0.37"/>
    <n v="0.25369999999999998"/>
    <n v="23"/>
    <n v="82"/>
    <n v="105"/>
  </r>
  <r>
    <n v="367"/>
    <d v="2011-01-16T00:00:00"/>
    <s v="Winter"/>
    <s v="January"/>
    <x v="18"/>
    <b v="0"/>
    <s v="Sunday"/>
    <s v="Clear"/>
    <n v="0.2"/>
    <n v="0.21210000000000001"/>
    <n v="0.4"/>
    <n v="0.16420000000000001"/>
    <n v="11"/>
    <n v="56"/>
    <n v="67"/>
  </r>
  <r>
    <n v="368"/>
    <d v="2011-01-16T00:00:00"/>
    <s v="Winter"/>
    <s v="January"/>
    <x v="19"/>
    <b v="0"/>
    <s v="Sunday"/>
    <s v="Clear"/>
    <n v="0.18"/>
    <n v="0.19700000000000001"/>
    <n v="0.47"/>
    <n v="0.1343"/>
    <n v="14"/>
    <n v="47"/>
    <n v="61"/>
  </r>
  <r>
    <n v="369"/>
    <d v="2011-01-16T00:00:00"/>
    <s v="Winter"/>
    <s v="January"/>
    <x v="20"/>
    <b v="0"/>
    <s v="Sunday"/>
    <s v="Clear"/>
    <n v="0.18"/>
    <n v="0.19700000000000001"/>
    <n v="0.47"/>
    <n v="0.16420000000000001"/>
    <n v="7"/>
    <n v="50"/>
    <n v="57"/>
  </r>
  <r>
    <n v="370"/>
    <d v="2011-01-16T00:00:00"/>
    <s v="Winter"/>
    <s v="January"/>
    <x v="21"/>
    <b v="0"/>
    <s v="Sunday"/>
    <s v="Clear"/>
    <n v="0.18"/>
    <n v="0.19700000000000001"/>
    <n v="0.51"/>
    <n v="0.16420000000000001"/>
    <n v="6"/>
    <n v="22"/>
    <n v="28"/>
  </r>
  <r>
    <n v="371"/>
    <d v="2011-01-16T00:00:00"/>
    <s v="Winter"/>
    <s v="January"/>
    <x v="22"/>
    <b v="0"/>
    <s v="Sunday"/>
    <s v="Mist"/>
    <n v="0.2"/>
    <n v="0.21210000000000001"/>
    <n v="0.49"/>
    <n v="0.1343"/>
    <n v="2"/>
    <n v="19"/>
    <n v="21"/>
  </r>
  <r>
    <n v="372"/>
    <d v="2011-01-16T00:00:00"/>
    <s v="Winter"/>
    <s v="January"/>
    <x v="23"/>
    <b v="0"/>
    <s v="Sunday"/>
    <s v="Mist"/>
    <n v="0.2"/>
    <n v="0.2273"/>
    <n v="0.4"/>
    <n v="0.1045"/>
    <n v="0"/>
    <n v="18"/>
    <n v="18"/>
  </r>
  <r>
    <n v="373"/>
    <d v="2011-01-17T00:00:00"/>
    <s v="Winter"/>
    <s v="January"/>
    <x v="0"/>
    <b v="1"/>
    <s v="Monday"/>
    <s v="Mist"/>
    <n v="0.2"/>
    <n v="0.19700000000000001"/>
    <n v="0.47"/>
    <n v="0.22389999999999999"/>
    <n v="1"/>
    <n v="16"/>
    <n v="17"/>
  </r>
  <r>
    <n v="374"/>
    <d v="2011-01-17T00:00:00"/>
    <s v="Winter"/>
    <s v="January"/>
    <x v="1"/>
    <b v="1"/>
    <s v="Monday"/>
    <s v="Mist"/>
    <n v="0.2"/>
    <n v="0.19700000000000001"/>
    <n v="0.44"/>
    <n v="0.19400000000000001"/>
    <n v="1"/>
    <n v="15"/>
    <n v="16"/>
  </r>
  <r>
    <n v="375"/>
    <d v="2011-01-17T00:00:00"/>
    <s v="Winter"/>
    <s v="January"/>
    <x v="2"/>
    <b v="1"/>
    <s v="Monday"/>
    <s v="Mist"/>
    <n v="0.18"/>
    <n v="0.16669999999999999"/>
    <n v="0.43"/>
    <n v="0.25369999999999998"/>
    <n v="0"/>
    <n v="8"/>
    <n v="8"/>
  </r>
  <r>
    <n v="376"/>
    <d v="2011-01-17T00:00:00"/>
    <s v="Winter"/>
    <s v="January"/>
    <x v="3"/>
    <b v="1"/>
    <s v="Monday"/>
    <s v="Mist"/>
    <n v="0.18"/>
    <n v="0.18179999999999999"/>
    <n v="0.43"/>
    <n v="0.19400000000000001"/>
    <n v="0"/>
    <n v="2"/>
    <n v="2"/>
  </r>
  <r>
    <n v="377"/>
    <d v="2011-01-17T00:00:00"/>
    <s v="Winter"/>
    <s v="January"/>
    <x v="4"/>
    <b v="1"/>
    <s v="Monday"/>
    <s v="Mist"/>
    <n v="0.18"/>
    <n v="0.19700000000000001"/>
    <n v="0.43"/>
    <n v="0.1343"/>
    <n v="1"/>
    <n v="2"/>
    <n v="3"/>
  </r>
  <r>
    <n v="378"/>
    <d v="2011-01-17T00:00:00"/>
    <s v="Winter"/>
    <s v="January"/>
    <x v="5"/>
    <b v="1"/>
    <s v="Monday"/>
    <s v="Mist"/>
    <n v="0.18"/>
    <n v="0.19700000000000001"/>
    <n v="0.43"/>
    <n v="0.16420000000000001"/>
    <n v="0"/>
    <n v="1"/>
    <n v="1"/>
  </r>
  <r>
    <n v="379"/>
    <d v="2011-01-17T00:00:00"/>
    <s v="Winter"/>
    <s v="January"/>
    <x v="6"/>
    <b v="1"/>
    <s v="Monday"/>
    <s v="Mist"/>
    <n v="0.18"/>
    <n v="0.18179999999999999"/>
    <n v="0.43"/>
    <n v="0.19400000000000001"/>
    <n v="0"/>
    <n v="5"/>
    <n v="5"/>
  </r>
  <r>
    <n v="380"/>
    <d v="2011-01-17T00:00:00"/>
    <s v="Winter"/>
    <s v="January"/>
    <x v="7"/>
    <b v="1"/>
    <s v="Monday"/>
    <s v="Mist"/>
    <n v="0.16"/>
    <n v="0.18179999999999999"/>
    <n v="0.5"/>
    <n v="0.1343"/>
    <n v="4"/>
    <n v="9"/>
    <n v="13"/>
  </r>
  <r>
    <n v="381"/>
    <d v="2011-01-17T00:00:00"/>
    <s v="Winter"/>
    <s v="January"/>
    <x v="8"/>
    <b v="1"/>
    <s v="Monday"/>
    <s v="Mist"/>
    <n v="0.16"/>
    <n v="0.1515"/>
    <n v="0.47"/>
    <n v="0.22389999999999999"/>
    <n v="3"/>
    <n v="30"/>
    <n v="33"/>
  </r>
  <r>
    <n v="382"/>
    <d v="2011-01-17T00:00:00"/>
    <s v="Winter"/>
    <s v="January"/>
    <x v="9"/>
    <b v="1"/>
    <s v="Monday"/>
    <s v="Mist"/>
    <n v="0.16"/>
    <n v="0.1515"/>
    <n v="0.47"/>
    <n v="0.22389999999999999"/>
    <n v="8"/>
    <n v="39"/>
    <n v="47"/>
  </r>
  <r>
    <n v="383"/>
    <d v="2011-01-17T00:00:00"/>
    <s v="Winter"/>
    <s v="January"/>
    <x v="10"/>
    <b v="1"/>
    <s v="Monday"/>
    <s v="Mist"/>
    <n v="0.16"/>
    <n v="0.1515"/>
    <n v="0.5"/>
    <n v="0.25369999999999998"/>
    <n v="7"/>
    <n v="50"/>
    <n v="57"/>
  </r>
  <r>
    <n v="384"/>
    <d v="2011-01-17T00:00:00"/>
    <s v="Winter"/>
    <s v="January"/>
    <x v="11"/>
    <b v="1"/>
    <s v="Monday"/>
    <s v="Mist"/>
    <n v="0.16"/>
    <n v="0.1515"/>
    <n v="0.55000000000000004"/>
    <n v="0.19400000000000001"/>
    <n v="9"/>
    <n v="55"/>
    <n v="64"/>
  </r>
  <r>
    <n v="385"/>
    <d v="2011-01-17T00:00:00"/>
    <s v="Winter"/>
    <s v="January"/>
    <x v="12"/>
    <b v="1"/>
    <s v="Monday"/>
    <s v="Mist"/>
    <n v="0.18"/>
    <n v="0.19700000000000001"/>
    <n v="0.47"/>
    <n v="0.1343"/>
    <n v="10"/>
    <n v="70"/>
    <n v="80"/>
  </r>
  <r>
    <n v="386"/>
    <d v="2011-01-17T00:00:00"/>
    <s v="Winter"/>
    <s v="January"/>
    <x v="13"/>
    <b v="1"/>
    <s v="Monday"/>
    <s v="Mist"/>
    <n v="0.18"/>
    <n v="0.19700000000000001"/>
    <n v="0.47"/>
    <n v="0.1343"/>
    <n v="13"/>
    <n v="80"/>
    <n v="93"/>
  </r>
  <r>
    <n v="387"/>
    <d v="2011-01-17T00:00:00"/>
    <s v="Winter"/>
    <s v="January"/>
    <x v="14"/>
    <b v="1"/>
    <s v="Monday"/>
    <s v="Mist"/>
    <n v="0.18"/>
    <n v="0.21210000000000001"/>
    <n v="0.43"/>
    <n v="0.1045"/>
    <n v="12"/>
    <n v="74"/>
    <n v="86"/>
  </r>
  <r>
    <n v="388"/>
    <d v="2011-01-17T00:00:00"/>
    <s v="Winter"/>
    <s v="January"/>
    <x v="15"/>
    <b v="1"/>
    <s v="Monday"/>
    <s v="Mist"/>
    <n v="0.2"/>
    <n v="0.21210000000000001"/>
    <n v="0.47"/>
    <n v="0.16420000000000001"/>
    <n v="21"/>
    <n v="72"/>
    <n v="93"/>
  </r>
  <r>
    <n v="389"/>
    <d v="2011-01-17T00:00:00"/>
    <s v="Winter"/>
    <s v="January"/>
    <x v="16"/>
    <b v="1"/>
    <s v="Monday"/>
    <s v="Mist"/>
    <n v="0.2"/>
    <n v="0.21210000000000001"/>
    <n v="0.47"/>
    <n v="0.16420000000000001"/>
    <n v="6"/>
    <n v="76"/>
    <n v="82"/>
  </r>
  <r>
    <n v="390"/>
    <d v="2011-01-17T00:00:00"/>
    <s v="Winter"/>
    <s v="January"/>
    <x v="17"/>
    <b v="1"/>
    <s v="Monday"/>
    <s v="Clear"/>
    <n v="0.2"/>
    <n v="0.19700000000000001"/>
    <n v="0.51"/>
    <n v="0.19400000000000001"/>
    <n v="4"/>
    <n v="67"/>
    <n v="71"/>
  </r>
  <r>
    <n v="391"/>
    <d v="2011-01-17T00:00:00"/>
    <s v="Winter"/>
    <s v="January"/>
    <x v="18"/>
    <b v="1"/>
    <s v="Monday"/>
    <s v="Mist"/>
    <n v="0.18"/>
    <n v="0.16669999999999999"/>
    <n v="0.55000000000000004"/>
    <n v="0.25369999999999998"/>
    <n v="7"/>
    <n v="85"/>
    <n v="92"/>
  </r>
  <r>
    <n v="392"/>
    <d v="2011-01-17T00:00:00"/>
    <s v="Winter"/>
    <s v="January"/>
    <x v="19"/>
    <b v="1"/>
    <s v="Monday"/>
    <s v="Light Snow"/>
    <n v="0.18"/>
    <n v="0.18179999999999999"/>
    <n v="0.59"/>
    <n v="0.19400000000000001"/>
    <n v="2"/>
    <n v="58"/>
    <n v="60"/>
  </r>
  <r>
    <n v="393"/>
    <d v="2011-01-17T00:00:00"/>
    <s v="Winter"/>
    <s v="January"/>
    <x v="20"/>
    <b v="1"/>
    <s v="Monday"/>
    <s v="Light Snow"/>
    <n v="0.16"/>
    <n v="0.1515"/>
    <n v="0.8"/>
    <n v="0.19400000000000001"/>
    <n v="4"/>
    <n v="29"/>
    <n v="33"/>
  </r>
  <r>
    <n v="394"/>
    <d v="2011-01-17T00:00:00"/>
    <s v="Winter"/>
    <s v="January"/>
    <x v="21"/>
    <b v="1"/>
    <s v="Monday"/>
    <s v="Light Snow"/>
    <n v="0.16"/>
    <n v="0.1515"/>
    <n v="0.8"/>
    <n v="0.19400000000000001"/>
    <n v="3"/>
    <n v="24"/>
    <n v="27"/>
  </r>
  <r>
    <n v="395"/>
    <d v="2011-01-17T00:00:00"/>
    <s v="Winter"/>
    <s v="January"/>
    <x v="22"/>
    <b v="1"/>
    <s v="Monday"/>
    <s v="Light Snow"/>
    <n v="0.14000000000000001"/>
    <n v="0.1212"/>
    <n v="0.93"/>
    <n v="0.25369999999999998"/>
    <n v="0"/>
    <n v="13"/>
    <n v="13"/>
  </r>
  <r>
    <n v="396"/>
    <d v="2011-01-17T00:00:00"/>
    <s v="Winter"/>
    <s v="January"/>
    <x v="23"/>
    <b v="1"/>
    <s v="Monday"/>
    <s v="Light Snow"/>
    <n v="0.16"/>
    <n v="0.13639999999999999"/>
    <n v="0.86"/>
    <n v="0.28360000000000002"/>
    <n v="1"/>
    <n v="3"/>
    <n v="4"/>
  </r>
  <r>
    <n v="397"/>
    <d v="2011-01-18T00:00:00"/>
    <s v="Winter"/>
    <s v="January"/>
    <x v="12"/>
    <b v="0"/>
    <s v="Tuesday"/>
    <s v="Mist"/>
    <n v="0.2"/>
    <n v="0.18179999999999999"/>
    <n v="0.86"/>
    <n v="0.32840000000000003"/>
    <n v="0"/>
    <n v="3"/>
    <n v="3"/>
  </r>
  <r>
    <n v="398"/>
    <d v="2011-01-18T00:00:00"/>
    <s v="Winter"/>
    <s v="January"/>
    <x v="13"/>
    <b v="0"/>
    <s v="Tuesday"/>
    <s v="Mist"/>
    <n v="0.2"/>
    <n v="0.19700000000000001"/>
    <n v="0.86"/>
    <n v="0.22389999999999999"/>
    <n v="0"/>
    <n v="22"/>
    <n v="22"/>
  </r>
  <r>
    <n v="399"/>
    <d v="2011-01-18T00:00:00"/>
    <s v="Winter"/>
    <s v="January"/>
    <x v="14"/>
    <b v="0"/>
    <s v="Tuesday"/>
    <s v="Mist"/>
    <n v="0.22"/>
    <n v="0.2273"/>
    <n v="0.8"/>
    <n v="0.16420000000000001"/>
    <n v="2"/>
    <n v="26"/>
    <n v="28"/>
  </r>
  <r>
    <n v="400"/>
    <d v="2011-01-18T00:00:00"/>
    <s v="Winter"/>
    <s v="January"/>
    <x v="15"/>
    <b v="0"/>
    <s v="Tuesday"/>
    <s v="Mist"/>
    <n v="0.22"/>
    <n v="0.2273"/>
    <n v="0.87"/>
    <n v="0.16420000000000001"/>
    <n v="3"/>
    <n v="32"/>
    <n v="35"/>
  </r>
  <r>
    <n v="401"/>
    <d v="2011-01-18T00:00:00"/>
    <s v="Winter"/>
    <s v="January"/>
    <x v="16"/>
    <b v="0"/>
    <s v="Tuesday"/>
    <s v="Mist"/>
    <n v="0.22"/>
    <n v="0.2273"/>
    <n v="0.87"/>
    <n v="0.19400000000000001"/>
    <n v="0"/>
    <n v="61"/>
    <n v="61"/>
  </r>
  <r>
    <n v="402"/>
    <d v="2011-01-18T00:00:00"/>
    <s v="Winter"/>
    <s v="January"/>
    <x v="17"/>
    <b v="0"/>
    <s v="Tuesday"/>
    <s v="Mist"/>
    <n v="0.22"/>
    <n v="0.2273"/>
    <n v="0.82"/>
    <n v="0.19400000000000001"/>
    <n v="1"/>
    <n v="124"/>
    <n v="125"/>
  </r>
  <r>
    <n v="403"/>
    <d v="2011-01-18T00:00:00"/>
    <s v="Winter"/>
    <s v="January"/>
    <x v="18"/>
    <b v="0"/>
    <s v="Tuesday"/>
    <s v="Mist"/>
    <n v="0.22"/>
    <n v="0.2273"/>
    <n v="0.8"/>
    <n v="0.16420000000000001"/>
    <n v="1"/>
    <n v="132"/>
    <n v="133"/>
  </r>
  <r>
    <n v="404"/>
    <d v="2011-01-18T00:00:00"/>
    <s v="Winter"/>
    <s v="January"/>
    <x v="19"/>
    <b v="0"/>
    <s v="Tuesday"/>
    <s v="Mist"/>
    <n v="0.22"/>
    <n v="0.2273"/>
    <n v="0.8"/>
    <n v="0.1343"/>
    <n v="1"/>
    <n v="98"/>
    <n v="99"/>
  </r>
  <r>
    <n v="405"/>
    <d v="2011-01-18T00:00:00"/>
    <s v="Winter"/>
    <s v="January"/>
    <x v="20"/>
    <b v="0"/>
    <s v="Tuesday"/>
    <s v="Mist"/>
    <n v="0.22"/>
    <n v="0.2727"/>
    <n v="0.87"/>
    <n v="0"/>
    <n v="0"/>
    <n v="83"/>
    <n v="83"/>
  </r>
  <r>
    <n v="406"/>
    <d v="2011-01-18T00:00:00"/>
    <s v="Winter"/>
    <s v="January"/>
    <x v="21"/>
    <b v="0"/>
    <s v="Tuesday"/>
    <s v="Mist"/>
    <n v="0.22"/>
    <n v="0.2424"/>
    <n v="0.93"/>
    <n v="0.1045"/>
    <n v="0"/>
    <n v="41"/>
    <n v="41"/>
  </r>
  <r>
    <n v="407"/>
    <d v="2011-01-18T00:00:00"/>
    <s v="Winter"/>
    <s v="January"/>
    <x v="22"/>
    <b v="0"/>
    <s v="Tuesday"/>
    <s v="Mist"/>
    <n v="0.22"/>
    <n v="0.2576"/>
    <n v="0.93"/>
    <n v="8.9599999999999999E-2"/>
    <n v="0"/>
    <n v="33"/>
    <n v="33"/>
  </r>
  <r>
    <n v="408"/>
    <d v="2011-01-18T00:00:00"/>
    <s v="Winter"/>
    <s v="January"/>
    <x v="23"/>
    <b v="0"/>
    <s v="Tuesday"/>
    <s v="Mist"/>
    <n v="0.22"/>
    <n v="0.2727"/>
    <n v="0.93"/>
    <n v="0"/>
    <n v="1"/>
    <n v="19"/>
    <n v="20"/>
  </r>
  <r>
    <n v="409"/>
    <d v="2011-01-19T00:00:00"/>
    <s v="Winter"/>
    <s v="January"/>
    <x v="0"/>
    <b v="0"/>
    <s v="Wednesday"/>
    <s v="Mist"/>
    <n v="0.22"/>
    <n v="0.2727"/>
    <n v="0.93"/>
    <n v="0"/>
    <n v="0"/>
    <n v="3"/>
    <n v="3"/>
  </r>
  <r>
    <n v="410"/>
    <d v="2011-01-19T00:00:00"/>
    <s v="Winter"/>
    <s v="January"/>
    <x v="1"/>
    <b v="0"/>
    <s v="Wednesday"/>
    <s v="Light Snow"/>
    <n v="0.22"/>
    <n v="0.2273"/>
    <n v="0.93"/>
    <n v="0.1343"/>
    <n v="1"/>
    <n v="6"/>
    <n v="7"/>
  </r>
  <r>
    <n v="411"/>
    <d v="2011-01-19T00:00:00"/>
    <s v="Winter"/>
    <s v="January"/>
    <x v="2"/>
    <b v="0"/>
    <s v="Wednesday"/>
    <s v="Light Snow"/>
    <n v="0.22"/>
    <n v="0.2273"/>
    <n v="0.93"/>
    <n v="0.1343"/>
    <n v="0"/>
    <n v="3"/>
    <n v="3"/>
  </r>
  <r>
    <n v="412"/>
    <d v="2011-01-19T00:00:00"/>
    <s v="Winter"/>
    <s v="January"/>
    <x v="4"/>
    <b v="0"/>
    <s v="Wednesday"/>
    <s v="Light Snow"/>
    <n v="0.22"/>
    <n v="0.2273"/>
    <n v="0.93"/>
    <n v="0.1343"/>
    <n v="1"/>
    <n v="1"/>
    <n v="2"/>
  </r>
  <r>
    <n v="413"/>
    <d v="2011-01-19T00:00:00"/>
    <s v="Winter"/>
    <s v="January"/>
    <x v="5"/>
    <b v="0"/>
    <s v="Wednesday"/>
    <s v="Mist"/>
    <n v="0.22"/>
    <n v="0.2576"/>
    <n v="0.93"/>
    <n v="8.9599999999999999E-2"/>
    <n v="0"/>
    <n v="7"/>
    <n v="7"/>
  </r>
  <r>
    <n v="414"/>
    <d v="2011-01-19T00:00:00"/>
    <s v="Winter"/>
    <s v="January"/>
    <x v="6"/>
    <b v="0"/>
    <s v="Wednesday"/>
    <s v="Mist"/>
    <n v="0.22"/>
    <n v="0.2576"/>
    <n v="0.93"/>
    <n v="8.9599999999999999E-2"/>
    <n v="0"/>
    <n v="32"/>
    <n v="32"/>
  </r>
  <r>
    <n v="415"/>
    <d v="2011-01-19T00:00:00"/>
    <s v="Winter"/>
    <s v="January"/>
    <x v="7"/>
    <b v="0"/>
    <s v="Wednesday"/>
    <s v="Mist"/>
    <n v="0.24"/>
    <n v="0.2576"/>
    <n v="0.92"/>
    <n v="0.1045"/>
    <n v="1"/>
    <n v="89"/>
    <n v="90"/>
  </r>
  <r>
    <n v="416"/>
    <d v="2011-01-19T00:00:00"/>
    <s v="Winter"/>
    <s v="January"/>
    <x v="8"/>
    <b v="0"/>
    <s v="Wednesday"/>
    <s v="Mist"/>
    <n v="0.24"/>
    <n v="0.2576"/>
    <n v="0.93"/>
    <n v="0.1045"/>
    <n v="1"/>
    <n v="196"/>
    <n v="197"/>
  </r>
  <r>
    <n v="417"/>
    <d v="2011-01-19T00:00:00"/>
    <s v="Winter"/>
    <s v="January"/>
    <x v="9"/>
    <b v="0"/>
    <s v="Wednesday"/>
    <s v="Mist"/>
    <n v="0.24"/>
    <n v="0.2576"/>
    <n v="0.93"/>
    <n v="0.1045"/>
    <n v="2"/>
    <n v="107"/>
    <n v="109"/>
  </r>
  <r>
    <n v="418"/>
    <d v="2011-01-19T00:00:00"/>
    <s v="Winter"/>
    <s v="January"/>
    <x v="10"/>
    <b v="0"/>
    <s v="Wednesday"/>
    <s v="Mist"/>
    <n v="0.26"/>
    <n v="0.2727"/>
    <n v="0.93"/>
    <n v="0.1343"/>
    <n v="1"/>
    <n v="46"/>
    <n v="47"/>
  </r>
  <r>
    <n v="419"/>
    <d v="2011-01-19T00:00:00"/>
    <s v="Winter"/>
    <s v="January"/>
    <x v="11"/>
    <b v="0"/>
    <s v="Wednesday"/>
    <s v="Mist"/>
    <n v="0.28000000000000003"/>
    <n v="0.30299999999999999"/>
    <n v="0.87"/>
    <n v="8.9599999999999999E-2"/>
    <n v="5"/>
    <n v="47"/>
    <n v="52"/>
  </r>
  <r>
    <n v="420"/>
    <d v="2011-01-19T00:00:00"/>
    <s v="Winter"/>
    <s v="January"/>
    <x v="12"/>
    <b v="0"/>
    <s v="Wednesday"/>
    <s v="Mist"/>
    <n v="0.3"/>
    <n v="0.31819999999999998"/>
    <n v="0.81"/>
    <n v="8.9599999999999999E-2"/>
    <n v="5"/>
    <n v="65"/>
    <n v="70"/>
  </r>
  <r>
    <n v="421"/>
    <d v="2011-01-19T00:00:00"/>
    <s v="Winter"/>
    <s v="January"/>
    <x v="13"/>
    <b v="0"/>
    <s v="Wednesday"/>
    <s v="Clear"/>
    <n v="0.4"/>
    <n v="0.40910000000000002"/>
    <n v="0.62"/>
    <n v="0.28360000000000002"/>
    <n v="11"/>
    <n v="67"/>
    <n v="78"/>
  </r>
  <r>
    <n v="422"/>
    <d v="2011-01-19T00:00:00"/>
    <s v="Winter"/>
    <s v="January"/>
    <x v="14"/>
    <b v="0"/>
    <s v="Wednesday"/>
    <s v="Clear"/>
    <n v="0.4"/>
    <n v="0.40910000000000002"/>
    <n v="0.57999999999999996"/>
    <n v="0.25369999999999998"/>
    <n v="7"/>
    <n v="68"/>
    <n v="75"/>
  </r>
  <r>
    <n v="423"/>
    <d v="2011-01-19T00:00:00"/>
    <s v="Winter"/>
    <s v="January"/>
    <x v="15"/>
    <b v="0"/>
    <s v="Wednesday"/>
    <s v="Clear"/>
    <n v="0.4"/>
    <n v="0.40910000000000002"/>
    <n v="0.54"/>
    <n v="0.28360000000000002"/>
    <n v="4"/>
    <n v="78"/>
    <n v="82"/>
  </r>
  <r>
    <n v="424"/>
    <d v="2011-01-19T00:00:00"/>
    <s v="Winter"/>
    <s v="January"/>
    <x v="16"/>
    <b v="0"/>
    <s v="Wednesday"/>
    <s v="Clear"/>
    <n v="0.38"/>
    <n v="0.39389999999999997"/>
    <n v="0.57999999999999996"/>
    <n v="0.3881"/>
    <n v="10"/>
    <n v="94"/>
    <n v="104"/>
  </r>
  <r>
    <n v="425"/>
    <d v="2011-01-19T00:00:00"/>
    <s v="Winter"/>
    <s v="January"/>
    <x v="17"/>
    <b v="0"/>
    <s v="Wednesday"/>
    <s v="Clear"/>
    <n v="0.36"/>
    <n v="0.33329999999999999"/>
    <n v="0.56999999999999995"/>
    <n v="0.32840000000000003"/>
    <n v="7"/>
    <n v="190"/>
    <n v="197"/>
  </r>
  <r>
    <n v="426"/>
    <d v="2011-01-19T00:00:00"/>
    <s v="Winter"/>
    <s v="January"/>
    <x v="18"/>
    <b v="0"/>
    <s v="Wednesday"/>
    <s v="Clear"/>
    <n v="0.34"/>
    <n v="0.31819999999999998"/>
    <n v="0.61"/>
    <n v="0.28360000000000002"/>
    <n v="5"/>
    <n v="156"/>
    <n v="161"/>
  </r>
  <r>
    <n v="427"/>
    <d v="2011-01-19T00:00:00"/>
    <s v="Winter"/>
    <s v="January"/>
    <x v="19"/>
    <b v="0"/>
    <s v="Wednesday"/>
    <s v="Clear"/>
    <n v="0.32"/>
    <n v="0.28789999999999999"/>
    <n v="0.56999999999999995"/>
    <n v="0.41789999999999999"/>
    <n v="4"/>
    <n v="108"/>
    <n v="112"/>
  </r>
  <r>
    <n v="428"/>
    <d v="2011-01-19T00:00:00"/>
    <s v="Winter"/>
    <s v="January"/>
    <x v="20"/>
    <b v="0"/>
    <s v="Wednesday"/>
    <s v="Clear"/>
    <n v="0.32"/>
    <n v="0.30299999999999999"/>
    <n v="0.49"/>
    <n v="0.29849999999999999"/>
    <n v="2"/>
    <n v="74"/>
    <n v="76"/>
  </r>
  <r>
    <n v="429"/>
    <d v="2011-01-19T00:00:00"/>
    <s v="Winter"/>
    <s v="January"/>
    <x v="21"/>
    <b v="0"/>
    <s v="Wednesday"/>
    <s v="Clear"/>
    <n v="0.32"/>
    <n v="0.28789999999999999"/>
    <n v="0.49"/>
    <n v="0.41789999999999999"/>
    <n v="4"/>
    <n v="55"/>
    <n v="59"/>
  </r>
  <r>
    <n v="430"/>
    <d v="2011-01-19T00:00:00"/>
    <s v="Winter"/>
    <s v="January"/>
    <x v="22"/>
    <b v="0"/>
    <s v="Wednesday"/>
    <s v="Clear"/>
    <n v="0.3"/>
    <n v="0.30299999999999999"/>
    <n v="0.52"/>
    <n v="0.16420000000000001"/>
    <n v="6"/>
    <n v="53"/>
    <n v="59"/>
  </r>
  <r>
    <n v="431"/>
    <d v="2011-01-19T00:00:00"/>
    <s v="Winter"/>
    <s v="January"/>
    <x v="23"/>
    <b v="0"/>
    <s v="Wednesday"/>
    <s v="Clear"/>
    <n v="0.3"/>
    <n v="0.2727"/>
    <n v="0.52"/>
    <n v="0.4627"/>
    <n v="1"/>
    <n v="27"/>
    <n v="28"/>
  </r>
  <r>
    <n v="432"/>
    <d v="2011-01-20T00:00:00"/>
    <s v="Winter"/>
    <s v="January"/>
    <x v="0"/>
    <b v="0"/>
    <s v="Thursday"/>
    <s v="Clear"/>
    <n v="0.26"/>
    <n v="0.2273"/>
    <n v="0.56000000000000005"/>
    <n v="0.3881"/>
    <n v="5"/>
    <n v="8"/>
    <n v="13"/>
  </r>
  <r>
    <n v="433"/>
    <d v="2011-01-20T00:00:00"/>
    <s v="Winter"/>
    <s v="January"/>
    <x v="1"/>
    <b v="0"/>
    <s v="Thursday"/>
    <s v="Clear"/>
    <n v="0.26"/>
    <n v="0.2727"/>
    <n v="0.56000000000000005"/>
    <n v="0"/>
    <n v="2"/>
    <n v="3"/>
    <n v="5"/>
  </r>
  <r>
    <n v="434"/>
    <d v="2011-01-20T00:00:00"/>
    <s v="Winter"/>
    <s v="January"/>
    <x v="2"/>
    <b v="0"/>
    <s v="Thursday"/>
    <s v="Clear"/>
    <n v="0.26"/>
    <n v="0.2727"/>
    <n v="0.56000000000000005"/>
    <n v="0"/>
    <n v="0"/>
    <n v="2"/>
    <n v="2"/>
  </r>
  <r>
    <n v="435"/>
    <d v="2011-01-20T00:00:00"/>
    <s v="Winter"/>
    <s v="January"/>
    <x v="3"/>
    <b v="0"/>
    <s v="Thursday"/>
    <s v="Clear"/>
    <n v="0.26"/>
    <n v="0.2576"/>
    <n v="0.56000000000000005"/>
    <n v="0.16420000000000001"/>
    <n v="0"/>
    <n v="1"/>
    <n v="1"/>
  </r>
  <r>
    <n v="436"/>
    <d v="2011-01-20T00:00:00"/>
    <s v="Winter"/>
    <s v="January"/>
    <x v="4"/>
    <b v="0"/>
    <s v="Thursday"/>
    <s v="Clear"/>
    <n v="0.26"/>
    <n v="0.2576"/>
    <n v="0.56000000000000005"/>
    <n v="0.16420000000000001"/>
    <n v="0"/>
    <n v="1"/>
    <n v="1"/>
  </r>
  <r>
    <n v="437"/>
    <d v="2011-01-20T00:00:00"/>
    <s v="Winter"/>
    <s v="January"/>
    <x v="5"/>
    <b v="0"/>
    <s v="Thursday"/>
    <s v="Clear"/>
    <n v="0.24"/>
    <n v="0.2273"/>
    <n v="0.6"/>
    <n v="0.22389999999999999"/>
    <n v="0"/>
    <n v="6"/>
    <n v="6"/>
  </r>
  <r>
    <n v="438"/>
    <d v="2011-01-20T00:00:00"/>
    <s v="Winter"/>
    <s v="January"/>
    <x v="6"/>
    <b v="0"/>
    <s v="Thursday"/>
    <s v="Clear"/>
    <n v="0.22"/>
    <n v="0.21210000000000001"/>
    <n v="0.6"/>
    <n v="0.22389999999999999"/>
    <n v="0"/>
    <n v="35"/>
    <n v="35"/>
  </r>
  <r>
    <n v="439"/>
    <d v="2011-01-20T00:00:00"/>
    <s v="Winter"/>
    <s v="January"/>
    <x v="7"/>
    <b v="0"/>
    <s v="Thursday"/>
    <s v="Clear"/>
    <n v="0.22"/>
    <n v="0.21210000000000001"/>
    <n v="0.55000000000000004"/>
    <n v="0.22389999999999999"/>
    <n v="1"/>
    <n v="100"/>
    <n v="101"/>
  </r>
  <r>
    <n v="440"/>
    <d v="2011-01-20T00:00:00"/>
    <s v="Winter"/>
    <s v="January"/>
    <x v="8"/>
    <b v="0"/>
    <s v="Thursday"/>
    <s v="Clear"/>
    <n v="0.22"/>
    <n v="0.21210000000000001"/>
    <n v="0.55000000000000004"/>
    <n v="0.28360000000000002"/>
    <n v="2"/>
    <n v="247"/>
    <n v="249"/>
  </r>
  <r>
    <n v="441"/>
    <d v="2011-01-20T00:00:00"/>
    <s v="Winter"/>
    <s v="January"/>
    <x v="9"/>
    <b v="0"/>
    <s v="Thursday"/>
    <s v="Mist"/>
    <n v="0.24"/>
    <n v="0.2273"/>
    <n v="0.52"/>
    <n v="0.22389999999999999"/>
    <n v="3"/>
    <n v="140"/>
    <n v="143"/>
  </r>
  <r>
    <n v="442"/>
    <d v="2011-01-20T00:00:00"/>
    <s v="Winter"/>
    <s v="January"/>
    <x v="10"/>
    <b v="0"/>
    <s v="Thursday"/>
    <s v="Clear"/>
    <n v="0.26"/>
    <n v="0.2273"/>
    <n v="0.48"/>
    <n v="0.29849999999999999"/>
    <n v="1"/>
    <n v="56"/>
    <n v="57"/>
  </r>
  <r>
    <n v="443"/>
    <d v="2011-01-20T00:00:00"/>
    <s v="Winter"/>
    <s v="January"/>
    <x v="11"/>
    <b v="0"/>
    <s v="Thursday"/>
    <s v="Mist"/>
    <n v="0.28000000000000003"/>
    <n v="0.2727"/>
    <n v="0.45"/>
    <n v="0.16420000000000001"/>
    <n v="5"/>
    <n v="63"/>
    <n v="68"/>
  </r>
  <r>
    <n v="444"/>
    <d v="2011-01-20T00:00:00"/>
    <s v="Winter"/>
    <s v="January"/>
    <x v="12"/>
    <b v="0"/>
    <s v="Thursday"/>
    <s v="Mist"/>
    <n v="0.3"/>
    <n v="0.33329999999999999"/>
    <n v="0.42"/>
    <n v="0"/>
    <n v="7"/>
    <n v="77"/>
    <n v="84"/>
  </r>
  <r>
    <n v="445"/>
    <d v="2011-01-20T00:00:00"/>
    <s v="Winter"/>
    <s v="January"/>
    <x v="13"/>
    <b v="0"/>
    <s v="Thursday"/>
    <s v="Mist"/>
    <n v="0.28000000000000003"/>
    <n v="0.28789999999999999"/>
    <n v="0.45"/>
    <n v="0.1045"/>
    <n v="12"/>
    <n v="86"/>
    <n v="98"/>
  </r>
  <r>
    <n v="446"/>
    <d v="2011-01-20T00:00:00"/>
    <s v="Winter"/>
    <s v="January"/>
    <x v="14"/>
    <b v="0"/>
    <s v="Thursday"/>
    <s v="Mist"/>
    <n v="0.3"/>
    <n v="0.30299999999999999"/>
    <n v="0.45"/>
    <n v="0.1343"/>
    <n v="6"/>
    <n v="75"/>
    <n v="81"/>
  </r>
  <r>
    <n v="447"/>
    <d v="2011-01-20T00:00:00"/>
    <s v="Winter"/>
    <s v="January"/>
    <x v="15"/>
    <b v="0"/>
    <s v="Thursday"/>
    <s v="Mist"/>
    <n v="0.32"/>
    <n v="0.31819999999999998"/>
    <n v="0.45"/>
    <n v="0.19400000000000001"/>
    <n v="8"/>
    <n v="62"/>
    <n v="70"/>
  </r>
  <r>
    <n v="448"/>
    <d v="2011-01-20T00:00:00"/>
    <s v="Winter"/>
    <s v="January"/>
    <x v="16"/>
    <b v="0"/>
    <s v="Thursday"/>
    <s v="Mist"/>
    <n v="0.3"/>
    <n v="0.30299999999999999"/>
    <n v="0.49"/>
    <n v="0.1343"/>
    <n v="8"/>
    <n v="83"/>
    <n v="91"/>
  </r>
  <r>
    <n v="449"/>
    <d v="2011-01-20T00:00:00"/>
    <s v="Winter"/>
    <s v="January"/>
    <x v="17"/>
    <b v="0"/>
    <s v="Thursday"/>
    <s v="Mist"/>
    <n v="0.3"/>
    <n v="0.31819999999999998"/>
    <n v="0.49"/>
    <n v="0.1045"/>
    <n v="8"/>
    <n v="207"/>
    <n v="215"/>
  </r>
  <r>
    <n v="450"/>
    <d v="2011-01-20T00:00:00"/>
    <s v="Winter"/>
    <s v="January"/>
    <x v="18"/>
    <b v="0"/>
    <s v="Thursday"/>
    <s v="Mist"/>
    <n v="0.26"/>
    <n v="0.2576"/>
    <n v="0.56000000000000005"/>
    <n v="0.19400000000000001"/>
    <n v="1"/>
    <n v="184"/>
    <n v="185"/>
  </r>
  <r>
    <n v="451"/>
    <d v="2011-01-20T00:00:00"/>
    <s v="Winter"/>
    <s v="January"/>
    <x v="19"/>
    <b v="0"/>
    <s v="Thursday"/>
    <s v="Clear"/>
    <n v="0.26"/>
    <n v="0.2273"/>
    <n v="0.56000000000000005"/>
    <n v="0.32840000000000003"/>
    <n v="6"/>
    <n v="146"/>
    <n v="152"/>
  </r>
  <r>
    <n v="452"/>
    <d v="2011-01-20T00:00:00"/>
    <s v="Winter"/>
    <s v="January"/>
    <x v="20"/>
    <b v="0"/>
    <s v="Thursday"/>
    <s v="Mist"/>
    <n v="0.26"/>
    <n v="0.2424"/>
    <n v="0.6"/>
    <n v="0.28360000000000002"/>
    <n v="2"/>
    <n v="124"/>
    <n v="126"/>
  </r>
  <r>
    <n v="453"/>
    <d v="2011-01-20T00:00:00"/>
    <s v="Winter"/>
    <s v="January"/>
    <x v="21"/>
    <b v="0"/>
    <s v="Thursday"/>
    <s v="Mist"/>
    <n v="0.24"/>
    <n v="0.2273"/>
    <n v="0.6"/>
    <n v="0.25369999999999998"/>
    <n v="3"/>
    <n v="54"/>
    <n v="57"/>
  </r>
  <r>
    <n v="454"/>
    <d v="2011-01-20T00:00:00"/>
    <s v="Winter"/>
    <s v="January"/>
    <x v="22"/>
    <b v="0"/>
    <s v="Thursday"/>
    <s v="Mist"/>
    <n v="0.24"/>
    <n v="0.21210000000000001"/>
    <n v="0.65"/>
    <n v="0.28360000000000002"/>
    <n v="0"/>
    <n v="56"/>
    <n v="56"/>
  </r>
  <r>
    <n v="455"/>
    <d v="2011-01-20T00:00:00"/>
    <s v="Winter"/>
    <s v="January"/>
    <x v="23"/>
    <b v="0"/>
    <s v="Thursday"/>
    <s v="Mist"/>
    <n v="0.24"/>
    <n v="0.21210000000000001"/>
    <n v="0.65"/>
    <n v="0.32840000000000003"/>
    <n v="3"/>
    <n v="28"/>
    <n v="31"/>
  </r>
  <r>
    <n v="456"/>
    <d v="2011-01-21T00:00:00"/>
    <s v="Winter"/>
    <s v="January"/>
    <x v="0"/>
    <b v="0"/>
    <s v="Friday"/>
    <s v="Mist"/>
    <n v="0.24"/>
    <n v="0.2273"/>
    <n v="0.7"/>
    <n v="0.25369999999999998"/>
    <n v="1"/>
    <n v="20"/>
    <n v="21"/>
  </r>
  <r>
    <n v="457"/>
    <d v="2011-01-21T00:00:00"/>
    <s v="Winter"/>
    <s v="January"/>
    <x v="1"/>
    <b v="0"/>
    <s v="Friday"/>
    <s v="Mist"/>
    <n v="0.24"/>
    <n v="0.2273"/>
    <n v="0.7"/>
    <n v="0.25369999999999998"/>
    <n v="0"/>
    <n v="6"/>
    <n v="6"/>
  </r>
  <r>
    <n v="458"/>
    <d v="2011-01-21T00:00:00"/>
    <s v="Winter"/>
    <s v="January"/>
    <x v="2"/>
    <b v="0"/>
    <s v="Friday"/>
    <s v="Light Snow"/>
    <n v="0.24"/>
    <n v="0.2424"/>
    <n v="0.75"/>
    <n v="0.16420000000000001"/>
    <n v="0"/>
    <n v="2"/>
    <n v="2"/>
  </r>
  <r>
    <n v="459"/>
    <d v="2011-01-21T00:00:00"/>
    <s v="Winter"/>
    <s v="January"/>
    <x v="3"/>
    <b v="0"/>
    <s v="Friday"/>
    <s v="Light Snow"/>
    <n v="0.22"/>
    <n v="0.21210000000000001"/>
    <n v="0.8"/>
    <n v="0.29849999999999999"/>
    <n v="0"/>
    <n v="1"/>
    <n v="1"/>
  </r>
  <r>
    <n v="460"/>
    <d v="2011-01-21T00:00:00"/>
    <s v="Winter"/>
    <s v="January"/>
    <x v="4"/>
    <b v="0"/>
    <s v="Friday"/>
    <s v="Mist"/>
    <n v="0.22"/>
    <n v="0.2576"/>
    <n v="0.87"/>
    <n v="8.9599999999999999E-2"/>
    <n v="0"/>
    <n v="1"/>
    <n v="1"/>
  </r>
  <r>
    <n v="461"/>
    <d v="2011-01-21T00:00:00"/>
    <s v="Winter"/>
    <s v="January"/>
    <x v="5"/>
    <b v="0"/>
    <s v="Friday"/>
    <s v="Clear"/>
    <n v="0.24"/>
    <n v="0.19700000000000001"/>
    <n v="0.6"/>
    <n v="0.41789999999999999"/>
    <n v="1"/>
    <n v="4"/>
    <n v="5"/>
  </r>
  <r>
    <n v="462"/>
    <d v="2011-01-21T00:00:00"/>
    <s v="Winter"/>
    <s v="January"/>
    <x v="6"/>
    <b v="0"/>
    <s v="Friday"/>
    <s v="Clear"/>
    <n v="0.22"/>
    <n v="0.21210000000000001"/>
    <n v="0.55000000000000004"/>
    <n v="0.25369999999999998"/>
    <n v="0"/>
    <n v="27"/>
    <n v="27"/>
  </r>
  <r>
    <n v="463"/>
    <d v="2011-01-21T00:00:00"/>
    <s v="Winter"/>
    <s v="January"/>
    <x v="7"/>
    <b v="0"/>
    <s v="Friday"/>
    <s v="Clear"/>
    <n v="0.2"/>
    <n v="0.18179999999999999"/>
    <n v="0.51"/>
    <n v="0.28360000000000002"/>
    <n v="2"/>
    <n v="66"/>
    <n v="68"/>
  </r>
  <r>
    <n v="464"/>
    <d v="2011-01-21T00:00:00"/>
    <s v="Winter"/>
    <s v="January"/>
    <x v="8"/>
    <b v="0"/>
    <s v="Friday"/>
    <s v="Clear"/>
    <n v="0.2"/>
    <n v="0.18179999999999999"/>
    <n v="0.47"/>
    <n v="0.32840000000000003"/>
    <n v="7"/>
    <n v="210"/>
    <n v="217"/>
  </r>
  <r>
    <n v="465"/>
    <d v="2011-01-21T00:00:00"/>
    <s v="Winter"/>
    <s v="January"/>
    <x v="9"/>
    <b v="0"/>
    <s v="Friday"/>
    <s v="Clear"/>
    <n v="0.2"/>
    <n v="0.18179999999999999"/>
    <n v="0.51"/>
    <n v="0.35820000000000002"/>
    <n v="7"/>
    <n v="159"/>
    <n v="166"/>
  </r>
  <r>
    <n v="466"/>
    <d v="2011-01-21T00:00:00"/>
    <s v="Winter"/>
    <s v="January"/>
    <x v="10"/>
    <b v="0"/>
    <s v="Friday"/>
    <s v="Clear"/>
    <n v="0.2"/>
    <n v="0.16669999999999999"/>
    <n v="0.47"/>
    <n v="0.4627"/>
    <n v="6"/>
    <n v="57"/>
    <n v="63"/>
  </r>
  <r>
    <n v="467"/>
    <d v="2011-01-21T00:00:00"/>
    <s v="Winter"/>
    <s v="January"/>
    <x v="11"/>
    <b v="0"/>
    <s v="Friday"/>
    <s v="Clear"/>
    <n v="0.22"/>
    <n v="0.18179999999999999"/>
    <n v="0.41"/>
    <n v="0.4627"/>
    <n v="6"/>
    <n v="53"/>
    <n v="59"/>
  </r>
  <r>
    <n v="468"/>
    <d v="2011-01-21T00:00:00"/>
    <s v="Winter"/>
    <s v="January"/>
    <x v="12"/>
    <b v="0"/>
    <s v="Friday"/>
    <s v="Clear"/>
    <n v="0.22"/>
    <n v="0.18179999999999999"/>
    <n v="0.27"/>
    <n v="0.58209999999999995"/>
    <n v="11"/>
    <n v="67"/>
    <n v="78"/>
  </r>
  <r>
    <n v="469"/>
    <d v="2011-01-21T00:00:00"/>
    <s v="Winter"/>
    <s v="January"/>
    <x v="13"/>
    <b v="0"/>
    <s v="Friday"/>
    <s v="Clear"/>
    <n v="0.2"/>
    <n v="0.1515"/>
    <n v="0.21"/>
    <n v="0.58209999999999995"/>
    <n v="8"/>
    <n v="65"/>
    <n v="73"/>
  </r>
  <r>
    <n v="470"/>
    <d v="2011-01-21T00:00:00"/>
    <s v="Winter"/>
    <s v="January"/>
    <x v="14"/>
    <b v="0"/>
    <s v="Friday"/>
    <s v="Clear"/>
    <n v="0.2"/>
    <n v="0.1515"/>
    <n v="0.25"/>
    <n v="0.52239999999999998"/>
    <n v="6"/>
    <n v="56"/>
    <n v="62"/>
  </r>
  <r>
    <n v="471"/>
    <d v="2011-01-21T00:00:00"/>
    <s v="Winter"/>
    <s v="January"/>
    <x v="15"/>
    <b v="0"/>
    <s v="Friday"/>
    <s v="Clear"/>
    <n v="0.16"/>
    <n v="0.1212"/>
    <n v="0.26"/>
    <n v="0.44779999999999998"/>
    <n v="4"/>
    <n v="61"/>
    <n v="65"/>
  </r>
  <r>
    <n v="472"/>
    <d v="2011-01-21T00:00:00"/>
    <s v="Winter"/>
    <s v="January"/>
    <x v="16"/>
    <b v="0"/>
    <s v="Friday"/>
    <s v="Clear"/>
    <n v="0.16"/>
    <n v="0.13639999999999999"/>
    <n v="0.26"/>
    <n v="0.35820000000000002"/>
    <n v="0"/>
    <n v="97"/>
    <n v="97"/>
  </r>
  <r>
    <n v="473"/>
    <d v="2011-01-21T00:00:00"/>
    <s v="Winter"/>
    <s v="January"/>
    <x v="17"/>
    <b v="0"/>
    <s v="Friday"/>
    <s v="Clear"/>
    <n v="0.14000000000000001"/>
    <n v="0.1212"/>
    <n v="0.28000000000000003"/>
    <n v="0.35820000000000002"/>
    <n v="10"/>
    <n v="151"/>
    <n v="161"/>
  </r>
  <r>
    <n v="474"/>
    <d v="2011-01-21T00:00:00"/>
    <s v="Winter"/>
    <s v="January"/>
    <x v="18"/>
    <b v="0"/>
    <s v="Friday"/>
    <s v="Clear"/>
    <n v="0.12"/>
    <n v="0.1212"/>
    <n v="0.3"/>
    <n v="0.25369999999999998"/>
    <n v="1"/>
    <n v="119"/>
    <n v="120"/>
  </r>
  <r>
    <n v="475"/>
    <d v="2011-01-21T00:00:00"/>
    <s v="Winter"/>
    <s v="January"/>
    <x v="19"/>
    <b v="0"/>
    <s v="Friday"/>
    <s v="Clear"/>
    <n v="0.12"/>
    <n v="0.1061"/>
    <n v="0.3"/>
    <n v="0.32840000000000003"/>
    <n v="3"/>
    <n v="93"/>
    <n v="96"/>
  </r>
  <r>
    <n v="476"/>
    <d v="2011-01-21T00:00:00"/>
    <s v="Winter"/>
    <s v="January"/>
    <x v="20"/>
    <b v="0"/>
    <s v="Friday"/>
    <s v="Clear"/>
    <n v="0.1"/>
    <n v="7.5800000000000006E-2"/>
    <n v="0.33"/>
    <n v="0.41789999999999999"/>
    <n v="1"/>
    <n v="52"/>
    <n v="53"/>
  </r>
  <r>
    <n v="477"/>
    <d v="2011-01-21T00:00:00"/>
    <s v="Winter"/>
    <s v="January"/>
    <x v="21"/>
    <b v="0"/>
    <s v="Friday"/>
    <s v="Clear"/>
    <n v="0.08"/>
    <n v="7.5800000000000006E-2"/>
    <n v="0.38"/>
    <n v="0.28360000000000002"/>
    <n v="0"/>
    <n v="41"/>
    <n v="41"/>
  </r>
  <r>
    <n v="478"/>
    <d v="2011-01-21T00:00:00"/>
    <s v="Winter"/>
    <s v="January"/>
    <x v="22"/>
    <b v="0"/>
    <s v="Friday"/>
    <s v="Clear"/>
    <n v="0.06"/>
    <n v="3.0300000000000001E-2"/>
    <n v="0.41"/>
    <n v="0.3881"/>
    <n v="1"/>
    <n v="33"/>
    <n v="34"/>
  </r>
  <r>
    <n v="479"/>
    <d v="2011-01-21T00:00:00"/>
    <s v="Winter"/>
    <s v="January"/>
    <x v="23"/>
    <b v="0"/>
    <s v="Friday"/>
    <s v="Clear"/>
    <n v="0.06"/>
    <n v="4.5499999999999999E-2"/>
    <n v="0.38"/>
    <n v="0.32840000000000003"/>
    <n v="0"/>
    <n v="27"/>
    <n v="27"/>
  </r>
  <r>
    <n v="480"/>
    <d v="2011-01-22T00:00:00"/>
    <s v="Winter"/>
    <s v="January"/>
    <x v="0"/>
    <b v="0"/>
    <s v="Saturday"/>
    <s v="Clear"/>
    <n v="0.04"/>
    <n v="3.0300000000000001E-2"/>
    <n v="0.45"/>
    <n v="0.25369999999999998"/>
    <n v="0"/>
    <n v="13"/>
    <n v="13"/>
  </r>
  <r>
    <n v="481"/>
    <d v="2011-01-22T00:00:00"/>
    <s v="Winter"/>
    <s v="January"/>
    <x v="1"/>
    <b v="0"/>
    <s v="Saturday"/>
    <s v="Mist"/>
    <n v="0.04"/>
    <n v="0"/>
    <n v="0.41"/>
    <n v="0.3881"/>
    <n v="3"/>
    <n v="9"/>
    <n v="12"/>
  </r>
  <r>
    <n v="482"/>
    <d v="2011-01-22T00:00:00"/>
    <s v="Winter"/>
    <s v="January"/>
    <x v="2"/>
    <b v="0"/>
    <s v="Saturday"/>
    <s v="Mist"/>
    <n v="0.04"/>
    <n v="3.0300000000000001E-2"/>
    <n v="0.41"/>
    <n v="0.25369999999999998"/>
    <n v="0"/>
    <n v="11"/>
    <n v="11"/>
  </r>
  <r>
    <n v="483"/>
    <d v="2011-01-22T00:00:00"/>
    <s v="Winter"/>
    <s v="January"/>
    <x v="3"/>
    <b v="0"/>
    <s v="Saturday"/>
    <s v="Mist"/>
    <n v="0.04"/>
    <n v="3.0300000000000001E-2"/>
    <n v="0.41"/>
    <n v="0.28360000000000002"/>
    <n v="1"/>
    <n v="6"/>
    <n v="7"/>
  </r>
  <r>
    <n v="484"/>
    <d v="2011-01-22T00:00:00"/>
    <s v="Winter"/>
    <s v="January"/>
    <x v="4"/>
    <b v="0"/>
    <s v="Saturday"/>
    <s v="Mist"/>
    <n v="0.02"/>
    <n v="1.52E-2"/>
    <n v="0.48"/>
    <n v="0.29849999999999999"/>
    <n v="0"/>
    <n v="3"/>
    <n v="3"/>
  </r>
  <r>
    <n v="485"/>
    <d v="2011-01-22T00:00:00"/>
    <s v="Winter"/>
    <s v="January"/>
    <x v="6"/>
    <b v="0"/>
    <s v="Saturday"/>
    <s v="Mist"/>
    <n v="0.02"/>
    <n v="3.0300000000000001E-2"/>
    <n v="0.44"/>
    <n v="0.22389999999999999"/>
    <n v="0"/>
    <n v="2"/>
    <n v="2"/>
  </r>
  <r>
    <n v="486"/>
    <d v="2011-01-22T00:00:00"/>
    <s v="Winter"/>
    <s v="January"/>
    <x v="7"/>
    <b v="0"/>
    <s v="Saturday"/>
    <s v="Clear"/>
    <n v="0.02"/>
    <n v="1.52E-2"/>
    <n v="0.44"/>
    <n v="0.28360000000000002"/>
    <n v="0"/>
    <n v="8"/>
    <n v="8"/>
  </r>
  <r>
    <n v="487"/>
    <d v="2011-01-22T00:00:00"/>
    <s v="Winter"/>
    <s v="January"/>
    <x v="8"/>
    <b v="0"/>
    <s v="Saturday"/>
    <s v="Clear"/>
    <n v="0.02"/>
    <n v="0"/>
    <n v="0.44"/>
    <n v="0.32840000000000003"/>
    <n v="1"/>
    <n v="26"/>
    <n v="27"/>
  </r>
  <r>
    <n v="488"/>
    <d v="2011-01-22T00:00:00"/>
    <s v="Winter"/>
    <s v="January"/>
    <x v="9"/>
    <b v="0"/>
    <s v="Saturday"/>
    <s v="Clear"/>
    <n v="0.04"/>
    <n v="3.0300000000000001E-2"/>
    <n v="0.41"/>
    <n v="0.25369999999999998"/>
    <n v="3"/>
    <n v="37"/>
    <n v="40"/>
  </r>
  <r>
    <n v="489"/>
    <d v="2011-01-22T00:00:00"/>
    <s v="Winter"/>
    <s v="January"/>
    <x v="10"/>
    <b v="0"/>
    <s v="Saturday"/>
    <s v="Mist"/>
    <n v="0.04"/>
    <n v="6.0600000000000001E-2"/>
    <n v="0.41"/>
    <n v="0.16420000000000001"/>
    <n v="3"/>
    <n v="50"/>
    <n v="53"/>
  </r>
  <r>
    <n v="490"/>
    <d v="2011-01-22T00:00:00"/>
    <s v="Winter"/>
    <s v="January"/>
    <x v="11"/>
    <b v="0"/>
    <s v="Saturday"/>
    <s v="Mist"/>
    <n v="0.06"/>
    <n v="7.5800000000000006E-2"/>
    <n v="0.38"/>
    <n v="0.1343"/>
    <n v="4"/>
    <n v="59"/>
    <n v="63"/>
  </r>
  <r>
    <n v="491"/>
    <d v="2011-01-22T00:00:00"/>
    <s v="Winter"/>
    <s v="January"/>
    <x v="12"/>
    <b v="0"/>
    <s v="Saturday"/>
    <s v="Mist"/>
    <n v="0.06"/>
    <n v="0.1061"/>
    <n v="0.38"/>
    <n v="0.1045"/>
    <n v="10"/>
    <n v="60"/>
    <n v="70"/>
  </r>
  <r>
    <n v="492"/>
    <d v="2011-01-22T00:00:00"/>
    <s v="Winter"/>
    <s v="January"/>
    <x v="13"/>
    <b v="0"/>
    <s v="Saturday"/>
    <s v="Clear"/>
    <n v="0.08"/>
    <n v="0.16669999999999999"/>
    <n v="0.35"/>
    <n v="0"/>
    <n v="12"/>
    <n v="72"/>
    <n v="84"/>
  </r>
  <r>
    <n v="493"/>
    <d v="2011-01-22T00:00:00"/>
    <s v="Winter"/>
    <s v="January"/>
    <x v="14"/>
    <b v="0"/>
    <s v="Saturday"/>
    <s v="Clear"/>
    <n v="0.1"/>
    <n v="0.13639999999999999"/>
    <n v="0.33"/>
    <n v="0.1045"/>
    <n v="11"/>
    <n v="64"/>
    <n v="75"/>
  </r>
  <r>
    <n v="494"/>
    <d v="2011-01-22T00:00:00"/>
    <s v="Winter"/>
    <s v="January"/>
    <x v="15"/>
    <b v="0"/>
    <s v="Saturday"/>
    <s v="Clear"/>
    <n v="0.12"/>
    <n v="0.1515"/>
    <n v="0.28000000000000003"/>
    <n v="0"/>
    <n v="10"/>
    <n v="93"/>
    <n v="103"/>
  </r>
  <r>
    <n v="495"/>
    <d v="2011-01-22T00:00:00"/>
    <s v="Winter"/>
    <s v="January"/>
    <x v="16"/>
    <b v="0"/>
    <s v="Saturday"/>
    <s v="Clear"/>
    <n v="0.12"/>
    <n v="0.13639999999999999"/>
    <n v="0.28000000000000003"/>
    <n v="0.19400000000000001"/>
    <n v="11"/>
    <n v="72"/>
    <n v="83"/>
  </r>
  <r>
    <n v="496"/>
    <d v="2011-01-22T00:00:00"/>
    <s v="Winter"/>
    <s v="January"/>
    <x v="17"/>
    <b v="0"/>
    <s v="Saturday"/>
    <s v="Clear"/>
    <n v="0.12"/>
    <n v="0.19700000000000001"/>
    <n v="0.28000000000000003"/>
    <n v="0"/>
    <n v="8"/>
    <n v="59"/>
    <n v="67"/>
  </r>
  <r>
    <n v="497"/>
    <d v="2011-01-22T00:00:00"/>
    <s v="Winter"/>
    <s v="January"/>
    <x v="18"/>
    <b v="0"/>
    <s v="Saturday"/>
    <s v="Clear"/>
    <n v="0.08"/>
    <n v="9.0899999999999995E-2"/>
    <n v="0.35"/>
    <n v="0.19400000000000001"/>
    <n v="0"/>
    <n v="54"/>
    <n v="54"/>
  </r>
  <r>
    <n v="498"/>
    <d v="2011-01-22T00:00:00"/>
    <s v="Winter"/>
    <s v="January"/>
    <x v="19"/>
    <b v="0"/>
    <s v="Saturday"/>
    <s v="Clear"/>
    <n v="0.08"/>
    <n v="0.1061"/>
    <n v="0.35"/>
    <n v="0.1343"/>
    <n v="6"/>
    <n v="53"/>
    <n v="59"/>
  </r>
  <r>
    <n v="499"/>
    <d v="2011-01-22T00:00:00"/>
    <s v="Winter"/>
    <s v="January"/>
    <x v="20"/>
    <b v="0"/>
    <s v="Saturday"/>
    <s v="Clear"/>
    <n v="0.06"/>
    <n v="7.5800000000000006E-2"/>
    <n v="0.45"/>
    <n v="0.16420000000000001"/>
    <n v="1"/>
    <n v="44"/>
    <n v="45"/>
  </r>
  <r>
    <n v="500"/>
    <d v="2011-01-22T00:00:00"/>
    <s v="Winter"/>
    <s v="January"/>
    <x v="21"/>
    <b v="0"/>
    <s v="Saturday"/>
    <s v="Clear"/>
    <n v="0.06"/>
    <n v="0.1061"/>
    <n v="0.41"/>
    <n v="8.9599999999999999E-2"/>
    <n v="0"/>
    <n v="39"/>
    <n v="39"/>
  </r>
  <r>
    <n v="501"/>
    <d v="2011-01-22T00:00:00"/>
    <s v="Winter"/>
    <s v="January"/>
    <x v="22"/>
    <b v="0"/>
    <s v="Saturday"/>
    <s v="Clear"/>
    <n v="0.06"/>
    <n v="0.1515"/>
    <n v="0.49"/>
    <n v="0"/>
    <n v="7"/>
    <n v="23"/>
    <n v="30"/>
  </r>
  <r>
    <n v="502"/>
    <d v="2011-01-22T00:00:00"/>
    <s v="Winter"/>
    <s v="January"/>
    <x v="23"/>
    <b v="0"/>
    <s v="Saturday"/>
    <s v="Clear"/>
    <n v="0.04"/>
    <n v="7.5800000000000006E-2"/>
    <n v="0.56999999999999995"/>
    <n v="0.1045"/>
    <n v="2"/>
    <n v="31"/>
    <n v="33"/>
  </r>
  <r>
    <n v="503"/>
    <d v="2011-01-23T00:00:00"/>
    <s v="Winter"/>
    <s v="January"/>
    <x v="0"/>
    <b v="0"/>
    <s v="Sunday"/>
    <s v="Clear"/>
    <n v="0.04"/>
    <n v="7.5800000000000006E-2"/>
    <n v="0.56999999999999995"/>
    <n v="0.1045"/>
    <n v="2"/>
    <n v="20"/>
    <n v="22"/>
  </r>
  <r>
    <n v="504"/>
    <d v="2011-01-23T00:00:00"/>
    <s v="Winter"/>
    <s v="January"/>
    <x v="1"/>
    <b v="0"/>
    <s v="Sunday"/>
    <s v="Clear"/>
    <n v="0.04"/>
    <n v="7.5800000000000006E-2"/>
    <n v="0.56999999999999995"/>
    <n v="0.1045"/>
    <n v="1"/>
    <n v="12"/>
    <n v="13"/>
  </r>
  <r>
    <n v="505"/>
    <d v="2011-01-23T00:00:00"/>
    <s v="Winter"/>
    <s v="January"/>
    <x v="2"/>
    <b v="0"/>
    <s v="Sunday"/>
    <s v="Clear"/>
    <n v="0.02"/>
    <n v="6.0600000000000001E-2"/>
    <n v="0.62"/>
    <n v="0.1343"/>
    <n v="3"/>
    <n v="15"/>
    <n v="18"/>
  </r>
  <r>
    <n v="506"/>
    <d v="2011-01-23T00:00:00"/>
    <s v="Winter"/>
    <s v="January"/>
    <x v="3"/>
    <b v="0"/>
    <s v="Sunday"/>
    <s v="Clear"/>
    <n v="0.02"/>
    <n v="6.0600000000000001E-2"/>
    <n v="0.62"/>
    <n v="0.1343"/>
    <n v="1"/>
    <n v="4"/>
    <n v="5"/>
  </r>
  <r>
    <n v="507"/>
    <d v="2011-01-23T00:00:00"/>
    <s v="Winter"/>
    <s v="January"/>
    <x v="5"/>
    <b v="0"/>
    <s v="Sunday"/>
    <s v="Mist"/>
    <n v="0.04"/>
    <n v="7.5800000000000006E-2"/>
    <n v="0.56999999999999995"/>
    <n v="0.1045"/>
    <n v="0"/>
    <n v="3"/>
    <n v="3"/>
  </r>
  <r>
    <n v="508"/>
    <d v="2011-01-23T00:00:00"/>
    <s v="Winter"/>
    <s v="January"/>
    <x v="6"/>
    <b v="0"/>
    <s v="Sunday"/>
    <s v="Mist"/>
    <n v="0.04"/>
    <n v="7.5800000000000006E-2"/>
    <n v="0.56999999999999995"/>
    <n v="0.1045"/>
    <n v="0"/>
    <n v="1"/>
    <n v="1"/>
  </r>
  <r>
    <n v="509"/>
    <d v="2011-01-23T00:00:00"/>
    <s v="Winter"/>
    <s v="January"/>
    <x v="7"/>
    <b v="0"/>
    <s v="Sunday"/>
    <s v="Clear"/>
    <n v="0.08"/>
    <n v="0.1061"/>
    <n v="0.57999999999999996"/>
    <n v="0.16420000000000001"/>
    <n v="1"/>
    <n v="1"/>
    <n v="2"/>
  </r>
  <r>
    <n v="510"/>
    <d v="2011-01-23T00:00:00"/>
    <s v="Winter"/>
    <s v="January"/>
    <x v="8"/>
    <b v="0"/>
    <s v="Sunday"/>
    <s v="Clear"/>
    <n v="0.06"/>
    <n v="7.5800000000000006E-2"/>
    <n v="0.62"/>
    <n v="0.16420000000000001"/>
    <n v="2"/>
    <n v="17"/>
    <n v="19"/>
  </r>
  <r>
    <n v="511"/>
    <d v="2011-01-23T00:00:00"/>
    <s v="Winter"/>
    <s v="January"/>
    <x v="9"/>
    <b v="0"/>
    <s v="Sunday"/>
    <s v="Clear"/>
    <n v="0.1"/>
    <n v="7.5800000000000006E-2"/>
    <n v="0.54"/>
    <n v="0.35820000000000002"/>
    <n v="3"/>
    <n v="25"/>
    <n v="28"/>
  </r>
  <r>
    <n v="512"/>
    <d v="2011-01-23T00:00:00"/>
    <s v="Winter"/>
    <s v="January"/>
    <x v="10"/>
    <b v="0"/>
    <s v="Sunday"/>
    <s v="Clear"/>
    <n v="0.14000000000000001"/>
    <n v="0.1061"/>
    <n v="0.46"/>
    <n v="0.3881"/>
    <n v="7"/>
    <n v="51"/>
    <n v="58"/>
  </r>
  <r>
    <n v="513"/>
    <d v="2011-01-23T00:00:00"/>
    <s v="Winter"/>
    <s v="January"/>
    <x v="11"/>
    <b v="0"/>
    <s v="Sunday"/>
    <s v="Clear"/>
    <n v="0.14000000000000001"/>
    <n v="0.13639999999999999"/>
    <n v="0.43"/>
    <n v="0.22389999999999999"/>
    <n v="22"/>
    <n v="77"/>
    <n v="99"/>
  </r>
  <r>
    <n v="514"/>
    <d v="2011-01-23T00:00:00"/>
    <s v="Winter"/>
    <s v="January"/>
    <x v="12"/>
    <b v="0"/>
    <s v="Sunday"/>
    <s v="Clear"/>
    <n v="0.16"/>
    <n v="0.1212"/>
    <n v="0.37"/>
    <n v="0.4627"/>
    <n v="24"/>
    <n v="92"/>
    <n v="116"/>
  </r>
  <r>
    <n v="515"/>
    <d v="2011-01-23T00:00:00"/>
    <s v="Winter"/>
    <s v="January"/>
    <x v="13"/>
    <b v="0"/>
    <s v="Sunday"/>
    <s v="Clear"/>
    <n v="0.14000000000000001"/>
    <n v="0.1061"/>
    <n v="0.33"/>
    <n v="0.3881"/>
    <n v="12"/>
    <n v="75"/>
    <n v="87"/>
  </r>
  <r>
    <n v="516"/>
    <d v="2011-01-23T00:00:00"/>
    <s v="Winter"/>
    <s v="January"/>
    <x v="14"/>
    <b v="0"/>
    <s v="Sunday"/>
    <s v="Clear"/>
    <n v="0.16"/>
    <n v="0.13639999999999999"/>
    <n v="0.28000000000000003"/>
    <n v="0.35820000000000002"/>
    <n v="17"/>
    <n v="93"/>
    <n v="110"/>
  </r>
  <r>
    <n v="517"/>
    <d v="2011-01-23T00:00:00"/>
    <s v="Winter"/>
    <s v="January"/>
    <x v="15"/>
    <b v="0"/>
    <s v="Sunday"/>
    <s v="Clear"/>
    <n v="0.16"/>
    <n v="0.13639999999999999"/>
    <n v="0.28000000000000003"/>
    <n v="0.35820000000000002"/>
    <n v="13"/>
    <n v="64"/>
    <n v="77"/>
  </r>
  <r>
    <n v="518"/>
    <d v="2011-01-23T00:00:00"/>
    <s v="Winter"/>
    <s v="January"/>
    <x v="16"/>
    <b v="0"/>
    <s v="Sunday"/>
    <s v="Clear"/>
    <n v="0.16"/>
    <n v="0.13639999999999999"/>
    <n v="0.26"/>
    <n v="0.32840000000000003"/>
    <n v="9"/>
    <n v="56"/>
    <n v="65"/>
  </r>
  <r>
    <n v="519"/>
    <d v="2011-01-23T00:00:00"/>
    <s v="Winter"/>
    <s v="January"/>
    <x v="17"/>
    <b v="0"/>
    <s v="Sunday"/>
    <s v="Clear"/>
    <n v="0.14000000000000001"/>
    <n v="0.1061"/>
    <n v="0.26"/>
    <n v="0.3881"/>
    <n v="5"/>
    <n v="50"/>
    <n v="55"/>
  </r>
  <r>
    <n v="520"/>
    <d v="2011-01-23T00:00:00"/>
    <s v="Winter"/>
    <s v="January"/>
    <x v="18"/>
    <b v="0"/>
    <s v="Sunday"/>
    <s v="Clear"/>
    <n v="0.12"/>
    <n v="0.1212"/>
    <n v="0.3"/>
    <n v="0.25369999999999998"/>
    <n v="5"/>
    <n v="44"/>
    <n v="49"/>
  </r>
  <r>
    <n v="521"/>
    <d v="2011-01-23T00:00:00"/>
    <s v="Winter"/>
    <s v="January"/>
    <x v="19"/>
    <b v="0"/>
    <s v="Sunday"/>
    <s v="Clear"/>
    <n v="0.12"/>
    <n v="0.1212"/>
    <n v="0.3"/>
    <n v="0.28360000000000002"/>
    <n v="5"/>
    <n v="45"/>
    <n v="50"/>
  </r>
  <r>
    <n v="522"/>
    <d v="2011-01-23T00:00:00"/>
    <s v="Winter"/>
    <s v="January"/>
    <x v="20"/>
    <b v="0"/>
    <s v="Sunday"/>
    <s v="Clear"/>
    <n v="0.1"/>
    <n v="0.1061"/>
    <n v="0.36"/>
    <n v="0.25369999999999998"/>
    <n v="4"/>
    <n v="31"/>
    <n v="35"/>
  </r>
  <r>
    <n v="523"/>
    <d v="2011-01-23T00:00:00"/>
    <s v="Winter"/>
    <s v="January"/>
    <x v="21"/>
    <b v="0"/>
    <s v="Sunday"/>
    <s v="Clear"/>
    <n v="0.1"/>
    <n v="0.1061"/>
    <n v="0.36"/>
    <n v="0.19400000000000001"/>
    <n v="5"/>
    <n v="20"/>
    <n v="25"/>
  </r>
  <r>
    <n v="524"/>
    <d v="2011-01-23T00:00:00"/>
    <s v="Winter"/>
    <s v="January"/>
    <x v="22"/>
    <b v="0"/>
    <s v="Sunday"/>
    <s v="Clear"/>
    <n v="0.08"/>
    <n v="9.0899999999999995E-2"/>
    <n v="0.38"/>
    <n v="0.19400000000000001"/>
    <n v="5"/>
    <n v="23"/>
    <n v="28"/>
  </r>
  <r>
    <n v="525"/>
    <d v="2011-01-23T00:00:00"/>
    <s v="Winter"/>
    <s v="January"/>
    <x v="23"/>
    <b v="0"/>
    <s v="Sunday"/>
    <s v="Clear"/>
    <n v="0.06"/>
    <n v="6.0600000000000001E-2"/>
    <n v="0.41"/>
    <n v="0.22389999999999999"/>
    <n v="4"/>
    <n v="17"/>
    <n v="21"/>
  </r>
  <r>
    <n v="526"/>
    <d v="2011-01-24T00:00:00"/>
    <s v="Winter"/>
    <s v="January"/>
    <x v="0"/>
    <b v="0"/>
    <s v="Monday"/>
    <s v="Clear"/>
    <n v="0.06"/>
    <n v="6.0600000000000001E-2"/>
    <n v="0.41"/>
    <n v="0.19400000000000001"/>
    <n v="0"/>
    <n v="7"/>
    <n v="7"/>
  </r>
  <r>
    <n v="527"/>
    <d v="2011-01-24T00:00:00"/>
    <s v="Winter"/>
    <s v="January"/>
    <x v="1"/>
    <b v="0"/>
    <s v="Monday"/>
    <s v="Clear"/>
    <n v="0.04"/>
    <n v="4.5499999999999999E-2"/>
    <n v="0.45"/>
    <n v="0.19400000000000001"/>
    <n v="0"/>
    <n v="1"/>
    <n v="1"/>
  </r>
  <r>
    <n v="528"/>
    <d v="2011-01-24T00:00:00"/>
    <s v="Winter"/>
    <s v="January"/>
    <x v="3"/>
    <b v="0"/>
    <s v="Monday"/>
    <s v="Clear"/>
    <n v="0.04"/>
    <n v="3.0300000000000001E-2"/>
    <n v="0.45"/>
    <n v="0.25369999999999998"/>
    <n v="0"/>
    <n v="1"/>
    <n v="1"/>
  </r>
  <r>
    <n v="529"/>
    <d v="2011-01-24T00:00:00"/>
    <s v="Winter"/>
    <s v="January"/>
    <x v="4"/>
    <b v="0"/>
    <s v="Monday"/>
    <s v="Clear"/>
    <n v="0.02"/>
    <n v="6.0600000000000001E-2"/>
    <n v="0.48"/>
    <n v="0.1343"/>
    <n v="0"/>
    <n v="1"/>
    <n v="1"/>
  </r>
  <r>
    <n v="530"/>
    <d v="2011-01-24T00:00:00"/>
    <s v="Winter"/>
    <s v="January"/>
    <x v="5"/>
    <b v="0"/>
    <s v="Monday"/>
    <s v="Clear"/>
    <n v="0.02"/>
    <n v="6.0600000000000001E-2"/>
    <n v="0.48"/>
    <n v="0.1343"/>
    <n v="0"/>
    <n v="5"/>
    <n v="5"/>
  </r>
  <r>
    <n v="531"/>
    <d v="2011-01-24T00:00:00"/>
    <s v="Winter"/>
    <s v="January"/>
    <x v="6"/>
    <b v="0"/>
    <s v="Monday"/>
    <s v="Clear"/>
    <n v="0.02"/>
    <n v="7.5800000000000006E-2"/>
    <n v="0.48"/>
    <n v="8.9599999999999999E-2"/>
    <n v="0"/>
    <n v="15"/>
    <n v="15"/>
  </r>
  <r>
    <n v="532"/>
    <d v="2011-01-24T00:00:00"/>
    <s v="Winter"/>
    <s v="January"/>
    <x v="7"/>
    <b v="0"/>
    <s v="Monday"/>
    <s v="Clear"/>
    <n v="0.02"/>
    <n v="0.1212"/>
    <n v="0.48"/>
    <n v="0"/>
    <n v="5"/>
    <n v="79"/>
    <n v="84"/>
  </r>
  <r>
    <n v="533"/>
    <d v="2011-01-24T00:00:00"/>
    <s v="Winter"/>
    <s v="January"/>
    <x v="8"/>
    <b v="0"/>
    <s v="Monday"/>
    <s v="Clear"/>
    <n v="0.04"/>
    <n v="0.13639999999999999"/>
    <n v="0.49"/>
    <n v="0"/>
    <n v="6"/>
    <n v="171"/>
    <n v="177"/>
  </r>
  <r>
    <n v="534"/>
    <d v="2011-01-24T00:00:00"/>
    <s v="Winter"/>
    <s v="January"/>
    <x v="9"/>
    <b v="0"/>
    <s v="Monday"/>
    <s v="Clear"/>
    <n v="0.06"/>
    <n v="0.1515"/>
    <n v="0.41"/>
    <n v="0"/>
    <n v="4"/>
    <n v="98"/>
    <n v="102"/>
  </r>
  <r>
    <n v="535"/>
    <d v="2011-01-24T00:00:00"/>
    <s v="Winter"/>
    <s v="January"/>
    <x v="10"/>
    <b v="0"/>
    <s v="Monday"/>
    <s v="Clear"/>
    <n v="0.1"/>
    <n v="0.13639999999999999"/>
    <n v="0.42"/>
    <n v="0"/>
    <n v="6"/>
    <n v="34"/>
    <n v="40"/>
  </r>
  <r>
    <n v="536"/>
    <d v="2011-01-24T00:00:00"/>
    <s v="Winter"/>
    <s v="January"/>
    <x v="11"/>
    <b v="0"/>
    <s v="Monday"/>
    <s v="Clear"/>
    <n v="0.1"/>
    <n v="0.1212"/>
    <n v="0.46"/>
    <n v="0.1343"/>
    <n v="3"/>
    <n v="43"/>
    <n v="46"/>
  </r>
  <r>
    <n v="537"/>
    <d v="2011-01-24T00:00:00"/>
    <s v="Winter"/>
    <s v="January"/>
    <x v="12"/>
    <b v="0"/>
    <s v="Monday"/>
    <s v="Mist"/>
    <n v="0.12"/>
    <n v="0.13639999999999999"/>
    <n v="0.42"/>
    <n v="0.19400000000000001"/>
    <n v="11"/>
    <n v="52"/>
    <n v="63"/>
  </r>
  <r>
    <n v="538"/>
    <d v="2011-01-24T00:00:00"/>
    <s v="Winter"/>
    <s v="January"/>
    <x v="13"/>
    <b v="0"/>
    <s v="Monday"/>
    <s v="Mist"/>
    <n v="0.14000000000000001"/>
    <n v="0.13639999999999999"/>
    <n v="0.43"/>
    <n v="0.22389999999999999"/>
    <n v="6"/>
    <n v="54"/>
    <n v="60"/>
  </r>
  <r>
    <n v="539"/>
    <d v="2011-01-24T00:00:00"/>
    <s v="Winter"/>
    <s v="January"/>
    <x v="14"/>
    <b v="0"/>
    <s v="Monday"/>
    <s v="Mist"/>
    <n v="0.14000000000000001"/>
    <n v="0.13639999999999999"/>
    <n v="0.46"/>
    <n v="0.22389999999999999"/>
    <n v="2"/>
    <n v="43"/>
    <n v="45"/>
  </r>
  <r>
    <n v="540"/>
    <d v="2011-01-24T00:00:00"/>
    <s v="Winter"/>
    <s v="January"/>
    <x v="15"/>
    <b v="0"/>
    <s v="Monday"/>
    <s v="Clear"/>
    <n v="0.16"/>
    <n v="0.16669999999999999"/>
    <n v="0.4"/>
    <n v="0.16420000000000001"/>
    <n v="7"/>
    <n v="50"/>
    <n v="57"/>
  </r>
  <r>
    <n v="541"/>
    <d v="2011-01-24T00:00:00"/>
    <s v="Winter"/>
    <s v="January"/>
    <x v="16"/>
    <b v="0"/>
    <s v="Monday"/>
    <s v="Clear"/>
    <n v="0.16"/>
    <n v="0.1515"/>
    <n v="0.47"/>
    <n v="0.25369999999999998"/>
    <n v="4"/>
    <n v="66"/>
    <n v="70"/>
  </r>
  <r>
    <n v="542"/>
    <d v="2011-01-24T00:00:00"/>
    <s v="Winter"/>
    <s v="January"/>
    <x v="17"/>
    <b v="0"/>
    <s v="Monday"/>
    <s v="Clear"/>
    <n v="0.14000000000000001"/>
    <n v="0.1212"/>
    <n v="0.5"/>
    <n v="0.25369999999999998"/>
    <n v="6"/>
    <n v="178"/>
    <n v="184"/>
  </r>
  <r>
    <n v="543"/>
    <d v="2011-01-24T00:00:00"/>
    <s v="Winter"/>
    <s v="January"/>
    <x v="18"/>
    <b v="0"/>
    <s v="Monday"/>
    <s v="Clear"/>
    <n v="0.14000000000000001"/>
    <n v="0.13639999999999999"/>
    <n v="0.59"/>
    <n v="0.19400000000000001"/>
    <n v="8"/>
    <n v="145"/>
    <n v="153"/>
  </r>
  <r>
    <n v="544"/>
    <d v="2011-01-24T00:00:00"/>
    <s v="Winter"/>
    <s v="January"/>
    <x v="19"/>
    <b v="0"/>
    <s v="Monday"/>
    <s v="Clear"/>
    <n v="0.14000000000000001"/>
    <n v="0.1515"/>
    <n v="0.54"/>
    <n v="0.16420000000000001"/>
    <n v="5"/>
    <n v="101"/>
    <n v="106"/>
  </r>
  <r>
    <n v="545"/>
    <d v="2011-01-24T00:00:00"/>
    <s v="Winter"/>
    <s v="January"/>
    <x v="20"/>
    <b v="0"/>
    <s v="Monday"/>
    <s v="Clear"/>
    <n v="0.14000000000000001"/>
    <n v="0.13639999999999999"/>
    <n v="0.59"/>
    <n v="0.19400000000000001"/>
    <n v="1"/>
    <n v="80"/>
    <n v="81"/>
  </r>
  <r>
    <n v="546"/>
    <d v="2011-01-24T00:00:00"/>
    <s v="Winter"/>
    <s v="January"/>
    <x v="21"/>
    <b v="0"/>
    <s v="Monday"/>
    <s v="Clear"/>
    <n v="0.14000000000000001"/>
    <n v="0.1515"/>
    <n v="0.63"/>
    <n v="0.16420000000000001"/>
    <n v="6"/>
    <n v="53"/>
    <n v="59"/>
  </r>
  <r>
    <n v="547"/>
    <d v="2011-01-24T00:00:00"/>
    <s v="Winter"/>
    <s v="January"/>
    <x v="22"/>
    <b v="0"/>
    <s v="Monday"/>
    <s v="Mist"/>
    <n v="0.14000000000000001"/>
    <n v="0.13639999999999999"/>
    <n v="0.63"/>
    <n v="0.22389999999999999"/>
    <n v="3"/>
    <n v="32"/>
    <n v="35"/>
  </r>
  <r>
    <n v="548"/>
    <d v="2011-01-24T00:00:00"/>
    <s v="Winter"/>
    <s v="January"/>
    <x v="23"/>
    <b v="0"/>
    <s v="Monday"/>
    <s v="Mist"/>
    <n v="0.16"/>
    <n v="0.1515"/>
    <n v="0.64"/>
    <n v="0.25369999999999998"/>
    <n v="3"/>
    <n v="21"/>
    <n v="24"/>
  </r>
  <r>
    <n v="549"/>
    <d v="2011-01-25T00:00:00"/>
    <s v="Winter"/>
    <s v="January"/>
    <x v="0"/>
    <b v="0"/>
    <s v="Tuesday"/>
    <s v="Mist"/>
    <n v="0.16"/>
    <n v="0.13639999999999999"/>
    <n v="0.69"/>
    <n v="0.28360000000000002"/>
    <n v="3"/>
    <n v="6"/>
    <n v="9"/>
  </r>
  <r>
    <n v="550"/>
    <d v="2011-01-25T00:00:00"/>
    <s v="Winter"/>
    <s v="January"/>
    <x v="1"/>
    <b v="0"/>
    <s v="Tuesday"/>
    <s v="Mist"/>
    <n v="0.16"/>
    <n v="0.16669999999999999"/>
    <n v="0.69"/>
    <n v="0.16420000000000001"/>
    <n v="0"/>
    <n v="5"/>
    <n v="5"/>
  </r>
  <r>
    <n v="551"/>
    <d v="2011-01-25T00:00:00"/>
    <s v="Winter"/>
    <s v="January"/>
    <x v="2"/>
    <b v="0"/>
    <s v="Tuesday"/>
    <s v="Clear"/>
    <n v="0.16"/>
    <n v="0.1515"/>
    <n v="0.69"/>
    <n v="0.22389999999999999"/>
    <n v="0"/>
    <n v="2"/>
    <n v="2"/>
  </r>
  <r>
    <n v="552"/>
    <d v="2011-01-25T00:00:00"/>
    <s v="Winter"/>
    <s v="January"/>
    <x v="4"/>
    <b v="0"/>
    <s v="Tuesday"/>
    <s v="Clear"/>
    <n v="0.14000000000000001"/>
    <n v="0.16669999999999999"/>
    <n v="0.74"/>
    <n v="0.1045"/>
    <n v="0"/>
    <n v="1"/>
    <n v="1"/>
  </r>
  <r>
    <n v="553"/>
    <d v="2011-01-25T00:00:00"/>
    <s v="Winter"/>
    <s v="January"/>
    <x v="5"/>
    <b v="0"/>
    <s v="Tuesday"/>
    <s v="Clear"/>
    <n v="0.14000000000000001"/>
    <n v="0.13639999999999999"/>
    <n v="0.74"/>
    <n v="0.22389999999999999"/>
    <n v="0"/>
    <n v="9"/>
    <n v="9"/>
  </r>
  <r>
    <n v="554"/>
    <d v="2011-01-25T00:00:00"/>
    <s v="Winter"/>
    <s v="January"/>
    <x v="6"/>
    <b v="0"/>
    <s v="Tuesday"/>
    <s v="Clear"/>
    <n v="0.16"/>
    <n v="0.18179999999999999"/>
    <n v="0.74"/>
    <n v="0.1045"/>
    <n v="1"/>
    <n v="35"/>
    <n v="36"/>
  </r>
  <r>
    <n v="555"/>
    <d v="2011-01-25T00:00:00"/>
    <s v="Winter"/>
    <s v="January"/>
    <x v="7"/>
    <b v="0"/>
    <s v="Tuesday"/>
    <s v="Clear"/>
    <n v="0.16"/>
    <n v="0.1515"/>
    <n v="0.74"/>
    <n v="0.22389999999999999"/>
    <n v="5"/>
    <n v="103"/>
    <n v="108"/>
  </r>
  <r>
    <n v="556"/>
    <d v="2011-01-25T00:00:00"/>
    <s v="Winter"/>
    <s v="January"/>
    <x v="8"/>
    <b v="0"/>
    <s v="Tuesday"/>
    <s v="Mist"/>
    <n v="0.16"/>
    <n v="0.18179999999999999"/>
    <n v="0.74"/>
    <n v="0.1343"/>
    <n v="5"/>
    <n v="233"/>
    <n v="238"/>
  </r>
  <r>
    <n v="557"/>
    <d v="2011-01-25T00:00:00"/>
    <s v="Winter"/>
    <s v="January"/>
    <x v="9"/>
    <b v="0"/>
    <s v="Tuesday"/>
    <s v="Mist"/>
    <n v="0.2"/>
    <n v="0.2273"/>
    <n v="0.64"/>
    <n v="8.9599999999999999E-2"/>
    <n v="10"/>
    <n v="134"/>
    <n v="144"/>
  </r>
  <r>
    <n v="558"/>
    <d v="2011-01-25T00:00:00"/>
    <s v="Winter"/>
    <s v="January"/>
    <x v="10"/>
    <b v="0"/>
    <s v="Tuesday"/>
    <s v="Mist"/>
    <n v="0.22"/>
    <n v="0.2424"/>
    <n v="0.6"/>
    <n v="0.1045"/>
    <n v="6"/>
    <n v="49"/>
    <n v="55"/>
  </r>
  <r>
    <n v="559"/>
    <d v="2011-01-25T00:00:00"/>
    <s v="Winter"/>
    <s v="January"/>
    <x v="11"/>
    <b v="0"/>
    <s v="Tuesday"/>
    <s v="Mist"/>
    <n v="0.24"/>
    <n v="0.2424"/>
    <n v="0.6"/>
    <n v="0.1343"/>
    <n v="6"/>
    <n v="55"/>
    <n v="61"/>
  </r>
  <r>
    <n v="560"/>
    <d v="2011-01-25T00:00:00"/>
    <s v="Winter"/>
    <s v="January"/>
    <x v="12"/>
    <b v="0"/>
    <s v="Tuesday"/>
    <s v="Mist"/>
    <n v="0.26"/>
    <n v="0.28789999999999999"/>
    <n v="0.56000000000000005"/>
    <n v="8.9599999999999999E-2"/>
    <n v="21"/>
    <n v="85"/>
    <n v="106"/>
  </r>
  <r>
    <n v="561"/>
    <d v="2011-01-25T00:00:00"/>
    <s v="Winter"/>
    <s v="January"/>
    <x v="13"/>
    <b v="0"/>
    <s v="Tuesday"/>
    <s v="Mist"/>
    <n v="0.26"/>
    <n v="0.2727"/>
    <n v="0.56000000000000005"/>
    <n v="0.1343"/>
    <n v="21"/>
    <n v="72"/>
    <n v="93"/>
  </r>
  <r>
    <n v="562"/>
    <d v="2011-01-25T00:00:00"/>
    <s v="Winter"/>
    <s v="January"/>
    <x v="14"/>
    <b v="0"/>
    <s v="Tuesday"/>
    <s v="Mist"/>
    <n v="0.3"/>
    <n v="0.33329999999999999"/>
    <n v="0.45"/>
    <n v="0"/>
    <n v="11"/>
    <n v="57"/>
    <n v="68"/>
  </r>
  <r>
    <n v="563"/>
    <d v="2011-01-25T00:00:00"/>
    <s v="Winter"/>
    <s v="January"/>
    <x v="15"/>
    <b v="0"/>
    <s v="Tuesday"/>
    <s v="Mist"/>
    <n v="0.32"/>
    <n v="0.34849999999999998"/>
    <n v="0.42"/>
    <n v="0"/>
    <n v="21"/>
    <n v="63"/>
    <n v="84"/>
  </r>
  <r>
    <n v="564"/>
    <d v="2011-01-25T00:00:00"/>
    <s v="Winter"/>
    <s v="January"/>
    <x v="16"/>
    <b v="0"/>
    <s v="Tuesday"/>
    <s v="Mist"/>
    <n v="0.32"/>
    <n v="0.34849999999999998"/>
    <n v="0.42"/>
    <n v="0"/>
    <n v="14"/>
    <n v="102"/>
    <n v="116"/>
  </r>
  <r>
    <n v="565"/>
    <d v="2011-01-25T00:00:00"/>
    <s v="Winter"/>
    <s v="January"/>
    <x v="17"/>
    <b v="0"/>
    <s v="Tuesday"/>
    <s v="Clear"/>
    <n v="0.3"/>
    <n v="0.33329999999999999"/>
    <n v="0.45"/>
    <n v="0"/>
    <n v="14"/>
    <n v="208"/>
    <n v="222"/>
  </r>
  <r>
    <n v="566"/>
    <d v="2011-01-25T00:00:00"/>
    <s v="Winter"/>
    <s v="January"/>
    <x v="18"/>
    <b v="0"/>
    <s v="Tuesday"/>
    <s v="Mist"/>
    <n v="0.3"/>
    <n v="0.31819999999999998"/>
    <n v="0.49"/>
    <n v="8.9599999999999999E-2"/>
    <n v="7"/>
    <n v="218"/>
    <n v="225"/>
  </r>
  <r>
    <n v="567"/>
    <d v="2011-01-25T00:00:00"/>
    <s v="Winter"/>
    <s v="January"/>
    <x v="19"/>
    <b v="0"/>
    <s v="Tuesday"/>
    <s v="Mist"/>
    <n v="0.26"/>
    <n v="0.2576"/>
    <n v="0.65"/>
    <n v="0.16420000000000001"/>
    <n v="13"/>
    <n v="133"/>
    <n v="146"/>
  </r>
  <r>
    <n v="568"/>
    <d v="2011-01-25T00:00:00"/>
    <s v="Winter"/>
    <s v="January"/>
    <x v="20"/>
    <b v="0"/>
    <s v="Tuesday"/>
    <s v="Clear"/>
    <n v="0.24"/>
    <n v="0.2273"/>
    <n v="0.65"/>
    <n v="0.19400000000000001"/>
    <n v="16"/>
    <n v="103"/>
    <n v="119"/>
  </r>
  <r>
    <n v="569"/>
    <d v="2011-01-25T00:00:00"/>
    <s v="Winter"/>
    <s v="January"/>
    <x v="21"/>
    <b v="0"/>
    <s v="Tuesday"/>
    <s v="Clear"/>
    <n v="0.24"/>
    <n v="0.2273"/>
    <n v="0.65"/>
    <n v="0.19400000000000001"/>
    <n v="5"/>
    <n v="40"/>
    <n v="45"/>
  </r>
  <r>
    <n v="570"/>
    <d v="2011-01-25T00:00:00"/>
    <s v="Winter"/>
    <s v="January"/>
    <x v="22"/>
    <b v="0"/>
    <s v="Tuesday"/>
    <s v="Clear"/>
    <n v="0.22"/>
    <n v="0.2273"/>
    <n v="0.64"/>
    <n v="0.16420000000000001"/>
    <n v="4"/>
    <n v="49"/>
    <n v="53"/>
  </r>
  <r>
    <n v="571"/>
    <d v="2011-01-25T00:00:00"/>
    <s v="Winter"/>
    <s v="January"/>
    <x v="23"/>
    <b v="0"/>
    <s v="Tuesday"/>
    <s v="Mist"/>
    <n v="0.22"/>
    <n v="0.2273"/>
    <n v="0.64"/>
    <n v="0.16420000000000001"/>
    <n v="3"/>
    <n v="37"/>
    <n v="40"/>
  </r>
  <r>
    <n v="572"/>
    <d v="2011-01-26T00:00:00"/>
    <s v="Winter"/>
    <s v="January"/>
    <x v="0"/>
    <b v="0"/>
    <s v="Wednesday"/>
    <s v="Mist"/>
    <n v="0.22"/>
    <n v="0.2273"/>
    <n v="0.69"/>
    <n v="0.1343"/>
    <n v="3"/>
    <n v="14"/>
    <n v="17"/>
  </r>
  <r>
    <n v="573"/>
    <d v="2011-01-26T00:00:00"/>
    <s v="Winter"/>
    <s v="January"/>
    <x v="1"/>
    <b v="0"/>
    <s v="Wednesday"/>
    <s v="Mist"/>
    <n v="0.24"/>
    <n v="0.2424"/>
    <n v="0.65"/>
    <n v="0.1343"/>
    <n v="0"/>
    <n v="5"/>
    <n v="5"/>
  </r>
  <r>
    <n v="574"/>
    <d v="2011-01-26T00:00:00"/>
    <s v="Winter"/>
    <s v="January"/>
    <x v="2"/>
    <b v="0"/>
    <s v="Wednesday"/>
    <s v="Light Snow"/>
    <n v="0.22"/>
    <n v="0.2273"/>
    <n v="0.69"/>
    <n v="0.19400000000000001"/>
    <n v="3"/>
    <n v="7"/>
    <n v="10"/>
  </r>
  <r>
    <n v="575"/>
    <d v="2011-01-26T00:00:00"/>
    <s v="Winter"/>
    <s v="January"/>
    <x v="5"/>
    <b v="0"/>
    <s v="Wednesday"/>
    <s v="Light Snow"/>
    <n v="0.2"/>
    <n v="0.18179999999999999"/>
    <n v="0.86"/>
    <n v="0.28360000000000002"/>
    <n v="0"/>
    <n v="1"/>
    <n v="1"/>
  </r>
  <r>
    <n v="576"/>
    <d v="2011-01-26T00:00:00"/>
    <s v="Winter"/>
    <s v="January"/>
    <x v="6"/>
    <b v="0"/>
    <s v="Wednesday"/>
    <s v="Light Snow"/>
    <n v="0.2"/>
    <n v="0.18179999999999999"/>
    <n v="0.86"/>
    <n v="0.28360000000000002"/>
    <n v="0"/>
    <n v="8"/>
    <n v="8"/>
  </r>
  <r>
    <n v="577"/>
    <d v="2011-01-26T00:00:00"/>
    <s v="Winter"/>
    <s v="January"/>
    <x v="7"/>
    <b v="0"/>
    <s v="Wednesday"/>
    <s v="Light Snow"/>
    <n v="0.22"/>
    <n v="0.21210000000000001"/>
    <n v="0.87"/>
    <n v="0.29849999999999999"/>
    <n v="1"/>
    <n v="29"/>
    <n v="30"/>
  </r>
  <r>
    <n v="578"/>
    <d v="2011-01-26T00:00:00"/>
    <s v="Winter"/>
    <s v="January"/>
    <x v="8"/>
    <b v="0"/>
    <s v="Wednesday"/>
    <s v="Light Snow"/>
    <n v="0.22"/>
    <n v="0.21210000000000001"/>
    <n v="0.87"/>
    <n v="0.29849999999999999"/>
    <n v="3"/>
    <n v="69"/>
    <n v="72"/>
  </r>
  <r>
    <n v="579"/>
    <d v="2011-01-26T00:00:00"/>
    <s v="Winter"/>
    <s v="January"/>
    <x v="9"/>
    <b v="0"/>
    <s v="Wednesday"/>
    <s v="Light Snow"/>
    <n v="0.22"/>
    <n v="0.21210000000000001"/>
    <n v="0.87"/>
    <n v="0.29849999999999999"/>
    <n v="3"/>
    <n v="55"/>
    <n v="58"/>
  </r>
  <r>
    <n v="580"/>
    <d v="2011-01-26T00:00:00"/>
    <s v="Winter"/>
    <s v="January"/>
    <x v="10"/>
    <b v="0"/>
    <s v="Wednesday"/>
    <s v="Light Snow"/>
    <n v="0.22"/>
    <n v="0.21210000000000001"/>
    <n v="0.93"/>
    <n v="0.28360000000000002"/>
    <n v="2"/>
    <n v="26"/>
    <n v="28"/>
  </r>
  <r>
    <n v="581"/>
    <d v="2011-01-26T00:00:00"/>
    <s v="Winter"/>
    <s v="January"/>
    <x v="11"/>
    <b v="0"/>
    <s v="Wednesday"/>
    <s v="Light Snow"/>
    <n v="0.22"/>
    <n v="0.19700000000000001"/>
    <n v="0.93"/>
    <n v="0.32840000000000003"/>
    <n v="6"/>
    <n v="35"/>
    <n v="41"/>
  </r>
  <r>
    <n v="582"/>
    <d v="2011-01-26T00:00:00"/>
    <s v="Winter"/>
    <s v="January"/>
    <x v="12"/>
    <b v="0"/>
    <s v="Wednesday"/>
    <s v="Light Snow"/>
    <n v="0.22"/>
    <n v="0.19700000000000001"/>
    <n v="0.93"/>
    <n v="0.32840000000000003"/>
    <n v="7"/>
    <n v="41"/>
    <n v="48"/>
  </r>
  <r>
    <n v="583"/>
    <d v="2011-01-26T00:00:00"/>
    <s v="Winter"/>
    <s v="January"/>
    <x v="13"/>
    <b v="0"/>
    <s v="Wednesday"/>
    <s v="Light Snow"/>
    <n v="0.22"/>
    <n v="0.19700000000000001"/>
    <n v="0.93"/>
    <n v="0.32840000000000003"/>
    <n v="4"/>
    <n v="43"/>
    <n v="47"/>
  </r>
  <r>
    <n v="584"/>
    <d v="2011-01-26T00:00:00"/>
    <s v="Winter"/>
    <s v="January"/>
    <x v="14"/>
    <b v="0"/>
    <s v="Wednesday"/>
    <s v="Light Snow"/>
    <n v="0.22"/>
    <n v="0.19700000000000001"/>
    <n v="0.93"/>
    <n v="0.35820000000000002"/>
    <n v="0"/>
    <n v="36"/>
    <n v="36"/>
  </r>
  <r>
    <n v="585"/>
    <d v="2011-01-26T00:00:00"/>
    <s v="Winter"/>
    <s v="January"/>
    <x v="15"/>
    <b v="0"/>
    <s v="Wednesday"/>
    <s v="Light Snow"/>
    <n v="0.22"/>
    <n v="0.18179999999999999"/>
    <n v="0.93"/>
    <n v="0.4627"/>
    <n v="1"/>
    <n v="42"/>
    <n v="43"/>
  </r>
  <r>
    <n v="586"/>
    <d v="2011-01-26T00:00:00"/>
    <s v="Winter"/>
    <s v="January"/>
    <x v="16"/>
    <b v="0"/>
    <s v="Wednesday"/>
    <s v="Heavy Snow"/>
    <n v="0.22"/>
    <n v="0.19700000000000001"/>
    <n v="0.93"/>
    <n v="0.32840000000000003"/>
    <n v="1"/>
    <n v="35"/>
    <n v="36"/>
  </r>
  <r>
    <n v="587"/>
    <d v="2011-01-26T00:00:00"/>
    <s v="Winter"/>
    <s v="January"/>
    <x v="17"/>
    <b v="0"/>
    <s v="Wednesday"/>
    <s v="Light Snow"/>
    <n v="0.2"/>
    <n v="0.18179999999999999"/>
    <n v="0.93"/>
    <n v="0.35820000000000002"/>
    <n v="0"/>
    <n v="26"/>
    <n v="26"/>
  </r>
  <r>
    <n v="588"/>
    <d v="2011-01-27T00:00:00"/>
    <s v="Winter"/>
    <s v="January"/>
    <x v="16"/>
    <b v="0"/>
    <s v="Thursday"/>
    <s v="Clear"/>
    <n v="0.22"/>
    <n v="0.2273"/>
    <n v="0.55000000000000004"/>
    <n v="0.19400000000000001"/>
    <n v="1"/>
    <n v="23"/>
    <n v="24"/>
  </r>
  <r>
    <n v="589"/>
    <d v="2011-01-27T00:00:00"/>
    <s v="Winter"/>
    <s v="January"/>
    <x v="17"/>
    <b v="0"/>
    <s v="Thursday"/>
    <s v="Clear"/>
    <n v="0.22"/>
    <n v="0.2424"/>
    <n v="0.55000000000000004"/>
    <n v="0.1045"/>
    <n v="2"/>
    <n v="82"/>
    <n v="84"/>
  </r>
  <r>
    <n v="590"/>
    <d v="2011-01-27T00:00:00"/>
    <s v="Winter"/>
    <s v="January"/>
    <x v="18"/>
    <b v="0"/>
    <s v="Thursday"/>
    <s v="Clear"/>
    <n v="0.2"/>
    <n v="0.2273"/>
    <n v="0.69"/>
    <n v="8.9599999999999999E-2"/>
    <n v="3"/>
    <n v="101"/>
    <n v="104"/>
  </r>
  <r>
    <n v="591"/>
    <d v="2011-01-27T00:00:00"/>
    <s v="Winter"/>
    <s v="January"/>
    <x v="19"/>
    <b v="0"/>
    <s v="Thursday"/>
    <s v="Clear"/>
    <n v="0.2"/>
    <n v="0.2273"/>
    <n v="0.69"/>
    <n v="8.9599999999999999E-2"/>
    <n v="3"/>
    <n v="76"/>
    <n v="79"/>
  </r>
  <r>
    <n v="592"/>
    <d v="2011-01-27T00:00:00"/>
    <s v="Winter"/>
    <s v="January"/>
    <x v="20"/>
    <b v="0"/>
    <s v="Thursday"/>
    <s v="Clear"/>
    <n v="0.18"/>
    <n v="0.21210000000000001"/>
    <n v="0.74"/>
    <n v="8.9599999999999999E-2"/>
    <n v="4"/>
    <n v="55"/>
    <n v="59"/>
  </r>
  <r>
    <n v="593"/>
    <d v="2011-01-27T00:00:00"/>
    <s v="Winter"/>
    <s v="January"/>
    <x v="21"/>
    <b v="0"/>
    <s v="Thursday"/>
    <s v="Clear"/>
    <n v="0.18"/>
    <n v="0.21210000000000001"/>
    <n v="0.74"/>
    <n v="8.9599999999999999E-2"/>
    <n v="2"/>
    <n v="36"/>
    <n v="38"/>
  </r>
  <r>
    <n v="594"/>
    <d v="2011-01-27T00:00:00"/>
    <s v="Winter"/>
    <s v="January"/>
    <x v="22"/>
    <b v="0"/>
    <s v="Thursday"/>
    <s v="Clear"/>
    <n v="0.18"/>
    <n v="0.21210000000000001"/>
    <n v="0.74"/>
    <n v="8.9599999999999999E-2"/>
    <n v="0"/>
    <n v="27"/>
    <n v="27"/>
  </r>
  <r>
    <n v="595"/>
    <d v="2011-01-27T00:00:00"/>
    <s v="Winter"/>
    <s v="January"/>
    <x v="23"/>
    <b v="0"/>
    <s v="Thursday"/>
    <s v="Clear"/>
    <n v="0.18"/>
    <n v="0.19700000000000001"/>
    <n v="0.8"/>
    <n v="0.16420000000000001"/>
    <n v="0"/>
    <n v="16"/>
    <n v="16"/>
  </r>
  <r>
    <n v="596"/>
    <d v="2011-01-28T00:00:00"/>
    <s v="Winter"/>
    <s v="January"/>
    <x v="0"/>
    <b v="0"/>
    <s v="Friday"/>
    <s v="Mist"/>
    <n v="0.2"/>
    <n v="0.21210000000000001"/>
    <n v="0.75"/>
    <n v="0.1343"/>
    <n v="0"/>
    <n v="9"/>
    <n v="9"/>
  </r>
  <r>
    <n v="597"/>
    <d v="2011-01-28T00:00:00"/>
    <s v="Winter"/>
    <s v="January"/>
    <x v="1"/>
    <b v="0"/>
    <s v="Friday"/>
    <s v="Mist"/>
    <n v="0.2"/>
    <n v="0.21210000000000001"/>
    <n v="0.75"/>
    <n v="0.1343"/>
    <n v="1"/>
    <n v="2"/>
    <n v="3"/>
  </r>
  <r>
    <n v="598"/>
    <d v="2011-01-28T00:00:00"/>
    <s v="Winter"/>
    <s v="January"/>
    <x v="2"/>
    <b v="0"/>
    <s v="Friday"/>
    <s v="Mist"/>
    <n v="0.2"/>
    <n v="0.21210000000000001"/>
    <n v="0.75"/>
    <n v="0.16420000000000001"/>
    <n v="0"/>
    <n v="2"/>
    <n v="2"/>
  </r>
  <r>
    <n v="599"/>
    <d v="2011-01-28T00:00:00"/>
    <s v="Winter"/>
    <s v="January"/>
    <x v="3"/>
    <b v="0"/>
    <s v="Friday"/>
    <s v="Mist"/>
    <n v="0.2"/>
    <n v="0.2273"/>
    <n v="0.75"/>
    <n v="0.1045"/>
    <n v="1"/>
    <n v="0"/>
    <n v="1"/>
  </r>
  <r>
    <n v="600"/>
    <d v="2011-01-28T00:00:00"/>
    <s v="Winter"/>
    <s v="January"/>
    <x v="5"/>
    <b v="0"/>
    <s v="Friday"/>
    <s v="Mist"/>
    <n v="0.18"/>
    <n v="0.21210000000000001"/>
    <n v="0.8"/>
    <n v="0.1045"/>
    <n v="0"/>
    <n v="4"/>
    <n v="4"/>
  </r>
  <r>
    <n v="601"/>
    <d v="2011-01-28T00:00:00"/>
    <s v="Winter"/>
    <s v="January"/>
    <x v="6"/>
    <b v="0"/>
    <s v="Friday"/>
    <s v="Mist"/>
    <n v="0.18"/>
    <n v="0.19700000000000001"/>
    <n v="0.8"/>
    <n v="0.1343"/>
    <n v="0"/>
    <n v="16"/>
    <n v="16"/>
  </r>
  <r>
    <n v="602"/>
    <d v="2011-01-28T00:00:00"/>
    <s v="Winter"/>
    <s v="January"/>
    <x v="7"/>
    <b v="0"/>
    <s v="Friday"/>
    <s v="Mist"/>
    <n v="0.16"/>
    <n v="0.19700000000000001"/>
    <n v="0.86"/>
    <n v="8.9599999999999999E-2"/>
    <n v="2"/>
    <n v="58"/>
    <n v="60"/>
  </r>
  <r>
    <n v="603"/>
    <d v="2011-01-28T00:00:00"/>
    <s v="Winter"/>
    <s v="January"/>
    <x v="8"/>
    <b v="0"/>
    <s v="Friday"/>
    <s v="Mist"/>
    <n v="0.16"/>
    <n v="0.19700000000000001"/>
    <n v="0.86"/>
    <n v="8.9599999999999999E-2"/>
    <n v="2"/>
    <n v="155"/>
    <n v="157"/>
  </r>
  <r>
    <n v="604"/>
    <d v="2011-01-28T00:00:00"/>
    <s v="Winter"/>
    <s v="January"/>
    <x v="9"/>
    <b v="0"/>
    <s v="Friday"/>
    <s v="Light Snow"/>
    <n v="0.18"/>
    <n v="0.21210000000000001"/>
    <n v="0.86"/>
    <n v="8.9599999999999999E-2"/>
    <n v="6"/>
    <n v="95"/>
    <n v="101"/>
  </r>
  <r>
    <n v="605"/>
    <d v="2011-01-28T00:00:00"/>
    <s v="Winter"/>
    <s v="January"/>
    <x v="10"/>
    <b v="0"/>
    <s v="Friday"/>
    <s v="Light Snow"/>
    <n v="0.18"/>
    <n v="0.21210000000000001"/>
    <n v="0.86"/>
    <n v="0.1045"/>
    <n v="0"/>
    <n v="49"/>
    <n v="49"/>
  </r>
  <r>
    <n v="606"/>
    <d v="2011-01-28T00:00:00"/>
    <s v="Winter"/>
    <s v="January"/>
    <x v="11"/>
    <b v="0"/>
    <s v="Friday"/>
    <s v="Light Snow"/>
    <n v="0.18"/>
    <n v="0.21210000000000001"/>
    <n v="0.93"/>
    <n v="0.1045"/>
    <n v="0"/>
    <n v="30"/>
    <n v="30"/>
  </r>
  <r>
    <n v="607"/>
    <d v="2011-01-28T00:00:00"/>
    <s v="Winter"/>
    <s v="January"/>
    <x v="12"/>
    <b v="0"/>
    <s v="Friday"/>
    <s v="Light Snow"/>
    <n v="0.18"/>
    <n v="0.21210000000000001"/>
    <n v="0.93"/>
    <n v="0.1045"/>
    <n v="1"/>
    <n v="28"/>
    <n v="29"/>
  </r>
  <r>
    <n v="608"/>
    <d v="2011-01-28T00:00:00"/>
    <s v="Winter"/>
    <s v="January"/>
    <x v="13"/>
    <b v="0"/>
    <s v="Friday"/>
    <s v="Light Snow"/>
    <n v="0.18"/>
    <n v="0.21210000000000001"/>
    <n v="0.93"/>
    <n v="0.1045"/>
    <n v="0"/>
    <n v="31"/>
    <n v="31"/>
  </r>
  <r>
    <n v="609"/>
    <d v="2011-01-28T00:00:00"/>
    <s v="Winter"/>
    <s v="January"/>
    <x v="14"/>
    <b v="0"/>
    <s v="Friday"/>
    <s v="Light Snow"/>
    <n v="0.22"/>
    <n v="0.2727"/>
    <n v="0.8"/>
    <n v="0"/>
    <n v="2"/>
    <n v="36"/>
    <n v="38"/>
  </r>
  <r>
    <n v="610"/>
    <d v="2011-01-28T00:00:00"/>
    <s v="Winter"/>
    <s v="January"/>
    <x v="15"/>
    <b v="0"/>
    <s v="Friday"/>
    <s v="Mist"/>
    <n v="0.2"/>
    <n v="0.2576"/>
    <n v="0.86"/>
    <n v="0"/>
    <n v="1"/>
    <n v="40"/>
    <n v="41"/>
  </r>
  <r>
    <m/>
    <m/>
    <m/>
    <m/>
    <x v="24"/>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EF1908-CBD3-4E13-9477-5A3FFC4A8EF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end v/s Weekdays">
  <location ref="G12:H15" firstHeaderRow="1" firstDataRow="1" firstDataCol="1"/>
  <pivotFields count="12">
    <pivotField showAll="0"/>
    <pivotField numFmtId="14" showAll="0"/>
    <pivotField showAll="0"/>
    <pivotField showAll="0"/>
    <pivotField dataField="1" showAll="0"/>
    <pivotField showAll="0"/>
    <pivotField showAll="0"/>
    <pivotField axis="axisRow" showAll="0">
      <items count="3">
        <item x="1"/>
        <item x="0"/>
        <item t="default"/>
      </items>
    </pivotField>
    <pivotField showAll="0"/>
    <pivotField showAll="0"/>
    <pivotField showAll="0"/>
    <pivotField showAll="0"/>
  </pivotFields>
  <rowFields count="1">
    <field x="7"/>
  </rowFields>
  <rowItems count="3">
    <i>
      <x/>
    </i>
    <i>
      <x v="1"/>
    </i>
    <i t="grand">
      <x/>
    </i>
  </rowItems>
  <colItems count="1">
    <i/>
  </colItems>
  <dataFields count="1">
    <dataField name="Sum of Cnt" fld="4" baseField="0"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3EBD91-A29E-4A2B-BB60-4504DEB1F51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K13" firstHeaderRow="1" firstDataRow="1" firstDataCol="0"/>
  <pivotFields count="15">
    <pivotField showAll="0"/>
    <pivotField numFmtId="14" showAll="0"/>
    <pivotField showAll="0"/>
    <pivotField showAll="0"/>
    <pivotField showAll="0"/>
    <pivotField showAll="0"/>
    <pivotField showAll="0"/>
    <pivotField showAll="0"/>
    <pivotField numFmtId="2" showAll="0"/>
    <pivotField numFmtId="164" showAll="0"/>
    <pivotField numFmtId="2" showAll="0"/>
    <pivotField showAll="0"/>
    <pivotField showAll="0"/>
    <pivotField showAll="0"/>
    <pivotField dataField="1" showAll="0"/>
  </pivotFields>
  <rowItems count="1">
    <i/>
  </rowItems>
  <colItems count="1">
    <i/>
  </colItems>
  <dataFields count="1">
    <dataField name="Total Bike Rentals " fld="14" baseField="0" baseItem="0"/>
  </dataFields>
  <formats count="2">
    <format dxfId="1">
      <pivotArea outline="0" collapsedLevelsAreSubtotals="1" fieldPosition="0"/>
    </format>
    <format dxfId="0">
      <pivotArea outline="0" collapsedLevelsAreSubtotals="1" fieldPosition="0"/>
    </format>
  </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A2FD45-AD86-4BD2-95D3-B3B67D31FEF9}" name="PivotTable2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M8" firstHeaderRow="1" firstDataRow="1" firstDataCol="1"/>
  <pivotFields count="15">
    <pivotField showAll="0"/>
    <pivotField numFmtId="14" showAll="0"/>
    <pivotField showAll="0"/>
    <pivotField showAll="0"/>
    <pivotField showAll="0"/>
    <pivotField showAll="0"/>
    <pivotField showAll="0">
      <items count="8">
        <item x="2"/>
        <item x="3"/>
        <item x="4"/>
        <item x="5"/>
        <item x="6"/>
        <item x="0"/>
        <item x="1"/>
        <item t="default"/>
      </items>
    </pivotField>
    <pivotField axis="axisRow" showAll="0">
      <items count="5">
        <item x="0"/>
        <item x="3"/>
        <item x="2"/>
        <item x="1"/>
        <item t="default"/>
      </items>
    </pivotField>
    <pivotField numFmtId="2" showAll="0"/>
    <pivotField dataField="1" numFmtId="164" showAll="0"/>
    <pivotField numFmtId="2" showAll="0"/>
    <pivotField showAll="0"/>
    <pivotField showAll="0"/>
    <pivotField showAll="0"/>
    <pivotField showAll="0"/>
  </pivotFields>
  <rowFields count="1">
    <field x="7"/>
  </rowFields>
  <rowItems count="5">
    <i>
      <x/>
    </i>
    <i>
      <x v="1"/>
    </i>
    <i>
      <x v="2"/>
    </i>
    <i>
      <x v="3"/>
    </i>
    <i t="grand">
      <x/>
    </i>
  </rowItems>
  <colItems count="1">
    <i/>
  </colItems>
  <dataFields count="1">
    <dataField name="Count of ATemp" fld="9" subtotal="count" baseField="7"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641039-A8B9-4722-85B7-46571C604E8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2:I13" firstHeaderRow="1" firstDataRow="1" firstDataCol="0"/>
  <pivotFields count="12">
    <pivotField showAll="0"/>
    <pivotField numFmtId="14"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Count of Demand_Level" fld="9" subtotal="count" baseField="0" baseItem="0"/>
  </dataFields>
  <formats count="2">
    <format dxfId="3">
      <pivotArea outline="0" collapsedLevelsAreSubtotals="1" fieldPosition="0"/>
    </format>
    <format dxfId="2">
      <pivotArea outline="0" collapsedLevelsAreSubtotals="1" fieldPosition="0"/>
    </format>
  </format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8997AC-2F75-4C9A-8D3B-E27370E1F1AE}"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I28:J32" firstHeaderRow="1" firstDataRow="1" firstDataCol="1"/>
  <pivotFields count="12">
    <pivotField showAll="0"/>
    <pivotField numFmtId="14" showAll="0"/>
    <pivotField showAll="0">
      <items count="8">
        <item x="2"/>
        <item x="3"/>
        <item x="4"/>
        <item x="5"/>
        <item x="6"/>
        <item x="0"/>
        <item x="1"/>
        <item t="default"/>
      </items>
    </pivotField>
    <pivotField showAll="0"/>
    <pivotField dataField="1" showAll="0"/>
    <pivotField showAll="0"/>
    <pivotField showAll="0"/>
    <pivotField showAll="0"/>
    <pivotField showAll="0">
      <items count="3">
        <item x="1"/>
        <item x="0"/>
        <item t="default"/>
      </items>
    </pivotField>
    <pivotField axis="axisRow" showAll="0">
      <items count="4">
        <item sd="0" x="2"/>
        <item sd="0" x="0"/>
        <item sd="0" x="1"/>
        <item t="default"/>
      </items>
    </pivotField>
    <pivotField axis="axisRow" showAll="0">
      <items count="5">
        <item x="0"/>
        <item x="3"/>
        <item x="2"/>
        <item x="1"/>
        <item t="default"/>
      </items>
    </pivotField>
    <pivotField showAll="0"/>
  </pivotFields>
  <rowFields count="2">
    <field x="9"/>
    <field x="10"/>
  </rowFields>
  <rowItems count="4">
    <i>
      <x/>
    </i>
    <i>
      <x v="1"/>
    </i>
    <i>
      <x v="2"/>
    </i>
    <i t="grand">
      <x/>
    </i>
  </rowItems>
  <colItems count="1">
    <i/>
  </colItems>
  <dataFields count="1">
    <dataField name="Count of Cnt" fld="4" subtotal="count" baseField="9" baseItem="0"/>
  </dataFields>
  <chartFormats count="8">
    <chartFormat chart="0" format="0"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9" count="1" selected="0">
            <x v="0"/>
          </reference>
        </references>
      </pivotArea>
    </chartFormat>
    <chartFormat chart="6" format="15">
      <pivotArea type="data" outline="0" fieldPosition="0">
        <references count="2">
          <reference field="4294967294" count="1" selected="0">
            <x v="0"/>
          </reference>
          <reference field="9" count="1" selected="0">
            <x v="1"/>
          </reference>
        </references>
      </pivotArea>
    </chartFormat>
    <chartFormat chart="6" format="16">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DA16E0-A5A7-472C-B31A-F135125F94D8}" name="PivotTable3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E36:G44" firstHeaderRow="0" firstDataRow="1" firstDataCol="1"/>
  <pivotFields count="15">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axis="axisRow" showAll="0">
      <items count="8">
        <item sd="0" x="2"/>
        <item sd="0" x="3"/>
        <item sd="0" x="4"/>
        <item sd="0" x="5"/>
        <item sd="0" x="6"/>
        <item sd="0" x="0"/>
        <item sd="0" x="1"/>
        <item t="default" sd="0"/>
      </items>
    </pivotField>
    <pivotField showAll="0">
      <items count="5">
        <item x="0"/>
        <item x="3"/>
        <item x="2"/>
        <item x="1"/>
        <item t="default"/>
      </items>
    </pivotField>
    <pivotField dataField="1" numFmtId="2" showAll="0"/>
    <pivotField numFmtId="164" showAll="0"/>
    <pivotField numFmtId="2" showAll="0"/>
    <pivotField showAll="0"/>
    <pivotField showAll="0"/>
    <pivotField showAll="0"/>
    <pivotField dataField="1" showAll="0"/>
  </pivotFields>
  <rowFields count="2">
    <field x="6"/>
    <field x="1"/>
  </rowFields>
  <rowItems count="8">
    <i>
      <x/>
    </i>
    <i>
      <x v="1"/>
    </i>
    <i>
      <x v="2"/>
    </i>
    <i>
      <x v="3"/>
    </i>
    <i>
      <x v="4"/>
    </i>
    <i>
      <x v="5"/>
    </i>
    <i>
      <x v="6"/>
    </i>
    <i t="grand">
      <x/>
    </i>
  </rowItems>
  <colFields count="1">
    <field x="-2"/>
  </colFields>
  <colItems count="2">
    <i>
      <x/>
    </i>
    <i i="1">
      <x v="1"/>
    </i>
  </colItems>
  <dataFields count="2">
    <dataField name="Average of Temp" fld="8" subtotal="average" baseField="6" baseItem="0"/>
    <dataField name="Average of Cnt" fld="14" subtotal="average" baseField="6"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2DFB9B-9AE3-40C9-846A-0E066A2787B7}"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B42" firstHeaderRow="1" firstDataRow="1" firstDataCol="1"/>
  <pivotFields count="15">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showAll="0"/>
    <pivotField showAll="0"/>
    <pivotField dataField="1" showAll="0"/>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Cnt" fld="14" subtotal="average" baseField="4"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EC0C60-B2DF-4254-A497-642474217B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J15" firstHeaderRow="1" firstDataRow="1" firstDataCol="0"/>
  <pivotFields count="15">
    <pivotField showAll="0"/>
    <pivotField numFmtId="14" showAll="0"/>
    <pivotField showAll="0"/>
    <pivotField showAll="0"/>
    <pivotField showAll="0"/>
    <pivotField showAll="0"/>
    <pivotField showAll="0"/>
    <pivotField showAll="0"/>
    <pivotField numFmtId="2" showAll="0"/>
    <pivotField numFmtId="164" showAll="0"/>
    <pivotField numFmtId="2" showAll="0"/>
    <pivotField showAll="0"/>
    <pivotField showAll="0"/>
    <pivotField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dataField="1" showAll="0"/>
  </pivotFields>
  <rowItems count="1">
    <i/>
  </rowItems>
  <colItems count="1">
    <i/>
  </colItems>
  <dataFields count="1">
    <dataField name="Peak Demand " fld="14" subtotal="max" baseField="0" baseItem="0"/>
  </dataFields>
  <formats count="2">
    <format dxfId="5">
      <pivotArea outline="0" collapsedLevelsAreSubtotals="1" fieldPosition="0"/>
    </format>
    <format dxfId="4">
      <pivotArea outline="0" collapsedLevelsAreSubtotals="1" fieldPosition="0"/>
    </format>
  </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FA589D-956B-48C6-97D8-9BE9D0363970}"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40:J43" firstHeaderRow="1" firstDataRow="1" firstDataCol="1"/>
  <pivotFields count="12">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8">
        <item x="2"/>
        <item x="3"/>
        <item x="4"/>
        <item x="5"/>
        <item x="6"/>
        <item x="0"/>
        <item x="1"/>
        <item t="default"/>
      </items>
    </pivotField>
    <pivotField showAll="0"/>
    <pivotField dataField="1" showAll="0"/>
    <pivotField showAll="0"/>
    <pivotField showAll="0"/>
    <pivotField axis="axisRow" showAll="0">
      <items count="3">
        <item sd="0" x="1"/>
        <item sd="0" x="0"/>
        <item t="default"/>
      </items>
    </pivotField>
    <pivotField showAll="0">
      <items count="3">
        <item x="1"/>
        <item x="0"/>
        <item t="default"/>
      </items>
    </pivotField>
    <pivotField showAll="0"/>
    <pivotField showAll="0">
      <items count="5">
        <item x="0"/>
        <item x="3"/>
        <item x="2"/>
        <item x="1"/>
        <item t="default"/>
      </items>
    </pivotField>
    <pivotField showAll="0"/>
  </pivotFields>
  <rowFields count="2">
    <field x="7"/>
    <field x="2"/>
  </rowFields>
  <rowItems count="3">
    <i>
      <x/>
    </i>
    <i>
      <x v="1"/>
    </i>
    <i t="grand">
      <x/>
    </i>
  </rowItems>
  <colItems count="1">
    <i/>
  </colItems>
  <dataFields count="1">
    <dataField name="Max of Cnt" fld="4" subtotal="max" baseField="7"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4C0EBA-9BEA-4F8E-9464-CD5E73575494}" name="PivotTable3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20:G28" firstHeaderRow="0" firstDataRow="1" firstDataCol="1"/>
  <pivotFields count="15">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axis="axisRow" showAll="0">
      <items count="8">
        <item sd="0" x="2"/>
        <item sd="0" x="3"/>
        <item sd="0" x="4"/>
        <item sd="0" x="5"/>
        <item sd="0" x="6"/>
        <item sd="0" x="0"/>
        <item sd="0" x="1"/>
        <item t="default" sd="0"/>
      </items>
    </pivotField>
    <pivotField showAll="0">
      <items count="5">
        <item x="0"/>
        <item x="3"/>
        <item x="2"/>
        <item x="1"/>
        <item t="default"/>
      </items>
    </pivotField>
    <pivotField dataField="1" numFmtId="2" showAll="0"/>
    <pivotField dataField="1" numFmtId="164" showAll="0"/>
    <pivotField numFmtId="2" showAll="0"/>
    <pivotField dataField="1" showAll="0"/>
    <pivotField showAll="0"/>
    <pivotField showAll="0"/>
    <pivotField showAll="0"/>
  </pivotFields>
  <rowFields count="2">
    <field x="6"/>
    <field x="1"/>
  </rowFields>
  <rowItems count="8">
    <i>
      <x/>
    </i>
    <i>
      <x v="1"/>
    </i>
    <i>
      <x v="2"/>
    </i>
    <i>
      <x v="3"/>
    </i>
    <i>
      <x v="4"/>
    </i>
    <i>
      <x v="5"/>
    </i>
    <i>
      <x v="6"/>
    </i>
    <i t="grand">
      <x/>
    </i>
  </rowItems>
  <colFields count="1">
    <field x="-2"/>
  </colFields>
  <colItems count="3">
    <i>
      <x/>
    </i>
    <i i="1">
      <x v="1"/>
    </i>
    <i i="2">
      <x v="2"/>
    </i>
  </colItems>
  <dataFields count="3">
    <dataField name="Average of WindsSpeed" fld="11" subtotal="average" baseField="6" baseItem="0"/>
    <dataField name="Average of ATemp" fld="9" subtotal="average" baseField="6" baseItem="0"/>
    <dataField name="Average of Temp" fld="8" subtotal="average" baseField="6" baseItem="0"/>
  </dataField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0269F3-F57E-4BED-85FC-6F876E7DB1B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3:M42" firstHeaderRow="1" firstDataRow="1" firstDataCol="1"/>
  <pivotFields count="12">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dataField="1" showAll="0"/>
    <pivotField showAll="0"/>
    <pivotField showAll="0"/>
    <pivotField showAll="0">
      <items count="3">
        <item x="1"/>
        <item x="0"/>
        <item t="default"/>
      </items>
    </pivotField>
    <pivotField showAll="0"/>
    <pivotField showAll="0">
      <items count="4">
        <item x="2"/>
        <item x="0"/>
        <item x="1"/>
        <item t="default"/>
      </items>
    </pivotField>
    <pivotField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Cnt" fld="4" baseField="0" baseItem="0"/>
  </dataFields>
  <chartFormats count="30">
    <chartFormat chart="0"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0" format="31">
      <pivotArea type="data" outline="0" fieldPosition="0">
        <references count="2">
          <reference field="4294967294" count="1" selected="0">
            <x v="0"/>
          </reference>
          <reference field="1" count="1" selected="0">
            <x v="0"/>
          </reference>
        </references>
      </pivotArea>
    </chartFormat>
    <chartFormat chart="0" format="32">
      <pivotArea type="data" outline="0" fieldPosition="0">
        <references count="2">
          <reference field="4294967294" count="1" selected="0">
            <x v="0"/>
          </reference>
          <reference field="1" count="1" selected="0">
            <x v="1"/>
          </reference>
        </references>
      </pivotArea>
    </chartFormat>
    <chartFormat chart="0" format="33">
      <pivotArea type="data" outline="0" fieldPosition="0">
        <references count="2">
          <reference field="4294967294" count="1" selected="0">
            <x v="0"/>
          </reference>
          <reference field="1" count="1" selected="0">
            <x v="2"/>
          </reference>
        </references>
      </pivotArea>
    </chartFormat>
    <chartFormat chart="0" format="34">
      <pivotArea type="data" outline="0" fieldPosition="0">
        <references count="2">
          <reference field="4294967294" count="1" selected="0">
            <x v="0"/>
          </reference>
          <reference field="1" count="1" selected="0">
            <x v="3"/>
          </reference>
        </references>
      </pivotArea>
    </chartFormat>
    <chartFormat chart="0" format="35">
      <pivotArea type="data" outline="0" fieldPosition="0">
        <references count="2">
          <reference field="4294967294" count="1" selected="0">
            <x v="0"/>
          </reference>
          <reference field="1" count="1" selected="0">
            <x v="4"/>
          </reference>
        </references>
      </pivotArea>
    </chartFormat>
    <chartFormat chart="0" format="36">
      <pivotArea type="data" outline="0" fieldPosition="0">
        <references count="2">
          <reference field="4294967294" count="1" selected="0">
            <x v="0"/>
          </reference>
          <reference field="1" count="1" selected="0">
            <x v="5"/>
          </reference>
        </references>
      </pivotArea>
    </chartFormat>
    <chartFormat chart="0" format="37">
      <pivotArea type="data" outline="0" fieldPosition="0">
        <references count="2">
          <reference field="4294967294" count="1" selected="0">
            <x v="0"/>
          </reference>
          <reference field="1" count="1" selected="0">
            <x v="6"/>
          </reference>
        </references>
      </pivotArea>
    </chartFormat>
    <chartFormat chart="0" format="38">
      <pivotArea type="data" outline="0" fieldPosition="0">
        <references count="2">
          <reference field="4294967294" count="1" selected="0">
            <x v="0"/>
          </reference>
          <reference field="1" count="1" selected="0">
            <x v="7"/>
          </reference>
        </references>
      </pivotArea>
    </chartFormat>
    <chartFormat chart="0" format="39">
      <pivotArea type="data" outline="0" fieldPosition="0">
        <references count="2">
          <reference field="4294967294" count="1" selected="0">
            <x v="0"/>
          </reference>
          <reference field="1" count="1" selected="0">
            <x v="8"/>
          </reference>
        </references>
      </pivotArea>
    </chartFormat>
    <chartFormat chart="0" format="40">
      <pivotArea type="data" outline="0" fieldPosition="0">
        <references count="2">
          <reference field="4294967294" count="1" selected="0">
            <x v="0"/>
          </reference>
          <reference field="1" count="1" selected="0">
            <x v="9"/>
          </reference>
        </references>
      </pivotArea>
    </chartFormat>
    <chartFormat chart="0" format="41">
      <pivotArea type="data" outline="0" fieldPosition="0">
        <references count="2">
          <reference field="4294967294" count="1" selected="0">
            <x v="0"/>
          </reference>
          <reference field="1" count="1" selected="0">
            <x v="10"/>
          </reference>
        </references>
      </pivotArea>
    </chartFormat>
    <chartFormat chart="0" format="42">
      <pivotArea type="data" outline="0" fieldPosition="0">
        <references count="2">
          <reference field="4294967294" count="1" selected="0">
            <x v="0"/>
          </reference>
          <reference field="1" count="1" selected="0">
            <x v="11"/>
          </reference>
        </references>
      </pivotArea>
    </chartFormat>
    <chartFormat chart="0" format="43">
      <pivotArea type="data" outline="0" fieldPosition="0">
        <references count="2">
          <reference field="4294967294" count="1" selected="0">
            <x v="0"/>
          </reference>
          <reference field="1" count="1" selected="0">
            <x v="12"/>
          </reference>
        </references>
      </pivotArea>
    </chartFormat>
    <chartFormat chart="0" format="44">
      <pivotArea type="data" outline="0" fieldPosition="0">
        <references count="2">
          <reference field="4294967294" count="1" selected="0">
            <x v="0"/>
          </reference>
          <reference field="1" count="1" selected="0">
            <x v="13"/>
          </reference>
        </references>
      </pivotArea>
    </chartFormat>
    <chartFormat chart="0" format="45">
      <pivotArea type="data" outline="0" fieldPosition="0">
        <references count="2">
          <reference field="4294967294" count="1" selected="0">
            <x v="0"/>
          </reference>
          <reference field="1" count="1" selected="0">
            <x v="14"/>
          </reference>
        </references>
      </pivotArea>
    </chartFormat>
    <chartFormat chart="0" format="46">
      <pivotArea type="data" outline="0" fieldPosition="0">
        <references count="2">
          <reference field="4294967294" count="1" selected="0">
            <x v="0"/>
          </reference>
          <reference field="1" count="1" selected="0">
            <x v="15"/>
          </reference>
        </references>
      </pivotArea>
    </chartFormat>
    <chartFormat chart="0" format="47">
      <pivotArea type="data" outline="0" fieldPosition="0">
        <references count="2">
          <reference field="4294967294" count="1" selected="0">
            <x v="0"/>
          </reference>
          <reference field="1" count="1" selected="0">
            <x v="16"/>
          </reference>
        </references>
      </pivotArea>
    </chartFormat>
    <chartFormat chart="0" format="48">
      <pivotArea type="data" outline="0" fieldPosition="0">
        <references count="2">
          <reference field="4294967294" count="1" selected="0">
            <x v="0"/>
          </reference>
          <reference field="1" count="1" selected="0">
            <x v="17"/>
          </reference>
        </references>
      </pivotArea>
    </chartFormat>
    <chartFormat chart="0" format="49">
      <pivotArea type="data" outline="0" fieldPosition="0">
        <references count="2">
          <reference field="4294967294" count="1" selected="0">
            <x v="0"/>
          </reference>
          <reference field="1" count="1" selected="0">
            <x v="18"/>
          </reference>
        </references>
      </pivotArea>
    </chartFormat>
    <chartFormat chart="0" format="50">
      <pivotArea type="data" outline="0" fieldPosition="0">
        <references count="2">
          <reference field="4294967294" count="1" selected="0">
            <x v="0"/>
          </reference>
          <reference field="1" count="1" selected="0">
            <x v="19"/>
          </reference>
        </references>
      </pivotArea>
    </chartFormat>
    <chartFormat chart="0" format="51">
      <pivotArea type="data" outline="0" fieldPosition="0">
        <references count="2">
          <reference field="4294967294" count="1" selected="0">
            <x v="0"/>
          </reference>
          <reference field="1" count="1" selected="0">
            <x v="20"/>
          </reference>
        </references>
      </pivotArea>
    </chartFormat>
    <chartFormat chart="0" format="52">
      <pivotArea type="data" outline="0" fieldPosition="0">
        <references count="2">
          <reference field="4294967294" count="1" selected="0">
            <x v="0"/>
          </reference>
          <reference field="1" count="1" selected="0">
            <x v="21"/>
          </reference>
        </references>
      </pivotArea>
    </chartFormat>
    <chartFormat chart="0" format="53">
      <pivotArea type="data" outline="0" fieldPosition="0">
        <references count="2">
          <reference field="4294967294" count="1" selected="0">
            <x v="0"/>
          </reference>
          <reference field="1" count="1" selected="0">
            <x v="22"/>
          </reference>
        </references>
      </pivotArea>
    </chartFormat>
    <chartFormat chart="0" format="54">
      <pivotArea type="data" outline="0" fieldPosition="0">
        <references count="2">
          <reference field="4294967294" count="1" selected="0">
            <x v="0"/>
          </reference>
          <reference field="1" count="1" selected="0">
            <x v="23"/>
          </reference>
        </references>
      </pivotArea>
    </chartFormat>
    <chartFormat chart="0" format="55">
      <pivotArea type="data" outline="0" fieldPosition="0">
        <references count="2">
          <reference field="4294967294" count="1" selected="0">
            <x v="0"/>
          </reference>
          <reference field="1" count="1" selected="0">
            <x v="24"/>
          </reference>
        </references>
      </pivotArea>
    </chartFormat>
    <chartFormat chart="0" format="56">
      <pivotArea type="data" outline="0" fieldPosition="0">
        <references count="2">
          <reference field="4294967294" count="1" selected="0">
            <x v="0"/>
          </reference>
          <reference field="1" count="1" selected="0">
            <x v="25"/>
          </reference>
        </references>
      </pivotArea>
    </chartFormat>
    <chartFormat chart="0" format="57">
      <pivotArea type="data" outline="0" fieldPosition="0">
        <references count="2">
          <reference field="4294967294" count="1" selected="0">
            <x v="0"/>
          </reference>
          <reference field="1" count="1" selected="0">
            <x v="26"/>
          </reference>
        </references>
      </pivotArea>
    </chartFormat>
    <chartFormat chart="0" format="58">
      <pivotArea type="data" outline="0" fieldPosition="0">
        <references count="2">
          <reference field="4294967294" count="1" selected="0">
            <x v="0"/>
          </reference>
          <reference field="1" count="1" selected="0">
            <x v="27"/>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C1B0AE-2BA1-4FF5-9650-E53389AF4C7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J12" firstHeaderRow="1" firstDataRow="1" firstDataCol="0"/>
  <pivotFields count="15">
    <pivotField showAll="0"/>
    <pivotField numFmtId="14"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numFmtId="2" showAll="0"/>
    <pivotField numFmtId="164" showAll="0"/>
    <pivotField numFmtId="2" showAll="0"/>
    <pivotField showAll="0"/>
    <pivotField showAll="0"/>
    <pivotField showAll="0"/>
    <pivotField dataField="1" showAll="0"/>
  </pivotFields>
  <rowItems count="1">
    <i/>
  </rowItems>
  <colItems count="1">
    <i/>
  </colItems>
  <dataFields count="1">
    <dataField name="Average of Cnt" fld="14" subtotal="average" baseField="0" baseItem="0"/>
  </dataFields>
  <formats count="2">
    <format dxfId="7">
      <pivotArea outline="0" collapsedLevelsAreSubtotals="1" fieldPosition="0"/>
    </format>
    <format dxfId="6">
      <pivotArea outline="0" collapsedLevelsAreSubtotals="1" fieldPosition="0"/>
    </format>
  </formats>
  <pivotTableStyleInfo name="PivotStyleDark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AAEC59-29F0-46EF-BE83-CE96D4176C0D}" name="PivotTable2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location ref="A3:B11" firstHeaderRow="1" firstDataRow="1" firstDataCol="1"/>
  <pivotFields count="15">
    <pivotField showAll="0"/>
    <pivotField numFmtId="14" showAll="0"/>
    <pivotField showAll="0"/>
    <pivotField showAll="0"/>
    <pivotField showAll="0"/>
    <pivotField showAll="0"/>
    <pivotField axis="axisRow" showAll="0">
      <items count="8">
        <item x="2"/>
        <item x="3"/>
        <item x="4"/>
        <item x="5"/>
        <item x="6"/>
        <item x="0"/>
        <item x="1"/>
        <item t="default"/>
      </items>
    </pivotField>
    <pivotField showAll="0"/>
    <pivotField dataField="1" numFmtId="2" showAll="0"/>
    <pivotField numFmtId="164" showAll="0"/>
    <pivotField numFmtId="2"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Average of Temp" fld="8" subtotal="average" baseField="6" baseItem="0"/>
  </dataFields>
  <chartFormats count="1">
    <chartFormat chart="8"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3BEB46-10AD-46DD-A25F-64A182C1566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mand Level ">
  <location ref="D12:E16" firstHeaderRow="1" firstDataRow="1" firstDataCol="1"/>
  <pivotFields count="12">
    <pivotField showAll="0"/>
    <pivotField numFmtId="14" showAll="0"/>
    <pivotField showAll="0"/>
    <pivotField showAll="0"/>
    <pivotField dataField="1" showAll="0"/>
    <pivotField showAll="0"/>
    <pivotField showAll="0"/>
    <pivotField showAll="0"/>
    <pivotField showAll="0"/>
    <pivotField axis="axisRow" showAll="0">
      <items count="4">
        <item x="2"/>
        <item x="0"/>
        <item x="1"/>
        <item t="default"/>
      </items>
    </pivotField>
    <pivotField showAll="0"/>
    <pivotField showAll="0"/>
  </pivotFields>
  <rowFields count="1">
    <field x="9"/>
  </rowFields>
  <rowItems count="4">
    <i>
      <x/>
    </i>
    <i>
      <x v="1"/>
    </i>
    <i>
      <x v="2"/>
    </i>
    <i t="grand">
      <x/>
    </i>
  </rowItems>
  <colItems count="1">
    <i/>
  </colItems>
  <dataFields count="1">
    <dataField name="Count of Cnt" fld="4" subtotal="count" baseField="9"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173A31-BCE0-4EDB-81AB-03319417542C}" name="PivotTable3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D3:G8" firstHeaderRow="0" firstDataRow="1" firstDataCol="1"/>
  <pivotFields count="15">
    <pivotField showAll="0"/>
    <pivotField numFmtId="14" showAll="0"/>
    <pivotField showAll="0"/>
    <pivotField showAll="0"/>
    <pivotField showAll="0"/>
    <pivotField showAll="0"/>
    <pivotField showAll="0">
      <items count="8">
        <item x="2"/>
        <item x="3"/>
        <item x="4"/>
        <item x="5"/>
        <item x="6"/>
        <item x="0"/>
        <item x="1"/>
        <item t="default"/>
      </items>
    </pivotField>
    <pivotField axis="axisRow" showAll="0">
      <items count="5">
        <item x="0"/>
        <item x="3"/>
        <item x="2"/>
        <item x="1"/>
        <item t="default"/>
      </items>
    </pivotField>
    <pivotField numFmtId="2" showAll="0"/>
    <pivotField numFmtId="164" showAll="0"/>
    <pivotField numFmtId="2" showAll="0"/>
    <pivotField showAll="0"/>
    <pivotField dataField="1" showAll="0"/>
    <pivotField dataField="1" showAll="0"/>
    <pivotField dataField="1" showAll="0"/>
  </pivotFields>
  <rowFields count="1">
    <field x="7"/>
  </rowFields>
  <rowItems count="5">
    <i>
      <x/>
    </i>
    <i>
      <x v="1"/>
    </i>
    <i>
      <x v="2"/>
    </i>
    <i>
      <x v="3"/>
    </i>
    <i t="grand">
      <x/>
    </i>
  </rowItems>
  <colFields count="1">
    <field x="-2"/>
  </colFields>
  <colItems count="3">
    <i>
      <x/>
    </i>
    <i i="1">
      <x v="1"/>
    </i>
    <i i="2">
      <x v="2"/>
    </i>
  </colItems>
  <dataFields count="3">
    <dataField name="Average of Cnt" fld="14" subtotal="average" baseField="7" baseItem="1"/>
    <dataField name="Average of Casual" fld="12" subtotal="average" baseField="7" baseItem="1"/>
    <dataField name="Average of Registered" fld="13" subtotal="average" baseField="7" baseItem="1"/>
  </dataFields>
  <chartFormats count="15">
    <chartFormat chart="3" format="9"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2"/>
          </reference>
        </references>
      </pivotArea>
    </chartFormat>
    <chartFormat chart="6" format="4" series="1">
      <pivotArea type="data" outline="0" fieldPosition="0">
        <references count="1">
          <reference field="4294967294" count="1" selected="0">
            <x v="2"/>
          </reference>
        </references>
      </pivotArea>
    </chartFormat>
    <chartFormat chart="3" format="10" series="1">
      <pivotArea type="data" outline="0" fieldPosition="0">
        <references count="1">
          <reference field="4294967294" count="1" selected="0">
            <x v="2"/>
          </reference>
        </references>
      </pivotArea>
    </chartFormat>
    <chartFormat chart="9" format="2"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4E0EB9-116B-43BD-A41A-24CE4621D31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mp on peak demands ">
  <location ref="I19:J23" firstHeaderRow="1" firstDataRow="1" firstDataCol="1"/>
  <pivotFields count="12">
    <pivotField showAll="0"/>
    <pivotField numFmtId="14" showAll="0"/>
    <pivotField showAll="0"/>
    <pivotField showAll="0"/>
    <pivotField showAll="0"/>
    <pivotField showAll="0"/>
    <pivotField showAll="0"/>
    <pivotField showAll="0"/>
    <pivotField showAll="0"/>
    <pivotField axis="axisRow" showAll="0">
      <items count="4">
        <item x="2"/>
        <item x="0"/>
        <item x="1"/>
        <item t="default"/>
      </items>
    </pivotField>
    <pivotField dataField="1" showAll="0"/>
    <pivotField showAll="0"/>
  </pivotFields>
  <rowFields count="1">
    <field x="9"/>
  </rowFields>
  <rowItems count="4">
    <i>
      <x/>
    </i>
    <i>
      <x v="1"/>
    </i>
    <i>
      <x v="2"/>
    </i>
    <i t="grand">
      <x/>
    </i>
  </rowItems>
  <colItems count="1">
    <i/>
  </colItems>
  <dataFields count="1">
    <dataField name="Count of Weathersit" fld="10" subtotal="count" baseField="9"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F7FA3C3-1887-4C15-85A7-8BF4809CB7A7}" name="PivotTable3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I3:J8" firstHeaderRow="1" firstDataRow="1" firstDataCol="1"/>
  <pivotFields count="15">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items count="8">
        <item sd="0" x="2"/>
        <item sd="0" x="3"/>
        <item sd="0" x="4"/>
        <item sd="0" x="5"/>
        <item sd="0" x="6"/>
        <item sd="0" x="0"/>
        <item sd="0" x="1"/>
        <item t="default" sd="0"/>
      </items>
    </pivotField>
    <pivotField axis="axisRow" showAll="0">
      <items count="5">
        <item x="0"/>
        <item x="3"/>
        <item x="2"/>
        <item x="1"/>
        <item t="default"/>
      </items>
    </pivotField>
    <pivotField dataField="1" numFmtId="2" showAll="0"/>
    <pivotField numFmtId="164" showAll="0"/>
    <pivotField numFmtId="2" showAll="0"/>
    <pivotField showAll="0"/>
    <pivotField showAll="0"/>
    <pivotField showAll="0"/>
    <pivotField showAll="0"/>
  </pivotFields>
  <rowFields count="1">
    <field x="7"/>
  </rowFields>
  <rowItems count="5">
    <i>
      <x/>
    </i>
    <i>
      <x v="1"/>
    </i>
    <i>
      <x v="2"/>
    </i>
    <i>
      <x v="3"/>
    </i>
    <i t="grand">
      <x/>
    </i>
  </rowItems>
  <colItems count="1">
    <i/>
  </colItems>
  <dataFields count="1">
    <dataField name="Sum of Temp" fld="8" baseField="7"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5F9B9D6-33FC-4162-AA4F-2646F5CB86CE}" autoFormatId="16" applyNumberFormats="0" applyBorderFormats="0" applyFontFormats="0" applyPatternFormats="0" applyAlignmentFormats="0" applyWidthHeightFormats="0">
  <queryTableRefresh nextId="16">
    <queryTableFields count="15">
      <queryTableField id="1" name="instant" tableColumnId="1"/>
      <queryTableField id="2" name="dteday" tableColumnId="2"/>
      <queryTableField id="3" name="season" tableColumnId="3"/>
      <queryTableField id="4" name="mnth" tableColumnId="4"/>
      <queryTableField id="5" name="hr" tableColumnId="5"/>
      <queryTableField id="6" name="holiday" tableColumnId="6"/>
      <queryTableField id="7" name="weekday" tableColumnId="7"/>
      <queryTableField id="8" name="weathersit" tableColumnId="8"/>
      <queryTableField id="9" name="temp" tableColumnId="9"/>
      <queryTableField id="10" name="atemp" tableColumnId="10"/>
      <queryTableField id="11" name="hum" tableColumnId="11"/>
      <queryTableField id="12" name="windspeed" tableColumnId="12"/>
      <queryTableField id="13" name="casual" tableColumnId="13"/>
      <queryTableField id="14" name="registered" tableColumnId="14"/>
      <queryTableField id="15" name="cnt" tableColumnId="15"/>
    </queryTableFields>
  </queryTableRefresh>
  <extLst>
    <ext xmlns:x15="http://schemas.microsoft.com/office/spreadsheetml/2010/11/main" uri="{883FBD77-0823-4a55-B5E3-86C4891E6966}">
      <x15:queryTable sourceDataName="Query - Combined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D3F6A020-E9D8-40A5-84A4-898FB032887D}" sourceName="Weekday">
  <pivotTables>
    <pivotTable tabId="19" name="PivotTable33"/>
  </pivotTables>
  <data>
    <tabular pivotCacheId="277901353">
      <items count="7">
        <i x="2" s="1"/>
        <i x="3" s="1"/>
        <i x="4" s="1"/>
        <i x="5"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DECE72F9-2479-453A-8C76-0F2B3C7D3CB0}" sourceName="Weathersit">
  <pivotTables>
    <pivotTable tabId="19" name="PivotTable31"/>
  </pivotTables>
  <data>
    <tabular pivotCacheId="277901353">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mand_Level" xr10:uid="{D641C794-ED33-47EE-B987-F26F9E86A53B}" sourceName="Demand_Level">
  <pivotTables>
    <pivotTable tabId="19" name="PivotTable10"/>
  </pivotTables>
  <data>
    <tabular pivotCacheId="142996437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3" xr10:uid="{A1AF8F84-0AAA-478F-90AA-64736769E943}" cache="Slicer_Weekday" caption="Weekday" style="SlicerStyleDark6" rowHeight="241300"/>
  <slicer name="Weathersit 2" xr10:uid="{14561E8E-B329-4782-B53D-267F02F596B5}" cache="Slicer_Weathersit" caption="Weathersit" style="SlicerStyleLight2" rowHeight="241300"/>
  <slicer name="Demand_Level 2" xr10:uid="{970B596B-0E15-43FB-9574-7B632D77AAB7}" cache="Slicer_Demand_Level" caption="Demand_Level"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E921F5-75D5-4763-B638-2895BA15DC88}" name="Combined_Data" displayName="Combined_Data" ref="A1:O611" tableType="queryTable" totalsRowShown="0" headerRowDxfId="54" dataDxfId="52" headerRowBorderDxfId="53" tableBorderDxfId="51" totalsRowBorderDxfId="50">
  <autoFilter ref="A1:O611" xr:uid="{01E921F5-75D5-4763-B638-2895BA15DC88}"/>
  <sortState xmlns:xlrd2="http://schemas.microsoft.com/office/spreadsheetml/2017/richdata2" ref="A2:O611">
    <sortCondition ref="A1:A611"/>
  </sortState>
  <tableColumns count="15">
    <tableColumn id="1" xr3:uid="{3B0F38D2-3EB0-4217-82FF-C3B6518A39AD}" uniqueName="1" name="Instant" queryTableFieldId="1" dataDxfId="49"/>
    <tableColumn id="2" xr3:uid="{D964A09E-BDB9-4A40-ADA3-15D04EBD3AA6}" uniqueName="2" name="Date" queryTableFieldId="2" dataDxfId="48"/>
    <tableColumn id="3" xr3:uid="{6608479B-F261-4CBA-9DEB-8C5FA922852E}" uniqueName="3" name="Season" queryTableFieldId="3" dataDxfId="47"/>
    <tableColumn id="4" xr3:uid="{20122F33-3186-4747-97DD-C6A080DED64F}" uniqueName="4" name="Month" queryTableFieldId="4" dataDxfId="46"/>
    <tableColumn id="5" xr3:uid="{526249F5-2DC8-42F7-BDB7-3952BC97C3A2}" uniqueName="5" name="Hr" queryTableFieldId="5" dataDxfId="45"/>
    <tableColumn id="6" xr3:uid="{FBE99688-1D63-4503-A91B-47DCF8B03548}" uniqueName="6" name="Holiday" queryTableFieldId="6" dataDxfId="44"/>
    <tableColumn id="7" xr3:uid="{5737F969-D0C8-4270-8C8E-3C04D2FF176F}" uniqueName="7" name="Weekday" queryTableFieldId="7" dataDxfId="43"/>
    <tableColumn id="8" xr3:uid="{CB9E6150-2C30-4E22-A86B-B606E8500DB3}" uniqueName="8" name="Weathersit" queryTableFieldId="8" dataDxfId="42"/>
    <tableColumn id="9" xr3:uid="{08E3F044-8E43-41B1-A1B6-68C7CADA994E}" uniqueName="9" name="Temp" queryTableFieldId="9" dataDxfId="41"/>
    <tableColumn id="10" xr3:uid="{5255D134-9D70-43B6-A5A2-49572D539F16}" uniqueName="10" name="ATemp" queryTableFieldId="10" dataDxfId="40"/>
    <tableColumn id="11" xr3:uid="{9876DA17-33C7-4166-AE6E-0A41A7319EC3}" uniqueName="11" name="Hum" queryTableFieldId="11" dataDxfId="39"/>
    <tableColumn id="12" xr3:uid="{99FC240B-03C9-41E0-98C5-53A04598373E}" uniqueName="12" name="WindsSpeed" queryTableFieldId="12" dataDxfId="38"/>
    <tableColumn id="13" xr3:uid="{502784DD-C479-4C19-9CB7-C35091EB7861}" uniqueName="13" name="Casual" queryTableFieldId="13" dataDxfId="37"/>
    <tableColumn id="14" xr3:uid="{E0BFA11E-83AF-43D5-8D0A-8006A46A172A}" uniqueName="14" name="Registered" queryTableFieldId="14" dataDxfId="36"/>
    <tableColumn id="15" xr3:uid="{7E7512C2-B041-4E87-BEB5-92B8AC7C27C0}" uniqueName="15" name="Cnt" queryTableFieldId="15" dataDxfId="35"/>
  </tableColumns>
  <tableStyleInfo name="TableStyleMedium3"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D38F0B-3F4F-4F27-A46E-E0EEE068BF22}" name="Table1" displayName="Table1" ref="A1:L611" totalsRowShown="0" headerRowDxfId="24" dataDxfId="22" headerRowBorderDxfId="23" tableBorderDxfId="21" totalsRowBorderDxfId="20">
  <autoFilter ref="A1:L611" xr:uid="{19D38F0B-3F4F-4F27-A46E-E0EEE068BF22}"/>
  <tableColumns count="12">
    <tableColumn id="1" xr3:uid="{A6977F6C-8A02-463C-AAA5-614D6EBEE2DA}" name="Instant" dataDxfId="19"/>
    <tableColumn id="2" xr3:uid="{03A69243-30A6-4B35-8AE4-428E10BE15D4}" name="Date" dataDxfId="18">
      <calculatedColumnFormula>INDEX('Combined_Data'!B:B, MATCH(Derived_Data!A2, 'Combined_Data'!A:A, 0))</calculatedColumnFormula>
    </tableColumn>
    <tableColumn id="3" xr3:uid="{A5F9DB52-4084-444D-8E76-B0DA915D9168}" name="Weekday" dataDxfId="17">
      <calculatedColumnFormula>INDEX('Combined_Data'!G:G, MATCH(A2, 'Combined_Data'!A:A, 0))</calculatedColumnFormula>
    </tableColumn>
    <tableColumn id="4" xr3:uid="{B7ED5FA5-B3F5-45CD-B34D-709072A56F7D}" name="Holiday" dataDxfId="16">
      <calculatedColumnFormula>INDEX('Combined_Data'!F:F, MATCH(A2, 'Combined_Data'!A:A, 0))</calculatedColumnFormula>
    </tableColumn>
    <tableColumn id="5" xr3:uid="{D7D31682-F4E7-4371-BFCB-D7BF87B83631}" name="Cnt" dataDxfId="15">
      <calculatedColumnFormula>INDEX('Combined_Data'!O:O, MATCH(A2, 'Combined_Data'!A:A, 0))</calculatedColumnFormula>
    </tableColumn>
    <tableColumn id="6" xr3:uid="{B5B093ED-7A7E-4E7B-9F0B-E58929B236CC}" name="Casual" dataDxfId="14">
      <calculatedColumnFormula>INDEX('Combined_Data'!M:M, MATCH(A2, 'Combined_Data'!A:A, 0))</calculatedColumnFormula>
    </tableColumn>
    <tableColumn id="7" xr3:uid="{ED63EFD8-EB62-4D3F-8301-2C2B767581A7}" name="Registered" dataDxfId="13">
      <calculatedColumnFormula>INDEX('Combined_Data'!N:N, MATCH(A2, 'Combined_Data'!A:A, 0))</calculatedColumnFormula>
    </tableColumn>
    <tableColumn id="8" xr3:uid="{5B4CE37A-EDE9-496E-A1BC-145AAC551D8C}" name="Day_Type" dataDxfId="12">
      <calculatedColumnFormula>IF(OR(TRIM(C2)="Saturday",TRIM(C2)="Sunday"),"Weekend","Weekday")</calculatedColumnFormula>
    </tableColumn>
    <tableColumn id="9" xr3:uid="{2D7F2A8B-9DF6-41BE-856F-2AFDC403F97C}" name="Day_Category" dataDxfId="11">
      <calculatedColumnFormula>IF(D2=TRUE,"Holiday","Working Day")</calculatedColumnFormula>
    </tableColumn>
    <tableColumn id="10" xr3:uid="{18D1D91A-C7C8-4589-BDD6-78DC74D9CDB5}" name="Demand_Level" dataDxfId="10">
      <calculatedColumnFormula>IF(E2&lt;100,"Low",IF(E2&lt;=150,"Medium","High"))</calculatedColumnFormula>
    </tableColumn>
    <tableColumn id="11" xr3:uid="{651443C9-259F-4FCB-9FE3-ED7B24B9CA94}" name="Weathersit" dataDxfId="9">
      <calculatedColumnFormula>INDEX('Combined_Data'!H:H, MATCH(A2, 'Combined_Data'!A:A, 0))</calculatedColumnFormula>
    </tableColumn>
    <tableColumn id="12" xr3:uid="{CF598B4B-BEF4-4070-BB2D-7396B00C96DA}" name="Weather_Score" dataDxfId="8">
      <calculatedColumnFormula>VLOOKUP(TRIM(K2), $T$2:$U$5, 2, FALSE)</calculatedColumnFormula>
    </tableColumn>
  </tableColumns>
  <tableStyleInfo name="TableStyleMedium5"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94259-4419-4DB6-B74C-82D3587C2477}">
  <dimension ref="A1:O611"/>
  <sheetViews>
    <sheetView topLeftCell="B1" workbookViewId="0">
      <pane ySplit="1" topLeftCell="A2" activePane="bottomLeft" state="frozen"/>
      <selection pane="bottomLeft" activeCell="F1" sqref="F1"/>
    </sheetView>
  </sheetViews>
  <sheetFormatPr defaultRowHeight="14.5" x14ac:dyDescent="0.35"/>
  <cols>
    <col min="1" max="1" width="11.453125" bestFit="1" customWidth="1"/>
    <col min="2" max="2" width="12.1796875" customWidth="1"/>
    <col min="3" max="3" width="11.26953125" bestFit="1" customWidth="1"/>
    <col min="4" max="4" width="11.1796875" bestFit="1" customWidth="1"/>
    <col min="5" max="5" width="7.453125" bestFit="1" customWidth="1"/>
    <col min="6" max="6" width="11.54296875" bestFit="1" customWidth="1"/>
    <col min="7" max="7" width="13.1796875" bestFit="1" customWidth="1"/>
    <col min="8" max="8" width="14.7265625" bestFit="1" customWidth="1"/>
    <col min="9" max="9" width="10.1796875" bestFit="1" customWidth="1"/>
    <col min="10" max="10" width="11.26953125" bestFit="1" customWidth="1"/>
    <col min="11" max="11" width="9.453125" bestFit="1" customWidth="1"/>
    <col min="12" max="12" width="15.7265625" bestFit="1" customWidth="1"/>
    <col min="13" max="13" width="10.81640625" bestFit="1" customWidth="1"/>
    <col min="14" max="14" width="14.1796875" bestFit="1" customWidth="1"/>
    <col min="15" max="15" width="8.26953125" bestFit="1" customWidth="1"/>
  </cols>
  <sheetData>
    <row r="1" spans="1:15" x14ac:dyDescent="0.35">
      <c r="A1" s="6" t="s">
        <v>7</v>
      </c>
      <c r="B1" s="8" t="s">
        <v>5</v>
      </c>
      <c r="C1" s="8" t="s">
        <v>8</v>
      </c>
      <c r="D1" s="8" t="s">
        <v>6</v>
      </c>
      <c r="E1" s="8" t="s">
        <v>9</v>
      </c>
      <c r="F1" s="8" t="s">
        <v>10</v>
      </c>
      <c r="G1" s="8" t="s">
        <v>11</v>
      </c>
      <c r="H1" s="8" t="s">
        <v>12</v>
      </c>
      <c r="I1" s="8" t="s">
        <v>13</v>
      </c>
      <c r="J1" s="8" t="s">
        <v>19</v>
      </c>
      <c r="K1" s="8" t="s">
        <v>14</v>
      </c>
      <c r="L1" s="8" t="s">
        <v>15</v>
      </c>
      <c r="M1" s="8" t="s">
        <v>16</v>
      </c>
      <c r="N1" s="8" t="s">
        <v>17</v>
      </c>
      <c r="O1" s="9" t="s">
        <v>18</v>
      </c>
    </row>
    <row r="2" spans="1:15" x14ac:dyDescent="0.35">
      <c r="A2" s="10">
        <v>1</v>
      </c>
      <c r="B2" s="11">
        <v>40544</v>
      </c>
      <c r="C2" s="12" t="s">
        <v>4</v>
      </c>
      <c r="D2" s="12" t="str">
        <f>TEXT(B2,"mmmm")</f>
        <v>January</v>
      </c>
      <c r="E2" s="12">
        <v>0</v>
      </c>
      <c r="F2" s="12" t="b">
        <v>0</v>
      </c>
      <c r="G2" s="12" t="str">
        <f>TEXT(B2,"dddd")</f>
        <v>Saturday</v>
      </c>
      <c r="H2" s="12" t="s">
        <v>0</v>
      </c>
      <c r="I2" s="18">
        <v>0.24</v>
      </c>
      <c r="J2" s="19">
        <v>0.28789999999999999</v>
      </c>
      <c r="K2" s="18">
        <v>0.81</v>
      </c>
      <c r="L2" s="12">
        <v>0</v>
      </c>
      <c r="M2" s="12">
        <v>3</v>
      </c>
      <c r="N2" s="12">
        <v>13</v>
      </c>
      <c r="O2" s="13">
        <v>16</v>
      </c>
    </row>
    <row r="3" spans="1:15" x14ac:dyDescent="0.35">
      <c r="A3" s="10">
        <v>2</v>
      </c>
      <c r="B3" s="11">
        <v>40544</v>
      </c>
      <c r="C3" s="12" t="s">
        <v>4</v>
      </c>
      <c r="D3" s="12" t="str">
        <f t="shared" ref="D3:D66" si="0">TEXT(B3,"mmmm")</f>
        <v>January</v>
      </c>
      <c r="E3" s="12">
        <v>1</v>
      </c>
      <c r="F3" s="12" t="b">
        <v>0</v>
      </c>
      <c r="G3" s="12" t="str">
        <f t="shared" ref="G3:G66" si="1">TEXT(B3,"dddd")</f>
        <v>Saturday</v>
      </c>
      <c r="H3" s="12" t="s">
        <v>0</v>
      </c>
      <c r="I3" s="18">
        <v>0.22</v>
      </c>
      <c r="J3" s="19">
        <v>0.2727</v>
      </c>
      <c r="K3" s="18">
        <v>0.8</v>
      </c>
      <c r="L3" s="12">
        <v>0</v>
      </c>
      <c r="M3" s="12">
        <v>8</v>
      </c>
      <c r="N3" s="12">
        <v>32</v>
      </c>
      <c r="O3" s="13">
        <v>40</v>
      </c>
    </row>
    <row r="4" spans="1:15" x14ac:dyDescent="0.35">
      <c r="A4" s="10">
        <v>3</v>
      </c>
      <c r="B4" s="11">
        <v>40544</v>
      </c>
      <c r="C4" s="12" t="s">
        <v>4</v>
      </c>
      <c r="D4" s="12" t="str">
        <f t="shared" si="0"/>
        <v>January</v>
      </c>
      <c r="E4" s="12">
        <v>2</v>
      </c>
      <c r="F4" s="12" t="b">
        <v>0</v>
      </c>
      <c r="G4" s="12" t="str">
        <f t="shared" si="1"/>
        <v>Saturday</v>
      </c>
      <c r="H4" s="12" t="s">
        <v>0</v>
      </c>
      <c r="I4" s="18">
        <v>0.22</v>
      </c>
      <c r="J4" s="19">
        <v>0.2727</v>
      </c>
      <c r="K4" s="18">
        <v>0.8</v>
      </c>
      <c r="L4" s="12">
        <v>0</v>
      </c>
      <c r="M4" s="12">
        <v>5</v>
      </c>
      <c r="N4" s="12">
        <v>27</v>
      </c>
      <c r="O4" s="13">
        <v>32</v>
      </c>
    </row>
    <row r="5" spans="1:15" x14ac:dyDescent="0.35">
      <c r="A5" s="10">
        <v>4</v>
      </c>
      <c r="B5" s="11">
        <v>40544</v>
      </c>
      <c r="C5" s="12" t="s">
        <v>4</v>
      </c>
      <c r="D5" s="12" t="str">
        <f t="shared" si="0"/>
        <v>January</v>
      </c>
      <c r="E5" s="12">
        <v>3</v>
      </c>
      <c r="F5" s="12" t="b">
        <v>0</v>
      </c>
      <c r="G5" s="12" t="str">
        <f t="shared" si="1"/>
        <v>Saturday</v>
      </c>
      <c r="H5" s="12" t="s">
        <v>0</v>
      </c>
      <c r="I5" s="18">
        <v>0.24</v>
      </c>
      <c r="J5" s="19">
        <v>0.28789999999999999</v>
      </c>
      <c r="K5" s="18">
        <v>0.75</v>
      </c>
      <c r="L5" s="12">
        <v>0</v>
      </c>
      <c r="M5" s="12">
        <v>3</v>
      </c>
      <c r="N5" s="12">
        <v>10</v>
      </c>
      <c r="O5" s="13">
        <v>13</v>
      </c>
    </row>
    <row r="6" spans="1:15" x14ac:dyDescent="0.35">
      <c r="A6" s="10">
        <v>5</v>
      </c>
      <c r="B6" s="11">
        <v>40544</v>
      </c>
      <c r="C6" s="12" t="s">
        <v>4</v>
      </c>
      <c r="D6" s="12" t="str">
        <f t="shared" si="0"/>
        <v>January</v>
      </c>
      <c r="E6" s="12">
        <v>4</v>
      </c>
      <c r="F6" s="12" t="b">
        <v>0</v>
      </c>
      <c r="G6" s="12" t="str">
        <f t="shared" si="1"/>
        <v>Saturday</v>
      </c>
      <c r="H6" s="12" t="s">
        <v>0</v>
      </c>
      <c r="I6" s="18">
        <v>0.24</v>
      </c>
      <c r="J6" s="19">
        <v>0.28789999999999999</v>
      </c>
      <c r="K6" s="18">
        <v>0.75</v>
      </c>
      <c r="L6" s="12">
        <v>0</v>
      </c>
      <c r="M6" s="12">
        <v>0</v>
      </c>
      <c r="N6" s="12">
        <v>1</v>
      </c>
      <c r="O6" s="13">
        <v>1</v>
      </c>
    </row>
    <row r="7" spans="1:15" x14ac:dyDescent="0.35">
      <c r="A7" s="10">
        <v>6</v>
      </c>
      <c r="B7" s="11">
        <v>40544</v>
      </c>
      <c r="C7" s="12" t="s">
        <v>4</v>
      </c>
      <c r="D7" s="12" t="str">
        <f t="shared" si="0"/>
        <v>January</v>
      </c>
      <c r="E7" s="12">
        <v>5</v>
      </c>
      <c r="F7" s="12" t="b">
        <v>0</v>
      </c>
      <c r="G7" s="12" t="str">
        <f t="shared" si="1"/>
        <v>Saturday</v>
      </c>
      <c r="H7" s="12" t="s">
        <v>1</v>
      </c>
      <c r="I7" s="18">
        <v>0.24</v>
      </c>
      <c r="J7" s="19">
        <v>0.2576</v>
      </c>
      <c r="K7" s="18">
        <v>0.75</v>
      </c>
      <c r="L7" s="12">
        <v>8.9599999999999999E-2</v>
      </c>
      <c r="M7" s="12">
        <v>0</v>
      </c>
      <c r="N7" s="12">
        <v>1</v>
      </c>
      <c r="O7" s="13">
        <v>1</v>
      </c>
    </row>
    <row r="8" spans="1:15" x14ac:dyDescent="0.35">
      <c r="A8" s="10">
        <v>7</v>
      </c>
      <c r="B8" s="11">
        <v>40544</v>
      </c>
      <c r="C8" s="12" t="s">
        <v>4</v>
      </c>
      <c r="D8" s="12" t="str">
        <f t="shared" si="0"/>
        <v>January</v>
      </c>
      <c r="E8" s="12">
        <v>6</v>
      </c>
      <c r="F8" s="12" t="b">
        <v>0</v>
      </c>
      <c r="G8" s="12" t="str">
        <f t="shared" si="1"/>
        <v>Saturday</v>
      </c>
      <c r="H8" s="12" t="s">
        <v>0</v>
      </c>
      <c r="I8" s="18">
        <v>0.22</v>
      </c>
      <c r="J8" s="19">
        <v>0.2727</v>
      </c>
      <c r="K8" s="18">
        <v>0.8</v>
      </c>
      <c r="L8" s="12">
        <v>0</v>
      </c>
      <c r="M8" s="12">
        <v>2</v>
      </c>
      <c r="N8" s="12">
        <v>0</v>
      </c>
      <c r="O8" s="13">
        <v>2</v>
      </c>
    </row>
    <row r="9" spans="1:15" x14ac:dyDescent="0.35">
      <c r="A9" s="10">
        <v>8</v>
      </c>
      <c r="B9" s="11">
        <v>40544</v>
      </c>
      <c r="C9" s="12" t="s">
        <v>4</v>
      </c>
      <c r="D9" s="12" t="str">
        <f t="shared" si="0"/>
        <v>January</v>
      </c>
      <c r="E9" s="12">
        <v>7</v>
      </c>
      <c r="F9" s="12" t="b">
        <v>0</v>
      </c>
      <c r="G9" s="12" t="str">
        <f t="shared" si="1"/>
        <v>Saturday</v>
      </c>
      <c r="H9" s="12" t="s">
        <v>0</v>
      </c>
      <c r="I9" s="18">
        <v>0.2</v>
      </c>
      <c r="J9" s="19">
        <v>0.2576</v>
      </c>
      <c r="K9" s="18">
        <v>0.86</v>
      </c>
      <c r="L9" s="12">
        <v>0</v>
      </c>
      <c r="M9" s="12">
        <v>1</v>
      </c>
      <c r="N9" s="12">
        <v>2</v>
      </c>
      <c r="O9" s="13">
        <v>3</v>
      </c>
    </row>
    <row r="10" spans="1:15" x14ac:dyDescent="0.35">
      <c r="A10" s="10">
        <v>9</v>
      </c>
      <c r="B10" s="11">
        <v>40544</v>
      </c>
      <c r="C10" s="12" t="s">
        <v>4</v>
      </c>
      <c r="D10" s="12" t="str">
        <f t="shared" si="0"/>
        <v>January</v>
      </c>
      <c r="E10" s="12">
        <v>8</v>
      </c>
      <c r="F10" s="12" t="b">
        <v>0</v>
      </c>
      <c r="G10" s="12" t="str">
        <f t="shared" si="1"/>
        <v>Saturday</v>
      </c>
      <c r="H10" s="12" t="s">
        <v>0</v>
      </c>
      <c r="I10" s="18">
        <v>0.24</v>
      </c>
      <c r="J10" s="19">
        <v>0.19700000000000001</v>
      </c>
      <c r="K10" s="18">
        <v>0.75</v>
      </c>
      <c r="L10" s="12">
        <v>0</v>
      </c>
      <c r="M10" s="12">
        <v>1</v>
      </c>
      <c r="N10" s="12">
        <v>7</v>
      </c>
      <c r="O10" s="13">
        <v>8</v>
      </c>
    </row>
    <row r="11" spans="1:15" x14ac:dyDescent="0.35">
      <c r="A11" s="10">
        <v>10</v>
      </c>
      <c r="B11" s="11">
        <v>40544</v>
      </c>
      <c r="C11" s="12" t="s">
        <v>4</v>
      </c>
      <c r="D11" s="12" t="str">
        <f t="shared" si="0"/>
        <v>January</v>
      </c>
      <c r="E11" s="12">
        <v>9</v>
      </c>
      <c r="F11" s="12" t="b">
        <v>0</v>
      </c>
      <c r="G11" s="12" t="str">
        <f t="shared" si="1"/>
        <v>Saturday</v>
      </c>
      <c r="H11" s="12" t="s">
        <v>0</v>
      </c>
      <c r="I11" s="18">
        <v>0.32</v>
      </c>
      <c r="J11" s="19">
        <v>0.34849999999999998</v>
      </c>
      <c r="K11" s="18">
        <v>0.76</v>
      </c>
      <c r="L11" s="12">
        <v>0</v>
      </c>
      <c r="M11" s="12">
        <v>8</v>
      </c>
      <c r="N11" s="12">
        <v>6</v>
      </c>
      <c r="O11" s="13">
        <v>14</v>
      </c>
    </row>
    <row r="12" spans="1:15" x14ac:dyDescent="0.35">
      <c r="A12" s="10">
        <v>11</v>
      </c>
      <c r="B12" s="11">
        <v>40544</v>
      </c>
      <c r="C12" s="12" t="s">
        <v>4</v>
      </c>
      <c r="D12" s="12" t="str">
        <f t="shared" si="0"/>
        <v>January</v>
      </c>
      <c r="E12" s="12">
        <v>10</v>
      </c>
      <c r="F12" s="12" t="b">
        <v>0</v>
      </c>
      <c r="G12" s="12" t="str">
        <f t="shared" si="1"/>
        <v>Saturday</v>
      </c>
      <c r="H12" s="12" t="s">
        <v>0</v>
      </c>
      <c r="I12" s="18">
        <v>0.38</v>
      </c>
      <c r="J12" s="19">
        <v>0.39389999999999997</v>
      </c>
      <c r="K12" s="18">
        <v>0.76</v>
      </c>
      <c r="L12" s="12">
        <v>0.25369999999999998</v>
      </c>
      <c r="M12" s="12">
        <v>12</v>
      </c>
      <c r="N12" s="12">
        <v>24</v>
      </c>
      <c r="O12" s="13">
        <v>36</v>
      </c>
    </row>
    <row r="13" spans="1:15" x14ac:dyDescent="0.35">
      <c r="A13" s="10">
        <v>12</v>
      </c>
      <c r="B13" s="11">
        <v>40544</v>
      </c>
      <c r="C13" s="12" t="s">
        <v>4</v>
      </c>
      <c r="D13" s="12" t="str">
        <f t="shared" si="0"/>
        <v>January</v>
      </c>
      <c r="E13" s="12">
        <v>11</v>
      </c>
      <c r="F13" s="12" t="b">
        <v>0</v>
      </c>
      <c r="G13" s="12" t="str">
        <f t="shared" si="1"/>
        <v>Saturday</v>
      </c>
      <c r="H13" s="12" t="s">
        <v>0</v>
      </c>
      <c r="I13" s="18">
        <v>0.36</v>
      </c>
      <c r="J13" s="19">
        <v>0.33329999999999999</v>
      </c>
      <c r="K13" s="18">
        <v>0.81</v>
      </c>
      <c r="L13" s="12">
        <v>0.28360000000000002</v>
      </c>
      <c r="M13" s="12">
        <v>26</v>
      </c>
      <c r="N13" s="12">
        <v>30</v>
      </c>
      <c r="O13" s="13">
        <v>56</v>
      </c>
    </row>
    <row r="14" spans="1:15" x14ac:dyDescent="0.35">
      <c r="A14" s="10">
        <v>13</v>
      </c>
      <c r="B14" s="11">
        <v>40544</v>
      </c>
      <c r="C14" s="12" t="s">
        <v>4</v>
      </c>
      <c r="D14" s="12" t="str">
        <f t="shared" si="0"/>
        <v>January</v>
      </c>
      <c r="E14" s="12">
        <v>12</v>
      </c>
      <c r="F14" s="12" t="b">
        <v>0</v>
      </c>
      <c r="G14" s="12" t="str">
        <f t="shared" si="1"/>
        <v>Saturday</v>
      </c>
      <c r="H14" s="12" t="s">
        <v>0</v>
      </c>
      <c r="I14" s="18">
        <v>0.42</v>
      </c>
      <c r="J14" s="19">
        <v>0.42420000000000002</v>
      </c>
      <c r="K14" s="18">
        <v>0.77</v>
      </c>
      <c r="L14" s="12">
        <v>0.28360000000000002</v>
      </c>
      <c r="M14" s="12">
        <v>29</v>
      </c>
      <c r="N14" s="12">
        <v>55</v>
      </c>
      <c r="O14" s="13">
        <v>84</v>
      </c>
    </row>
    <row r="15" spans="1:15" x14ac:dyDescent="0.35">
      <c r="A15" s="10">
        <v>14</v>
      </c>
      <c r="B15" s="11">
        <v>40544</v>
      </c>
      <c r="C15" s="12" t="s">
        <v>4</v>
      </c>
      <c r="D15" s="12" t="str">
        <f t="shared" si="0"/>
        <v>January</v>
      </c>
      <c r="E15" s="12">
        <v>13</v>
      </c>
      <c r="F15" s="12" t="b">
        <v>0</v>
      </c>
      <c r="G15" s="12" t="str">
        <f t="shared" si="1"/>
        <v>Saturday</v>
      </c>
      <c r="H15" s="12" t="s">
        <v>1</v>
      </c>
      <c r="I15" s="18">
        <v>0.46</v>
      </c>
      <c r="J15" s="19">
        <v>0.45450000000000002</v>
      </c>
      <c r="K15" s="18">
        <v>0.72</v>
      </c>
      <c r="L15" s="12">
        <v>0.29849999999999999</v>
      </c>
      <c r="M15" s="12">
        <v>47</v>
      </c>
      <c r="N15" s="12">
        <v>47</v>
      </c>
      <c r="O15" s="13">
        <v>94</v>
      </c>
    </row>
    <row r="16" spans="1:15" x14ac:dyDescent="0.35">
      <c r="A16" s="10">
        <v>15</v>
      </c>
      <c r="B16" s="11">
        <v>40544</v>
      </c>
      <c r="C16" s="12" t="s">
        <v>4</v>
      </c>
      <c r="D16" s="12" t="str">
        <f t="shared" si="0"/>
        <v>January</v>
      </c>
      <c r="E16" s="12">
        <v>14</v>
      </c>
      <c r="F16" s="12" t="b">
        <v>0</v>
      </c>
      <c r="G16" s="12" t="str">
        <f t="shared" si="1"/>
        <v>Saturday</v>
      </c>
      <c r="H16" s="12" t="s">
        <v>1</v>
      </c>
      <c r="I16" s="18">
        <v>0.46</v>
      </c>
      <c r="J16" s="19">
        <v>0.45450000000000002</v>
      </c>
      <c r="K16" s="18">
        <v>0.72</v>
      </c>
      <c r="L16" s="12">
        <v>0.28360000000000002</v>
      </c>
      <c r="M16" s="12">
        <v>35</v>
      </c>
      <c r="N16" s="12">
        <v>71</v>
      </c>
      <c r="O16" s="13">
        <v>106</v>
      </c>
    </row>
    <row r="17" spans="1:15" x14ac:dyDescent="0.35">
      <c r="A17" s="10">
        <v>16</v>
      </c>
      <c r="B17" s="11">
        <v>40544</v>
      </c>
      <c r="C17" s="12" t="s">
        <v>4</v>
      </c>
      <c r="D17" s="12" t="str">
        <f t="shared" si="0"/>
        <v>January</v>
      </c>
      <c r="E17" s="12">
        <v>15</v>
      </c>
      <c r="F17" s="12" t="b">
        <v>0</v>
      </c>
      <c r="G17" s="12" t="str">
        <f t="shared" si="1"/>
        <v>Saturday</v>
      </c>
      <c r="H17" s="12" t="s">
        <v>1</v>
      </c>
      <c r="I17" s="18">
        <v>0.44</v>
      </c>
      <c r="J17" s="19">
        <v>0.43940000000000001</v>
      </c>
      <c r="K17" s="18">
        <v>0.77</v>
      </c>
      <c r="L17" s="12">
        <v>0.29849999999999999</v>
      </c>
      <c r="M17" s="12">
        <v>40</v>
      </c>
      <c r="N17" s="12">
        <v>70</v>
      </c>
      <c r="O17" s="13">
        <v>110</v>
      </c>
    </row>
    <row r="18" spans="1:15" x14ac:dyDescent="0.35">
      <c r="A18" s="10">
        <v>17</v>
      </c>
      <c r="B18" s="11">
        <v>40544</v>
      </c>
      <c r="C18" s="12" t="s">
        <v>4</v>
      </c>
      <c r="D18" s="12" t="str">
        <f t="shared" si="0"/>
        <v>January</v>
      </c>
      <c r="E18" s="12">
        <v>16</v>
      </c>
      <c r="F18" s="12" t="b">
        <v>0</v>
      </c>
      <c r="G18" s="12" t="str">
        <f t="shared" si="1"/>
        <v>Saturday</v>
      </c>
      <c r="H18" s="12" t="s">
        <v>1</v>
      </c>
      <c r="I18" s="18">
        <v>0.42</v>
      </c>
      <c r="J18" s="19">
        <v>0.42420000000000002</v>
      </c>
      <c r="K18" s="18">
        <v>0.82</v>
      </c>
      <c r="L18" s="12">
        <v>0.29849999999999999</v>
      </c>
      <c r="M18" s="12">
        <v>41</v>
      </c>
      <c r="N18" s="12">
        <v>52</v>
      </c>
      <c r="O18" s="13">
        <v>93</v>
      </c>
    </row>
    <row r="19" spans="1:15" x14ac:dyDescent="0.35">
      <c r="A19" s="10">
        <v>18</v>
      </c>
      <c r="B19" s="11">
        <v>40544</v>
      </c>
      <c r="C19" s="12" t="s">
        <v>4</v>
      </c>
      <c r="D19" s="12" t="str">
        <f t="shared" si="0"/>
        <v>January</v>
      </c>
      <c r="E19" s="12">
        <v>17</v>
      </c>
      <c r="F19" s="12" t="b">
        <v>0</v>
      </c>
      <c r="G19" s="12" t="str">
        <f t="shared" si="1"/>
        <v>Saturday</v>
      </c>
      <c r="H19" s="12" t="s">
        <v>1</v>
      </c>
      <c r="I19" s="18">
        <v>0.44</v>
      </c>
      <c r="J19" s="19">
        <v>0.19700000000000001</v>
      </c>
      <c r="K19" s="18">
        <v>0.82</v>
      </c>
      <c r="L19" s="12">
        <v>0.28360000000000002</v>
      </c>
      <c r="M19" s="12">
        <v>15</v>
      </c>
      <c r="N19" s="12">
        <v>52</v>
      </c>
      <c r="O19" s="13">
        <v>67</v>
      </c>
    </row>
    <row r="20" spans="1:15" x14ac:dyDescent="0.35">
      <c r="A20" s="10">
        <v>19</v>
      </c>
      <c r="B20" s="11">
        <v>40544</v>
      </c>
      <c r="C20" s="12" t="s">
        <v>4</v>
      </c>
      <c r="D20" s="12" t="str">
        <f t="shared" si="0"/>
        <v>January</v>
      </c>
      <c r="E20" s="12">
        <v>18</v>
      </c>
      <c r="F20" s="12" t="b">
        <v>0</v>
      </c>
      <c r="G20" s="12" t="str">
        <f t="shared" si="1"/>
        <v>Saturday</v>
      </c>
      <c r="H20" s="12" t="s">
        <v>2</v>
      </c>
      <c r="I20" s="18">
        <v>0.42</v>
      </c>
      <c r="J20" s="19">
        <v>0.42420000000000002</v>
      </c>
      <c r="K20" s="18">
        <v>0.88</v>
      </c>
      <c r="L20" s="12">
        <v>0.25369999999999998</v>
      </c>
      <c r="M20" s="12">
        <v>9</v>
      </c>
      <c r="N20" s="12">
        <v>26</v>
      </c>
      <c r="O20" s="13">
        <v>35</v>
      </c>
    </row>
    <row r="21" spans="1:15" x14ac:dyDescent="0.35">
      <c r="A21" s="10">
        <v>20</v>
      </c>
      <c r="B21" s="11">
        <v>40544</v>
      </c>
      <c r="C21" s="12" t="s">
        <v>4</v>
      </c>
      <c r="D21" s="12" t="str">
        <f t="shared" si="0"/>
        <v>January</v>
      </c>
      <c r="E21" s="12">
        <v>19</v>
      </c>
      <c r="F21" s="12" t="b">
        <v>0</v>
      </c>
      <c r="G21" s="12" t="str">
        <f t="shared" si="1"/>
        <v>Saturday</v>
      </c>
      <c r="H21" s="12" t="s">
        <v>2</v>
      </c>
      <c r="I21" s="18">
        <v>0.42</v>
      </c>
      <c r="J21" s="19">
        <v>0.42420000000000002</v>
      </c>
      <c r="K21" s="18">
        <v>0.88</v>
      </c>
      <c r="L21" s="12">
        <v>0.25369999999999998</v>
      </c>
      <c r="M21" s="12">
        <v>6</v>
      </c>
      <c r="N21" s="12">
        <v>31</v>
      </c>
      <c r="O21" s="13">
        <v>37</v>
      </c>
    </row>
    <row r="22" spans="1:15" x14ac:dyDescent="0.35">
      <c r="A22" s="10">
        <v>21</v>
      </c>
      <c r="B22" s="11">
        <v>40544</v>
      </c>
      <c r="C22" s="12" t="s">
        <v>4</v>
      </c>
      <c r="D22" s="12" t="str">
        <f t="shared" si="0"/>
        <v>January</v>
      </c>
      <c r="E22" s="12">
        <v>20</v>
      </c>
      <c r="F22" s="12" t="b">
        <v>0</v>
      </c>
      <c r="G22" s="12" t="str">
        <f t="shared" si="1"/>
        <v>Saturday</v>
      </c>
      <c r="H22" s="12" t="s">
        <v>1</v>
      </c>
      <c r="I22" s="18">
        <v>0.4</v>
      </c>
      <c r="J22" s="19">
        <v>0.40910000000000002</v>
      </c>
      <c r="K22" s="18">
        <v>0.87</v>
      </c>
      <c r="L22" s="12">
        <v>0.25369999999999998</v>
      </c>
      <c r="M22" s="12">
        <v>11</v>
      </c>
      <c r="N22" s="12">
        <v>25</v>
      </c>
      <c r="O22" s="13">
        <v>36</v>
      </c>
    </row>
    <row r="23" spans="1:15" x14ac:dyDescent="0.35">
      <c r="A23" s="10">
        <v>22</v>
      </c>
      <c r="B23" s="11">
        <v>40544</v>
      </c>
      <c r="C23" s="12" t="s">
        <v>4</v>
      </c>
      <c r="D23" s="12" t="str">
        <f t="shared" si="0"/>
        <v>January</v>
      </c>
      <c r="E23" s="12">
        <v>21</v>
      </c>
      <c r="F23" s="12" t="b">
        <v>0</v>
      </c>
      <c r="G23" s="12" t="str">
        <f t="shared" si="1"/>
        <v>Saturday</v>
      </c>
      <c r="H23" s="12" t="s">
        <v>1</v>
      </c>
      <c r="I23" s="18">
        <v>0.4</v>
      </c>
      <c r="J23" s="19">
        <v>0.40910000000000002</v>
      </c>
      <c r="K23" s="18">
        <v>0.87</v>
      </c>
      <c r="L23" s="12">
        <v>0.19400000000000001</v>
      </c>
      <c r="M23" s="12">
        <v>3</v>
      </c>
      <c r="N23" s="12">
        <v>31</v>
      </c>
      <c r="O23" s="13">
        <v>34</v>
      </c>
    </row>
    <row r="24" spans="1:15" x14ac:dyDescent="0.35">
      <c r="A24" s="10">
        <v>23</v>
      </c>
      <c r="B24" s="11">
        <v>40544</v>
      </c>
      <c r="C24" s="12" t="s">
        <v>4</v>
      </c>
      <c r="D24" s="12" t="str">
        <f t="shared" si="0"/>
        <v>January</v>
      </c>
      <c r="E24" s="12">
        <v>22</v>
      </c>
      <c r="F24" s="12" t="b">
        <v>0</v>
      </c>
      <c r="G24" s="12" t="str">
        <f t="shared" si="1"/>
        <v>Saturday</v>
      </c>
      <c r="H24" s="12" t="s">
        <v>1</v>
      </c>
      <c r="I24" s="18">
        <v>0.4</v>
      </c>
      <c r="J24" s="19">
        <v>0.40910000000000002</v>
      </c>
      <c r="K24" s="18">
        <v>0.94</v>
      </c>
      <c r="L24" s="12">
        <v>0.22389999999999999</v>
      </c>
      <c r="M24" s="12">
        <v>11</v>
      </c>
      <c r="N24" s="12">
        <v>17</v>
      </c>
      <c r="O24" s="13">
        <v>28</v>
      </c>
    </row>
    <row r="25" spans="1:15" x14ac:dyDescent="0.35">
      <c r="A25" s="10">
        <v>24</v>
      </c>
      <c r="B25" s="11">
        <v>40544</v>
      </c>
      <c r="C25" s="12" t="s">
        <v>4</v>
      </c>
      <c r="D25" s="12" t="str">
        <f t="shared" si="0"/>
        <v>January</v>
      </c>
      <c r="E25" s="12">
        <v>23</v>
      </c>
      <c r="F25" s="12" t="b">
        <v>0</v>
      </c>
      <c r="G25" s="12" t="str">
        <f t="shared" si="1"/>
        <v>Saturday</v>
      </c>
      <c r="H25" s="12" t="s">
        <v>1</v>
      </c>
      <c r="I25" s="18">
        <v>0.46</v>
      </c>
      <c r="J25" s="19">
        <v>0.19700000000000001</v>
      </c>
      <c r="K25" s="18">
        <v>0.88</v>
      </c>
      <c r="L25" s="12">
        <v>0.29849999999999999</v>
      </c>
      <c r="M25" s="12">
        <v>15</v>
      </c>
      <c r="N25" s="12">
        <v>24</v>
      </c>
      <c r="O25" s="13">
        <v>39</v>
      </c>
    </row>
    <row r="26" spans="1:15" x14ac:dyDescent="0.35">
      <c r="A26" s="10">
        <v>25</v>
      </c>
      <c r="B26" s="11">
        <v>40545</v>
      </c>
      <c r="C26" s="12" t="s">
        <v>4</v>
      </c>
      <c r="D26" s="12" t="str">
        <f t="shared" si="0"/>
        <v>January</v>
      </c>
      <c r="E26" s="12">
        <v>0</v>
      </c>
      <c r="F26" s="12" t="b">
        <v>0</v>
      </c>
      <c r="G26" s="12" t="str">
        <f t="shared" si="1"/>
        <v>Sunday</v>
      </c>
      <c r="H26" s="12" t="s">
        <v>1</v>
      </c>
      <c r="I26" s="18">
        <v>0.46</v>
      </c>
      <c r="J26" s="19">
        <v>0.45450000000000002</v>
      </c>
      <c r="K26" s="18">
        <v>0.88</v>
      </c>
      <c r="L26" s="12">
        <v>0.29849999999999999</v>
      </c>
      <c r="M26" s="12">
        <v>4</v>
      </c>
      <c r="N26" s="12">
        <v>13</v>
      </c>
      <c r="O26" s="13">
        <v>17</v>
      </c>
    </row>
    <row r="27" spans="1:15" x14ac:dyDescent="0.35">
      <c r="A27" s="10">
        <v>26</v>
      </c>
      <c r="B27" s="11">
        <v>40545</v>
      </c>
      <c r="C27" s="12" t="s">
        <v>4</v>
      </c>
      <c r="D27" s="12" t="str">
        <f t="shared" si="0"/>
        <v>January</v>
      </c>
      <c r="E27" s="12">
        <v>1</v>
      </c>
      <c r="F27" s="12" t="b">
        <v>0</v>
      </c>
      <c r="G27" s="12" t="str">
        <f t="shared" si="1"/>
        <v>Sunday</v>
      </c>
      <c r="H27" s="12" t="s">
        <v>1</v>
      </c>
      <c r="I27" s="18">
        <v>0.44</v>
      </c>
      <c r="J27" s="19">
        <v>0.43940000000000001</v>
      </c>
      <c r="K27" s="18">
        <v>0.94</v>
      </c>
      <c r="L27" s="12">
        <v>0.25369999999999998</v>
      </c>
      <c r="M27" s="12">
        <v>1</v>
      </c>
      <c r="N27" s="12">
        <v>16</v>
      </c>
      <c r="O27" s="13">
        <v>17</v>
      </c>
    </row>
    <row r="28" spans="1:15" x14ac:dyDescent="0.35">
      <c r="A28" s="10">
        <v>27</v>
      </c>
      <c r="B28" s="11">
        <v>40545</v>
      </c>
      <c r="C28" s="12" t="s">
        <v>4</v>
      </c>
      <c r="D28" s="12" t="str">
        <f t="shared" si="0"/>
        <v>January</v>
      </c>
      <c r="E28" s="12">
        <v>2</v>
      </c>
      <c r="F28" s="12" t="b">
        <v>0</v>
      </c>
      <c r="G28" s="12" t="str">
        <f t="shared" si="1"/>
        <v>Sunday</v>
      </c>
      <c r="H28" s="12" t="s">
        <v>1</v>
      </c>
      <c r="I28" s="18">
        <v>0.42</v>
      </c>
      <c r="J28" s="19">
        <v>0.42420000000000002</v>
      </c>
      <c r="K28" s="18">
        <v>1</v>
      </c>
      <c r="L28" s="12">
        <v>0.28360000000000002</v>
      </c>
      <c r="M28" s="12">
        <v>1</v>
      </c>
      <c r="N28" s="12">
        <v>8</v>
      </c>
      <c r="O28" s="13">
        <v>9</v>
      </c>
    </row>
    <row r="29" spans="1:15" x14ac:dyDescent="0.35">
      <c r="A29" s="10">
        <v>28</v>
      </c>
      <c r="B29" s="11">
        <v>40545</v>
      </c>
      <c r="C29" s="12" t="s">
        <v>4</v>
      </c>
      <c r="D29" s="12" t="str">
        <f t="shared" si="0"/>
        <v>January</v>
      </c>
      <c r="E29" s="12">
        <v>3</v>
      </c>
      <c r="F29" s="12" t="b">
        <v>0</v>
      </c>
      <c r="G29" s="12" t="str">
        <f t="shared" si="1"/>
        <v>Sunday</v>
      </c>
      <c r="H29" s="12" t="s">
        <v>1</v>
      </c>
      <c r="I29" s="18">
        <v>0.46</v>
      </c>
      <c r="J29" s="19">
        <v>0.45450000000000002</v>
      </c>
      <c r="K29" s="18">
        <v>0.94</v>
      </c>
      <c r="L29" s="12">
        <v>0.19400000000000001</v>
      </c>
      <c r="M29" s="12">
        <v>2</v>
      </c>
      <c r="N29" s="12">
        <v>4</v>
      </c>
      <c r="O29" s="13">
        <v>6</v>
      </c>
    </row>
    <row r="30" spans="1:15" x14ac:dyDescent="0.35">
      <c r="A30" s="10">
        <v>29</v>
      </c>
      <c r="B30" s="11">
        <v>40545</v>
      </c>
      <c r="C30" s="12" t="s">
        <v>4</v>
      </c>
      <c r="D30" s="12" t="str">
        <f t="shared" si="0"/>
        <v>January</v>
      </c>
      <c r="E30" s="12">
        <v>4</v>
      </c>
      <c r="F30" s="12" t="b">
        <v>0</v>
      </c>
      <c r="G30" s="12" t="str">
        <f t="shared" si="1"/>
        <v>Sunday</v>
      </c>
      <c r="H30" s="12" t="s">
        <v>1</v>
      </c>
      <c r="I30" s="18">
        <v>0.46</v>
      </c>
      <c r="J30" s="19">
        <v>0.19700000000000001</v>
      </c>
      <c r="K30" s="18">
        <v>0.94</v>
      </c>
      <c r="L30" s="12">
        <v>0.19400000000000001</v>
      </c>
      <c r="M30" s="12">
        <v>2</v>
      </c>
      <c r="N30" s="12">
        <v>1</v>
      </c>
      <c r="O30" s="13">
        <v>3</v>
      </c>
    </row>
    <row r="31" spans="1:15" x14ac:dyDescent="0.35">
      <c r="A31" s="10">
        <v>30</v>
      </c>
      <c r="B31" s="11">
        <v>40545</v>
      </c>
      <c r="C31" s="12" t="s">
        <v>4</v>
      </c>
      <c r="D31" s="12" t="str">
        <f t="shared" si="0"/>
        <v>January</v>
      </c>
      <c r="E31" s="12">
        <v>6</v>
      </c>
      <c r="F31" s="12" t="b">
        <v>0</v>
      </c>
      <c r="G31" s="12" t="str">
        <f t="shared" si="1"/>
        <v>Sunday</v>
      </c>
      <c r="H31" s="12" t="s">
        <v>2</v>
      </c>
      <c r="I31" s="18">
        <v>0.42</v>
      </c>
      <c r="J31" s="19">
        <v>0.42420000000000002</v>
      </c>
      <c r="K31" s="18">
        <v>0.77</v>
      </c>
      <c r="L31" s="12">
        <v>0.29849999999999999</v>
      </c>
      <c r="M31" s="12">
        <v>0</v>
      </c>
      <c r="N31" s="12">
        <v>2</v>
      </c>
      <c r="O31" s="13">
        <v>2</v>
      </c>
    </row>
    <row r="32" spans="1:15" x14ac:dyDescent="0.35">
      <c r="A32" s="10">
        <v>31</v>
      </c>
      <c r="B32" s="11">
        <v>40545</v>
      </c>
      <c r="C32" s="12" t="s">
        <v>4</v>
      </c>
      <c r="D32" s="12" t="str">
        <f t="shared" si="0"/>
        <v>January</v>
      </c>
      <c r="E32" s="12">
        <v>7</v>
      </c>
      <c r="F32" s="12" t="b">
        <v>0</v>
      </c>
      <c r="G32" s="12" t="str">
        <f t="shared" si="1"/>
        <v>Sunday</v>
      </c>
      <c r="H32" s="12" t="s">
        <v>1</v>
      </c>
      <c r="I32" s="18">
        <v>0.4</v>
      </c>
      <c r="J32" s="19">
        <v>0.40910000000000002</v>
      </c>
      <c r="K32" s="18">
        <v>0.76</v>
      </c>
      <c r="L32" s="12">
        <v>0.19400000000000001</v>
      </c>
      <c r="M32" s="12">
        <v>0</v>
      </c>
      <c r="N32" s="12">
        <v>1</v>
      </c>
      <c r="O32" s="13">
        <v>1</v>
      </c>
    </row>
    <row r="33" spans="1:15" x14ac:dyDescent="0.35">
      <c r="A33" s="10">
        <v>32</v>
      </c>
      <c r="B33" s="11">
        <v>40545</v>
      </c>
      <c r="C33" s="12" t="s">
        <v>4</v>
      </c>
      <c r="D33" s="12" t="str">
        <f t="shared" si="0"/>
        <v>January</v>
      </c>
      <c r="E33" s="12">
        <v>8</v>
      </c>
      <c r="F33" s="12" t="b">
        <v>0</v>
      </c>
      <c r="G33" s="12" t="str">
        <f t="shared" si="1"/>
        <v>Sunday</v>
      </c>
      <c r="H33" s="12" t="s">
        <v>2</v>
      </c>
      <c r="I33" s="18">
        <v>0.4</v>
      </c>
      <c r="J33" s="19">
        <v>0.40910000000000002</v>
      </c>
      <c r="K33" s="18">
        <v>0.71</v>
      </c>
      <c r="L33" s="12">
        <v>0.22389999999999999</v>
      </c>
      <c r="M33" s="12">
        <v>0</v>
      </c>
      <c r="N33" s="12">
        <v>8</v>
      </c>
      <c r="O33" s="13">
        <v>8</v>
      </c>
    </row>
    <row r="34" spans="1:15" x14ac:dyDescent="0.35">
      <c r="A34" s="10">
        <v>33</v>
      </c>
      <c r="B34" s="11">
        <v>40545</v>
      </c>
      <c r="C34" s="12" t="s">
        <v>4</v>
      </c>
      <c r="D34" s="12" t="str">
        <f t="shared" si="0"/>
        <v>January</v>
      </c>
      <c r="E34" s="12">
        <v>9</v>
      </c>
      <c r="F34" s="12" t="b">
        <v>0</v>
      </c>
      <c r="G34" s="12" t="str">
        <f t="shared" si="1"/>
        <v>Sunday</v>
      </c>
      <c r="H34" s="12" t="s">
        <v>1</v>
      </c>
      <c r="I34" s="18">
        <v>0.38</v>
      </c>
      <c r="J34" s="19">
        <v>0.19700000000000001</v>
      </c>
      <c r="K34" s="18">
        <v>0.76</v>
      </c>
      <c r="L34" s="12">
        <v>0.22389999999999999</v>
      </c>
      <c r="M34" s="12">
        <v>1</v>
      </c>
      <c r="N34" s="12">
        <v>19</v>
      </c>
      <c r="O34" s="13">
        <v>20</v>
      </c>
    </row>
    <row r="35" spans="1:15" x14ac:dyDescent="0.35">
      <c r="A35" s="10">
        <v>34</v>
      </c>
      <c r="B35" s="11">
        <v>40545</v>
      </c>
      <c r="C35" s="12" t="s">
        <v>4</v>
      </c>
      <c r="D35" s="12" t="str">
        <f t="shared" si="0"/>
        <v>January</v>
      </c>
      <c r="E35" s="12">
        <v>10</v>
      </c>
      <c r="F35" s="12" t="b">
        <v>0</v>
      </c>
      <c r="G35" s="12" t="str">
        <f t="shared" si="1"/>
        <v>Sunday</v>
      </c>
      <c r="H35" s="12" t="s">
        <v>1</v>
      </c>
      <c r="I35" s="18">
        <v>0.36</v>
      </c>
      <c r="J35" s="19">
        <v>0.34849999999999998</v>
      </c>
      <c r="K35" s="18">
        <v>0.81</v>
      </c>
      <c r="L35" s="12">
        <v>0.22389999999999999</v>
      </c>
      <c r="M35" s="12">
        <v>7</v>
      </c>
      <c r="N35" s="12">
        <v>46</v>
      </c>
      <c r="O35" s="13">
        <v>53</v>
      </c>
    </row>
    <row r="36" spans="1:15" x14ac:dyDescent="0.35">
      <c r="A36" s="10">
        <v>35</v>
      </c>
      <c r="B36" s="11">
        <v>40545</v>
      </c>
      <c r="C36" s="12" t="s">
        <v>4</v>
      </c>
      <c r="D36" s="12" t="str">
        <f t="shared" si="0"/>
        <v>January</v>
      </c>
      <c r="E36" s="12">
        <v>11</v>
      </c>
      <c r="F36" s="12" t="b">
        <v>0</v>
      </c>
      <c r="G36" s="12" t="str">
        <f t="shared" si="1"/>
        <v>Sunday</v>
      </c>
      <c r="H36" s="12" t="s">
        <v>1</v>
      </c>
      <c r="I36" s="18">
        <v>0.36</v>
      </c>
      <c r="J36" s="19">
        <v>0.33329999999999999</v>
      </c>
      <c r="K36" s="18">
        <v>0.71</v>
      </c>
      <c r="L36" s="12">
        <v>0.25369999999999998</v>
      </c>
      <c r="M36" s="12">
        <v>16</v>
      </c>
      <c r="N36" s="12">
        <v>54</v>
      </c>
      <c r="O36" s="13">
        <v>70</v>
      </c>
    </row>
    <row r="37" spans="1:15" x14ac:dyDescent="0.35">
      <c r="A37" s="10">
        <v>36</v>
      </c>
      <c r="B37" s="11">
        <v>40545</v>
      </c>
      <c r="C37" s="12" t="s">
        <v>4</v>
      </c>
      <c r="D37" s="12" t="str">
        <f t="shared" si="0"/>
        <v>January</v>
      </c>
      <c r="E37" s="12">
        <v>12</v>
      </c>
      <c r="F37" s="12" t="b">
        <v>0</v>
      </c>
      <c r="G37" s="12" t="str">
        <f t="shared" si="1"/>
        <v>Sunday</v>
      </c>
      <c r="H37" s="12" t="s">
        <v>1</v>
      </c>
      <c r="I37" s="18">
        <v>0.36</v>
      </c>
      <c r="J37" s="19">
        <v>0.33329999999999999</v>
      </c>
      <c r="K37" s="18">
        <v>0.66</v>
      </c>
      <c r="L37" s="12">
        <v>0.29849999999999999</v>
      </c>
      <c r="M37" s="12">
        <v>20</v>
      </c>
      <c r="N37" s="12">
        <v>73</v>
      </c>
      <c r="O37" s="13">
        <v>93</v>
      </c>
    </row>
    <row r="38" spans="1:15" x14ac:dyDescent="0.35">
      <c r="A38" s="10">
        <v>37</v>
      </c>
      <c r="B38" s="11">
        <v>40545</v>
      </c>
      <c r="C38" s="12" t="s">
        <v>4</v>
      </c>
      <c r="D38" s="12" t="str">
        <f t="shared" si="0"/>
        <v>January</v>
      </c>
      <c r="E38" s="12">
        <v>13</v>
      </c>
      <c r="F38" s="12" t="b">
        <v>0</v>
      </c>
      <c r="G38" s="12" t="str">
        <f t="shared" si="1"/>
        <v>Sunday</v>
      </c>
      <c r="H38" s="12" t="s">
        <v>1</v>
      </c>
      <c r="I38" s="18">
        <v>0.36</v>
      </c>
      <c r="J38" s="19">
        <v>0.34849999999999998</v>
      </c>
      <c r="K38" s="18">
        <v>0.66</v>
      </c>
      <c r="L38" s="12">
        <v>0.1343</v>
      </c>
      <c r="M38" s="12">
        <v>11</v>
      </c>
      <c r="N38" s="12">
        <v>64</v>
      </c>
      <c r="O38" s="13">
        <v>75</v>
      </c>
    </row>
    <row r="39" spans="1:15" x14ac:dyDescent="0.35">
      <c r="A39" s="10">
        <v>38</v>
      </c>
      <c r="B39" s="11">
        <v>40545</v>
      </c>
      <c r="C39" s="12" t="s">
        <v>4</v>
      </c>
      <c r="D39" s="12" t="str">
        <f t="shared" si="0"/>
        <v>January</v>
      </c>
      <c r="E39" s="12">
        <v>14</v>
      </c>
      <c r="F39" s="12" t="b">
        <v>0</v>
      </c>
      <c r="G39" s="12" t="str">
        <f t="shared" si="1"/>
        <v>Sunday</v>
      </c>
      <c r="H39" s="12" t="s">
        <v>2</v>
      </c>
      <c r="I39" s="18">
        <v>0.36</v>
      </c>
      <c r="J39" s="19">
        <v>0.19700000000000001</v>
      </c>
      <c r="K39" s="18">
        <v>0.76</v>
      </c>
      <c r="L39" s="12">
        <v>0.19400000000000001</v>
      </c>
      <c r="M39" s="12">
        <v>4</v>
      </c>
      <c r="N39" s="12">
        <v>55</v>
      </c>
      <c r="O39" s="13">
        <v>59</v>
      </c>
    </row>
    <row r="40" spans="1:15" x14ac:dyDescent="0.35">
      <c r="A40" s="10">
        <v>39</v>
      </c>
      <c r="B40" s="11">
        <v>40545</v>
      </c>
      <c r="C40" s="12" t="s">
        <v>4</v>
      </c>
      <c r="D40" s="12" t="str">
        <f t="shared" si="0"/>
        <v>January</v>
      </c>
      <c r="E40" s="12">
        <v>15</v>
      </c>
      <c r="F40" s="12" t="b">
        <v>0</v>
      </c>
      <c r="G40" s="12" t="str">
        <f t="shared" si="1"/>
        <v>Sunday</v>
      </c>
      <c r="H40" s="12" t="s">
        <v>2</v>
      </c>
      <c r="I40" s="18">
        <v>0.34</v>
      </c>
      <c r="J40" s="19">
        <v>0.33329999999999999</v>
      </c>
      <c r="K40" s="18">
        <v>0.81</v>
      </c>
      <c r="L40" s="12">
        <v>0.16420000000000001</v>
      </c>
      <c r="M40" s="12">
        <v>19</v>
      </c>
      <c r="N40" s="12">
        <v>55</v>
      </c>
      <c r="O40" s="13">
        <v>74</v>
      </c>
    </row>
    <row r="41" spans="1:15" x14ac:dyDescent="0.35">
      <c r="A41" s="10">
        <v>40</v>
      </c>
      <c r="B41" s="11">
        <v>40545</v>
      </c>
      <c r="C41" s="12" t="s">
        <v>4</v>
      </c>
      <c r="D41" s="12" t="str">
        <f t="shared" si="0"/>
        <v>January</v>
      </c>
      <c r="E41" s="12">
        <v>16</v>
      </c>
      <c r="F41" s="12" t="b">
        <v>0</v>
      </c>
      <c r="G41" s="12" t="str">
        <f t="shared" si="1"/>
        <v>Sunday</v>
      </c>
      <c r="H41" s="12" t="s">
        <v>2</v>
      </c>
      <c r="I41" s="18">
        <v>0.34</v>
      </c>
      <c r="J41" s="19">
        <v>0.33329999999999999</v>
      </c>
      <c r="K41" s="18">
        <v>0.71</v>
      </c>
      <c r="L41" s="12">
        <v>0.16420000000000001</v>
      </c>
      <c r="M41" s="12">
        <v>9</v>
      </c>
      <c r="N41" s="12">
        <v>67</v>
      </c>
      <c r="O41" s="13">
        <v>76</v>
      </c>
    </row>
    <row r="42" spans="1:15" x14ac:dyDescent="0.35">
      <c r="A42" s="10">
        <v>41</v>
      </c>
      <c r="B42" s="11">
        <v>40545</v>
      </c>
      <c r="C42" s="12" t="s">
        <v>4</v>
      </c>
      <c r="D42" s="12" t="str">
        <f t="shared" si="0"/>
        <v>January</v>
      </c>
      <c r="E42" s="12">
        <v>17</v>
      </c>
      <c r="F42" s="12" t="b">
        <v>0</v>
      </c>
      <c r="G42" s="12" t="str">
        <f t="shared" si="1"/>
        <v>Sunday</v>
      </c>
      <c r="H42" s="12" t="s">
        <v>0</v>
      </c>
      <c r="I42" s="18">
        <v>0.34</v>
      </c>
      <c r="J42" s="19">
        <v>0.33329999999999999</v>
      </c>
      <c r="K42" s="18">
        <v>0.56999999999999995</v>
      </c>
      <c r="L42" s="12">
        <v>0.19400000000000001</v>
      </c>
      <c r="M42" s="12">
        <v>7</v>
      </c>
      <c r="N42" s="12">
        <v>58</v>
      </c>
      <c r="O42" s="13">
        <v>65</v>
      </c>
    </row>
    <row r="43" spans="1:15" x14ac:dyDescent="0.35">
      <c r="A43" s="10">
        <v>42</v>
      </c>
      <c r="B43" s="11">
        <v>40545</v>
      </c>
      <c r="C43" s="12" t="s">
        <v>4</v>
      </c>
      <c r="D43" s="12" t="str">
        <f t="shared" si="0"/>
        <v>January</v>
      </c>
      <c r="E43" s="12">
        <v>18</v>
      </c>
      <c r="F43" s="12" t="b">
        <v>0</v>
      </c>
      <c r="G43" s="12" t="str">
        <f t="shared" si="1"/>
        <v>Sunday</v>
      </c>
      <c r="H43" s="12" t="s">
        <v>1</v>
      </c>
      <c r="I43" s="18">
        <v>0.36</v>
      </c>
      <c r="J43" s="19">
        <v>0.33329999999999999</v>
      </c>
      <c r="K43" s="18">
        <v>0.46</v>
      </c>
      <c r="L43" s="12">
        <v>0.32840000000000003</v>
      </c>
      <c r="M43" s="12">
        <v>10</v>
      </c>
      <c r="N43" s="12">
        <v>43</v>
      </c>
      <c r="O43" s="13">
        <v>53</v>
      </c>
    </row>
    <row r="44" spans="1:15" x14ac:dyDescent="0.35">
      <c r="A44" s="10">
        <v>43</v>
      </c>
      <c r="B44" s="11">
        <v>40545</v>
      </c>
      <c r="C44" s="12" t="s">
        <v>4</v>
      </c>
      <c r="D44" s="12" t="str">
        <f t="shared" si="0"/>
        <v>January</v>
      </c>
      <c r="E44" s="12">
        <v>19</v>
      </c>
      <c r="F44" s="12" t="b">
        <v>0</v>
      </c>
      <c r="G44" s="12" t="str">
        <f t="shared" si="1"/>
        <v>Sunday</v>
      </c>
      <c r="H44" s="12" t="s">
        <v>0</v>
      </c>
      <c r="I44" s="18">
        <v>0.32</v>
      </c>
      <c r="J44" s="19">
        <v>0.28789999999999999</v>
      </c>
      <c r="K44" s="18">
        <v>0.42</v>
      </c>
      <c r="L44" s="12">
        <v>0.44779999999999998</v>
      </c>
      <c r="M44" s="12">
        <v>1</v>
      </c>
      <c r="N44" s="12">
        <v>29</v>
      </c>
      <c r="O44" s="13">
        <v>30</v>
      </c>
    </row>
    <row r="45" spans="1:15" x14ac:dyDescent="0.35">
      <c r="A45" s="10">
        <v>44</v>
      </c>
      <c r="B45" s="11">
        <v>40545</v>
      </c>
      <c r="C45" s="12" t="s">
        <v>4</v>
      </c>
      <c r="D45" s="12" t="str">
        <f t="shared" si="0"/>
        <v>January</v>
      </c>
      <c r="E45" s="12">
        <v>20</v>
      </c>
      <c r="F45" s="12" t="b">
        <v>0</v>
      </c>
      <c r="G45" s="12" t="str">
        <f t="shared" si="1"/>
        <v>Sunday</v>
      </c>
      <c r="H45" s="12" t="s">
        <v>0</v>
      </c>
      <c r="I45" s="18">
        <v>0.3</v>
      </c>
      <c r="J45" s="19">
        <v>0.19700000000000001</v>
      </c>
      <c r="K45" s="18">
        <v>0.39</v>
      </c>
      <c r="L45" s="12">
        <v>0.35820000000000002</v>
      </c>
      <c r="M45" s="12">
        <v>5</v>
      </c>
      <c r="N45" s="12">
        <v>17</v>
      </c>
      <c r="O45" s="13">
        <v>22</v>
      </c>
    </row>
    <row r="46" spans="1:15" x14ac:dyDescent="0.35">
      <c r="A46" s="10">
        <v>45</v>
      </c>
      <c r="B46" s="11">
        <v>40545</v>
      </c>
      <c r="C46" s="12" t="s">
        <v>4</v>
      </c>
      <c r="D46" s="12" t="str">
        <f t="shared" si="0"/>
        <v>January</v>
      </c>
      <c r="E46" s="12">
        <v>21</v>
      </c>
      <c r="F46" s="12" t="b">
        <v>0</v>
      </c>
      <c r="G46" s="12" t="str">
        <f t="shared" si="1"/>
        <v>Sunday</v>
      </c>
      <c r="H46" s="12" t="s">
        <v>0</v>
      </c>
      <c r="I46" s="18">
        <v>0.26</v>
      </c>
      <c r="J46" s="19">
        <v>0.2273</v>
      </c>
      <c r="K46" s="18">
        <v>0.44</v>
      </c>
      <c r="L46" s="12">
        <v>0.32840000000000003</v>
      </c>
      <c r="M46" s="12">
        <v>11</v>
      </c>
      <c r="N46" s="12">
        <v>20</v>
      </c>
      <c r="O46" s="13">
        <v>31</v>
      </c>
    </row>
    <row r="47" spans="1:15" x14ac:dyDescent="0.35">
      <c r="A47" s="10">
        <v>46</v>
      </c>
      <c r="B47" s="11">
        <v>40545</v>
      </c>
      <c r="C47" s="12" t="s">
        <v>4</v>
      </c>
      <c r="D47" s="12" t="str">
        <f t="shared" si="0"/>
        <v>January</v>
      </c>
      <c r="E47" s="12">
        <v>22</v>
      </c>
      <c r="F47" s="12" t="b">
        <v>0</v>
      </c>
      <c r="G47" s="12" t="str">
        <f t="shared" si="1"/>
        <v>Sunday</v>
      </c>
      <c r="H47" s="12" t="s">
        <v>0</v>
      </c>
      <c r="I47" s="18">
        <v>0.24</v>
      </c>
      <c r="J47" s="19">
        <v>0.21210000000000001</v>
      </c>
      <c r="K47" s="18">
        <v>0.44</v>
      </c>
      <c r="L47" s="12">
        <v>0.29849999999999999</v>
      </c>
      <c r="M47" s="12">
        <v>0</v>
      </c>
      <c r="N47" s="12">
        <v>9</v>
      </c>
      <c r="O47" s="13">
        <v>9</v>
      </c>
    </row>
    <row r="48" spans="1:15" x14ac:dyDescent="0.35">
      <c r="A48" s="10">
        <v>47</v>
      </c>
      <c r="B48" s="11">
        <v>40545</v>
      </c>
      <c r="C48" s="12" t="s">
        <v>4</v>
      </c>
      <c r="D48" s="12" t="str">
        <f t="shared" si="0"/>
        <v>January</v>
      </c>
      <c r="E48" s="12">
        <v>23</v>
      </c>
      <c r="F48" s="12" t="b">
        <v>0</v>
      </c>
      <c r="G48" s="12" t="str">
        <f t="shared" si="1"/>
        <v>Sunday</v>
      </c>
      <c r="H48" s="12" t="s">
        <v>0</v>
      </c>
      <c r="I48" s="18">
        <v>0.22</v>
      </c>
      <c r="J48" s="19">
        <v>0.2273</v>
      </c>
      <c r="K48" s="18">
        <v>0.47</v>
      </c>
      <c r="L48" s="12">
        <v>0.16420000000000001</v>
      </c>
      <c r="M48" s="12">
        <v>0</v>
      </c>
      <c r="N48" s="12">
        <v>8</v>
      </c>
      <c r="O48" s="13">
        <v>8</v>
      </c>
    </row>
    <row r="49" spans="1:15" x14ac:dyDescent="0.35">
      <c r="A49" s="10">
        <v>48</v>
      </c>
      <c r="B49" s="11">
        <v>40546</v>
      </c>
      <c r="C49" s="12" t="s">
        <v>4</v>
      </c>
      <c r="D49" s="12" t="str">
        <f t="shared" si="0"/>
        <v>January</v>
      </c>
      <c r="E49" s="12">
        <v>0</v>
      </c>
      <c r="F49" s="12" t="b">
        <v>0</v>
      </c>
      <c r="G49" s="12" t="str">
        <f t="shared" si="1"/>
        <v>Monday</v>
      </c>
      <c r="H49" s="12" t="s">
        <v>0</v>
      </c>
      <c r="I49" s="18">
        <v>0.22</v>
      </c>
      <c r="J49" s="19">
        <v>0.19700000000000001</v>
      </c>
      <c r="K49" s="18">
        <v>0.44</v>
      </c>
      <c r="L49" s="12">
        <v>0.35820000000000002</v>
      </c>
      <c r="M49" s="12">
        <v>0</v>
      </c>
      <c r="N49" s="12">
        <v>5</v>
      </c>
      <c r="O49" s="13">
        <v>5</v>
      </c>
    </row>
    <row r="50" spans="1:15" x14ac:dyDescent="0.35">
      <c r="A50" s="10">
        <v>49</v>
      </c>
      <c r="B50" s="11">
        <v>40546</v>
      </c>
      <c r="C50" s="12" t="s">
        <v>4</v>
      </c>
      <c r="D50" s="12" t="str">
        <f t="shared" si="0"/>
        <v>January</v>
      </c>
      <c r="E50" s="12">
        <v>1</v>
      </c>
      <c r="F50" s="12" t="b">
        <v>0</v>
      </c>
      <c r="G50" s="12" t="str">
        <f t="shared" si="1"/>
        <v>Monday</v>
      </c>
      <c r="H50" s="12" t="s">
        <v>0</v>
      </c>
      <c r="I50" s="18">
        <v>0.2</v>
      </c>
      <c r="J50" s="19">
        <v>0.19700000000000001</v>
      </c>
      <c r="K50" s="18">
        <v>0.44</v>
      </c>
      <c r="L50" s="12">
        <v>0.41789999999999999</v>
      </c>
      <c r="M50" s="12">
        <v>0</v>
      </c>
      <c r="N50" s="12">
        <v>2</v>
      </c>
      <c r="O50" s="13">
        <v>2</v>
      </c>
    </row>
    <row r="51" spans="1:15" x14ac:dyDescent="0.35">
      <c r="A51" s="10">
        <v>50</v>
      </c>
      <c r="B51" s="11">
        <v>40546</v>
      </c>
      <c r="C51" s="12" t="s">
        <v>4</v>
      </c>
      <c r="D51" s="12" t="str">
        <f t="shared" si="0"/>
        <v>January</v>
      </c>
      <c r="E51" s="12">
        <v>4</v>
      </c>
      <c r="F51" s="12" t="b">
        <v>0</v>
      </c>
      <c r="G51" s="12" t="str">
        <f t="shared" si="1"/>
        <v>Monday</v>
      </c>
      <c r="H51" s="12" t="s">
        <v>0</v>
      </c>
      <c r="I51" s="18">
        <v>0.16</v>
      </c>
      <c r="J51" s="19">
        <v>0.13639999999999999</v>
      </c>
      <c r="K51" s="18">
        <v>0.47</v>
      </c>
      <c r="L51" s="12">
        <v>0.3881</v>
      </c>
      <c r="M51" s="12">
        <v>0</v>
      </c>
      <c r="N51" s="12">
        <v>1</v>
      </c>
      <c r="O51" s="13">
        <v>1</v>
      </c>
    </row>
    <row r="52" spans="1:15" x14ac:dyDescent="0.35">
      <c r="A52" s="10">
        <v>51</v>
      </c>
      <c r="B52" s="11">
        <v>40546</v>
      </c>
      <c r="C52" s="12" t="s">
        <v>4</v>
      </c>
      <c r="D52" s="12" t="str">
        <f t="shared" si="0"/>
        <v>January</v>
      </c>
      <c r="E52" s="12">
        <v>5</v>
      </c>
      <c r="F52" s="12" t="b">
        <v>0</v>
      </c>
      <c r="G52" s="12" t="str">
        <f t="shared" si="1"/>
        <v>Monday</v>
      </c>
      <c r="H52" s="12" t="s">
        <v>0</v>
      </c>
      <c r="I52" s="18">
        <v>0.16</v>
      </c>
      <c r="J52" s="19">
        <v>0.13639999999999999</v>
      </c>
      <c r="K52" s="18">
        <v>0.47</v>
      </c>
      <c r="L52" s="12">
        <v>0.28360000000000002</v>
      </c>
      <c r="M52" s="12">
        <v>0</v>
      </c>
      <c r="N52" s="12">
        <v>3</v>
      </c>
      <c r="O52" s="13">
        <v>3</v>
      </c>
    </row>
    <row r="53" spans="1:15" x14ac:dyDescent="0.35">
      <c r="A53" s="10">
        <v>52</v>
      </c>
      <c r="B53" s="11">
        <v>40546</v>
      </c>
      <c r="C53" s="12" t="s">
        <v>4</v>
      </c>
      <c r="D53" s="12" t="str">
        <f t="shared" si="0"/>
        <v>January</v>
      </c>
      <c r="E53" s="12">
        <v>6</v>
      </c>
      <c r="F53" s="12" t="b">
        <v>0</v>
      </c>
      <c r="G53" s="12" t="str">
        <f t="shared" si="1"/>
        <v>Monday</v>
      </c>
      <c r="H53" s="12" t="s">
        <v>0</v>
      </c>
      <c r="I53" s="18">
        <v>0.14000000000000001</v>
      </c>
      <c r="J53" s="19">
        <v>0.1061</v>
      </c>
      <c r="K53" s="18">
        <v>0.5</v>
      </c>
      <c r="L53" s="12">
        <v>0.3881</v>
      </c>
      <c r="M53" s="12">
        <v>0</v>
      </c>
      <c r="N53" s="12">
        <v>30</v>
      </c>
      <c r="O53" s="13">
        <v>30</v>
      </c>
    </row>
    <row r="54" spans="1:15" x14ac:dyDescent="0.35">
      <c r="A54" s="10">
        <v>53</v>
      </c>
      <c r="B54" s="11">
        <v>40546</v>
      </c>
      <c r="C54" s="12" t="s">
        <v>4</v>
      </c>
      <c r="D54" s="12" t="str">
        <f t="shared" si="0"/>
        <v>January</v>
      </c>
      <c r="E54" s="12">
        <v>7</v>
      </c>
      <c r="F54" s="12" t="b">
        <v>0</v>
      </c>
      <c r="G54" s="12" t="str">
        <f t="shared" si="1"/>
        <v>Monday</v>
      </c>
      <c r="H54" s="12" t="s">
        <v>0</v>
      </c>
      <c r="I54" s="18">
        <v>0.14000000000000001</v>
      </c>
      <c r="J54" s="19">
        <v>0.13639999999999999</v>
      </c>
      <c r="K54" s="18">
        <v>0.5</v>
      </c>
      <c r="L54" s="12">
        <v>0.19400000000000001</v>
      </c>
      <c r="M54" s="12">
        <v>1</v>
      </c>
      <c r="N54" s="12">
        <v>63</v>
      </c>
      <c r="O54" s="13">
        <v>64</v>
      </c>
    </row>
    <row r="55" spans="1:15" x14ac:dyDescent="0.35">
      <c r="A55" s="10">
        <v>54</v>
      </c>
      <c r="B55" s="11">
        <v>40546</v>
      </c>
      <c r="C55" s="12" t="s">
        <v>4</v>
      </c>
      <c r="D55" s="12" t="str">
        <f t="shared" si="0"/>
        <v>January</v>
      </c>
      <c r="E55" s="12">
        <v>8</v>
      </c>
      <c r="F55" s="12" t="b">
        <v>0</v>
      </c>
      <c r="G55" s="12" t="str">
        <f t="shared" si="1"/>
        <v>Monday</v>
      </c>
      <c r="H55" s="12" t="s">
        <v>0</v>
      </c>
      <c r="I55" s="18">
        <v>0.14000000000000001</v>
      </c>
      <c r="J55" s="19">
        <v>0.1212</v>
      </c>
      <c r="K55" s="18">
        <v>0.5</v>
      </c>
      <c r="L55" s="12">
        <v>0.28360000000000002</v>
      </c>
      <c r="M55" s="12">
        <v>1</v>
      </c>
      <c r="N55" s="12">
        <v>153</v>
      </c>
      <c r="O55" s="13">
        <v>154</v>
      </c>
    </row>
    <row r="56" spans="1:15" x14ac:dyDescent="0.35">
      <c r="A56" s="10">
        <v>55</v>
      </c>
      <c r="B56" s="11">
        <v>40546</v>
      </c>
      <c r="C56" s="12" t="s">
        <v>4</v>
      </c>
      <c r="D56" s="12" t="str">
        <f t="shared" si="0"/>
        <v>January</v>
      </c>
      <c r="E56" s="12">
        <v>9</v>
      </c>
      <c r="F56" s="12" t="b">
        <v>0</v>
      </c>
      <c r="G56" s="12" t="str">
        <f t="shared" si="1"/>
        <v>Monday</v>
      </c>
      <c r="H56" s="12" t="s">
        <v>0</v>
      </c>
      <c r="I56" s="18">
        <v>0.16</v>
      </c>
      <c r="J56" s="19">
        <v>0.13639999999999999</v>
      </c>
      <c r="K56" s="18">
        <v>0.43</v>
      </c>
      <c r="L56" s="12">
        <v>0.3881</v>
      </c>
      <c r="M56" s="12">
        <v>7</v>
      </c>
      <c r="N56" s="12">
        <v>81</v>
      </c>
      <c r="O56" s="13">
        <v>88</v>
      </c>
    </row>
    <row r="57" spans="1:15" x14ac:dyDescent="0.35">
      <c r="A57" s="10">
        <v>56</v>
      </c>
      <c r="B57" s="11">
        <v>40546</v>
      </c>
      <c r="C57" s="12" t="s">
        <v>4</v>
      </c>
      <c r="D57" s="12" t="str">
        <f t="shared" si="0"/>
        <v>January</v>
      </c>
      <c r="E57" s="12">
        <v>10</v>
      </c>
      <c r="F57" s="12" t="b">
        <v>0</v>
      </c>
      <c r="G57" s="12" t="str">
        <f t="shared" si="1"/>
        <v>Monday</v>
      </c>
      <c r="H57" s="12" t="s">
        <v>0</v>
      </c>
      <c r="I57" s="18">
        <v>0.18</v>
      </c>
      <c r="J57" s="19">
        <v>0.16669999999999999</v>
      </c>
      <c r="K57" s="18">
        <v>0.43</v>
      </c>
      <c r="L57" s="12">
        <v>0.25369999999999998</v>
      </c>
      <c r="M57" s="12">
        <v>11</v>
      </c>
      <c r="N57" s="12">
        <v>33</v>
      </c>
      <c r="O57" s="13">
        <v>44</v>
      </c>
    </row>
    <row r="58" spans="1:15" x14ac:dyDescent="0.35">
      <c r="A58" s="10">
        <v>57</v>
      </c>
      <c r="B58" s="11">
        <v>40546</v>
      </c>
      <c r="C58" s="12" t="s">
        <v>4</v>
      </c>
      <c r="D58" s="12" t="str">
        <f t="shared" si="0"/>
        <v>January</v>
      </c>
      <c r="E58" s="12">
        <v>11</v>
      </c>
      <c r="F58" s="12" t="b">
        <v>0</v>
      </c>
      <c r="G58" s="12" t="str">
        <f t="shared" si="1"/>
        <v>Monday</v>
      </c>
      <c r="H58" s="12" t="s">
        <v>0</v>
      </c>
      <c r="I58" s="18">
        <v>0.2</v>
      </c>
      <c r="J58" s="19">
        <v>0.18179999999999999</v>
      </c>
      <c r="K58" s="18">
        <v>0.4</v>
      </c>
      <c r="L58" s="12">
        <v>0.32840000000000003</v>
      </c>
      <c r="M58" s="12">
        <v>10</v>
      </c>
      <c r="N58" s="12">
        <v>41</v>
      </c>
      <c r="O58" s="13">
        <v>51</v>
      </c>
    </row>
    <row r="59" spans="1:15" x14ac:dyDescent="0.35">
      <c r="A59" s="10">
        <v>58</v>
      </c>
      <c r="B59" s="11">
        <v>40546</v>
      </c>
      <c r="C59" s="12" t="s">
        <v>4</v>
      </c>
      <c r="D59" s="12" t="str">
        <f t="shared" si="0"/>
        <v>January</v>
      </c>
      <c r="E59" s="12">
        <v>12</v>
      </c>
      <c r="F59" s="12" t="b">
        <v>0</v>
      </c>
      <c r="G59" s="12" t="str">
        <f t="shared" si="1"/>
        <v>Monday</v>
      </c>
      <c r="H59" s="12" t="s">
        <v>0</v>
      </c>
      <c r="I59" s="18">
        <v>0.22</v>
      </c>
      <c r="J59" s="19">
        <v>0.21210000000000001</v>
      </c>
      <c r="K59" s="18">
        <v>0.35</v>
      </c>
      <c r="L59" s="12">
        <v>0.29849999999999999</v>
      </c>
      <c r="M59" s="12">
        <v>13</v>
      </c>
      <c r="N59" s="12">
        <v>48</v>
      </c>
      <c r="O59" s="13">
        <v>61</v>
      </c>
    </row>
    <row r="60" spans="1:15" x14ac:dyDescent="0.35">
      <c r="A60" s="10">
        <v>59</v>
      </c>
      <c r="B60" s="11">
        <v>40546</v>
      </c>
      <c r="C60" s="12" t="s">
        <v>4</v>
      </c>
      <c r="D60" s="12" t="str">
        <f t="shared" si="0"/>
        <v>January</v>
      </c>
      <c r="E60" s="12">
        <v>13</v>
      </c>
      <c r="F60" s="12" t="b">
        <v>0</v>
      </c>
      <c r="G60" s="12" t="str">
        <f t="shared" si="1"/>
        <v>Monday</v>
      </c>
      <c r="H60" s="12" t="s">
        <v>0</v>
      </c>
      <c r="I60" s="18">
        <v>0.24</v>
      </c>
      <c r="J60" s="19">
        <v>0.19700000000000001</v>
      </c>
      <c r="K60" s="18">
        <v>0.35</v>
      </c>
      <c r="L60" s="12">
        <v>0.28360000000000002</v>
      </c>
      <c r="M60" s="12">
        <v>8</v>
      </c>
      <c r="N60" s="12">
        <v>53</v>
      </c>
      <c r="O60" s="13">
        <v>61</v>
      </c>
    </row>
    <row r="61" spans="1:15" x14ac:dyDescent="0.35">
      <c r="A61" s="10">
        <v>60</v>
      </c>
      <c r="B61" s="11">
        <v>40546</v>
      </c>
      <c r="C61" s="12" t="s">
        <v>4</v>
      </c>
      <c r="D61" s="12" t="str">
        <f t="shared" si="0"/>
        <v>January</v>
      </c>
      <c r="E61" s="12">
        <v>14</v>
      </c>
      <c r="F61" s="12" t="b">
        <v>0</v>
      </c>
      <c r="G61" s="12" t="str">
        <f t="shared" si="1"/>
        <v>Monday</v>
      </c>
      <c r="H61" s="12" t="s">
        <v>0</v>
      </c>
      <c r="I61" s="18">
        <v>0.26</v>
      </c>
      <c r="J61" s="19">
        <v>0.2424</v>
      </c>
      <c r="K61" s="18">
        <v>0.3</v>
      </c>
      <c r="L61" s="12">
        <v>0.28360000000000002</v>
      </c>
      <c r="M61" s="12">
        <v>11</v>
      </c>
      <c r="N61" s="12">
        <v>66</v>
      </c>
      <c r="O61" s="13">
        <v>77</v>
      </c>
    </row>
    <row r="62" spans="1:15" x14ac:dyDescent="0.35">
      <c r="A62" s="10">
        <v>61</v>
      </c>
      <c r="B62" s="11">
        <v>40546</v>
      </c>
      <c r="C62" s="12" t="s">
        <v>4</v>
      </c>
      <c r="D62" s="12" t="str">
        <f t="shared" si="0"/>
        <v>January</v>
      </c>
      <c r="E62" s="12">
        <v>15</v>
      </c>
      <c r="F62" s="12" t="b">
        <v>0</v>
      </c>
      <c r="G62" s="12" t="str">
        <f t="shared" si="1"/>
        <v>Monday</v>
      </c>
      <c r="H62" s="12" t="s">
        <v>0</v>
      </c>
      <c r="I62" s="18">
        <v>0.26</v>
      </c>
      <c r="J62" s="19">
        <v>0.2424</v>
      </c>
      <c r="K62" s="18">
        <v>0.3</v>
      </c>
      <c r="L62" s="12">
        <v>0.25369999999999998</v>
      </c>
      <c r="M62" s="12">
        <v>14</v>
      </c>
      <c r="N62" s="12">
        <v>58</v>
      </c>
      <c r="O62" s="13">
        <v>72</v>
      </c>
    </row>
    <row r="63" spans="1:15" x14ac:dyDescent="0.35">
      <c r="A63" s="10">
        <v>62</v>
      </c>
      <c r="B63" s="11">
        <v>40546</v>
      </c>
      <c r="C63" s="12" t="s">
        <v>4</v>
      </c>
      <c r="D63" s="12" t="str">
        <f t="shared" si="0"/>
        <v>January</v>
      </c>
      <c r="E63" s="12">
        <v>16</v>
      </c>
      <c r="F63" s="12" t="b">
        <v>0</v>
      </c>
      <c r="G63" s="12" t="str">
        <f t="shared" si="1"/>
        <v>Monday</v>
      </c>
      <c r="H63" s="12" t="s">
        <v>0</v>
      </c>
      <c r="I63" s="18">
        <v>0.26</v>
      </c>
      <c r="J63" s="19">
        <v>0.2424</v>
      </c>
      <c r="K63" s="18">
        <v>0.3</v>
      </c>
      <c r="L63" s="12">
        <v>0.25369999999999998</v>
      </c>
      <c r="M63" s="12">
        <v>9</v>
      </c>
      <c r="N63" s="12">
        <v>67</v>
      </c>
      <c r="O63" s="13">
        <v>76</v>
      </c>
    </row>
    <row r="64" spans="1:15" x14ac:dyDescent="0.35">
      <c r="A64" s="10">
        <v>63</v>
      </c>
      <c r="B64" s="11">
        <v>40546</v>
      </c>
      <c r="C64" s="12" t="s">
        <v>4</v>
      </c>
      <c r="D64" s="12" t="str">
        <f t="shared" si="0"/>
        <v>January</v>
      </c>
      <c r="E64" s="12">
        <v>17</v>
      </c>
      <c r="F64" s="12" t="b">
        <v>0</v>
      </c>
      <c r="G64" s="12" t="str">
        <f t="shared" si="1"/>
        <v>Monday</v>
      </c>
      <c r="H64" s="12" t="s">
        <v>0</v>
      </c>
      <c r="I64" s="18">
        <v>0.24</v>
      </c>
      <c r="J64" s="19">
        <v>0.2273</v>
      </c>
      <c r="K64" s="18">
        <v>0.3</v>
      </c>
      <c r="L64" s="12">
        <v>0.22389999999999999</v>
      </c>
      <c r="M64" s="12">
        <v>11</v>
      </c>
      <c r="N64" s="12">
        <v>146</v>
      </c>
      <c r="O64" s="13">
        <v>157</v>
      </c>
    </row>
    <row r="65" spans="1:15" x14ac:dyDescent="0.35">
      <c r="A65" s="10">
        <v>64</v>
      </c>
      <c r="B65" s="11">
        <v>40546</v>
      </c>
      <c r="C65" s="12" t="s">
        <v>4</v>
      </c>
      <c r="D65" s="12" t="str">
        <f t="shared" si="0"/>
        <v>January</v>
      </c>
      <c r="E65" s="12">
        <v>18</v>
      </c>
      <c r="F65" s="12" t="b">
        <v>0</v>
      </c>
      <c r="G65" s="12" t="str">
        <f t="shared" si="1"/>
        <v>Monday</v>
      </c>
      <c r="H65" s="12" t="s">
        <v>0</v>
      </c>
      <c r="I65" s="18">
        <v>0.24</v>
      </c>
      <c r="J65" s="19">
        <v>0.2576</v>
      </c>
      <c r="K65" s="18">
        <v>0.32</v>
      </c>
      <c r="L65" s="12">
        <v>0.1045</v>
      </c>
      <c r="M65" s="12">
        <v>9</v>
      </c>
      <c r="N65" s="12">
        <v>148</v>
      </c>
      <c r="O65" s="13">
        <v>157</v>
      </c>
    </row>
    <row r="66" spans="1:15" x14ac:dyDescent="0.35">
      <c r="A66" s="10">
        <v>65</v>
      </c>
      <c r="B66" s="11">
        <v>40546</v>
      </c>
      <c r="C66" s="12" t="s">
        <v>4</v>
      </c>
      <c r="D66" s="12" t="str">
        <f t="shared" si="0"/>
        <v>January</v>
      </c>
      <c r="E66" s="12">
        <v>19</v>
      </c>
      <c r="F66" s="12" t="b">
        <v>0</v>
      </c>
      <c r="G66" s="12" t="str">
        <f t="shared" si="1"/>
        <v>Monday</v>
      </c>
      <c r="H66" s="12" t="s">
        <v>0</v>
      </c>
      <c r="I66" s="18">
        <v>0.2</v>
      </c>
      <c r="J66" s="19">
        <v>0.2576</v>
      </c>
      <c r="K66" s="18">
        <v>0.47</v>
      </c>
      <c r="L66" s="12">
        <v>0</v>
      </c>
      <c r="M66" s="12">
        <v>8</v>
      </c>
      <c r="N66" s="12">
        <v>102</v>
      </c>
      <c r="O66" s="13">
        <v>110</v>
      </c>
    </row>
    <row r="67" spans="1:15" x14ac:dyDescent="0.35">
      <c r="A67" s="10">
        <v>66</v>
      </c>
      <c r="B67" s="11">
        <v>40546</v>
      </c>
      <c r="C67" s="12" t="s">
        <v>4</v>
      </c>
      <c r="D67" s="12" t="str">
        <f t="shared" ref="D67:D130" si="2">TEXT(B67,"mmmm")</f>
        <v>January</v>
      </c>
      <c r="E67" s="12">
        <v>20</v>
      </c>
      <c r="F67" s="12" t="b">
        <v>0</v>
      </c>
      <c r="G67" s="12" t="str">
        <f t="shared" ref="G67:G130" si="3">TEXT(B67,"dddd")</f>
        <v>Monday</v>
      </c>
      <c r="H67" s="12" t="s">
        <v>0</v>
      </c>
      <c r="I67" s="18">
        <v>0.2</v>
      </c>
      <c r="J67" s="19">
        <v>0.19700000000000001</v>
      </c>
      <c r="K67" s="18">
        <v>0.47</v>
      </c>
      <c r="L67" s="12">
        <v>0.1045</v>
      </c>
      <c r="M67" s="12">
        <v>3</v>
      </c>
      <c r="N67" s="12">
        <v>49</v>
      </c>
      <c r="O67" s="13">
        <v>52</v>
      </c>
    </row>
    <row r="68" spans="1:15" x14ac:dyDescent="0.35">
      <c r="A68" s="10">
        <v>67</v>
      </c>
      <c r="B68" s="11">
        <v>40546</v>
      </c>
      <c r="C68" s="12" t="s">
        <v>4</v>
      </c>
      <c r="D68" s="12" t="str">
        <f t="shared" si="2"/>
        <v>January</v>
      </c>
      <c r="E68" s="12">
        <v>21</v>
      </c>
      <c r="F68" s="12" t="b">
        <v>0</v>
      </c>
      <c r="G68" s="12" t="str">
        <f t="shared" si="3"/>
        <v>Monday</v>
      </c>
      <c r="H68" s="12" t="s">
        <v>0</v>
      </c>
      <c r="I68" s="18">
        <v>0.18</v>
      </c>
      <c r="J68" s="19">
        <v>0.19700000000000001</v>
      </c>
      <c r="K68" s="18">
        <v>0.64</v>
      </c>
      <c r="L68" s="12">
        <v>0.1343</v>
      </c>
      <c r="M68" s="12">
        <v>3</v>
      </c>
      <c r="N68" s="12">
        <v>49</v>
      </c>
      <c r="O68" s="13">
        <v>52</v>
      </c>
    </row>
    <row r="69" spans="1:15" x14ac:dyDescent="0.35">
      <c r="A69" s="10">
        <v>68</v>
      </c>
      <c r="B69" s="11">
        <v>40546</v>
      </c>
      <c r="C69" s="12" t="s">
        <v>4</v>
      </c>
      <c r="D69" s="12" t="str">
        <f t="shared" si="2"/>
        <v>January</v>
      </c>
      <c r="E69" s="12">
        <v>22</v>
      </c>
      <c r="F69" s="12" t="b">
        <v>0</v>
      </c>
      <c r="G69" s="12" t="str">
        <f t="shared" si="3"/>
        <v>Monday</v>
      </c>
      <c r="H69" s="12" t="s">
        <v>0</v>
      </c>
      <c r="I69" s="18">
        <v>0.14000000000000001</v>
      </c>
      <c r="J69" s="19">
        <v>0.1515</v>
      </c>
      <c r="K69" s="18">
        <v>0.69</v>
      </c>
      <c r="L69" s="12">
        <v>0.1343</v>
      </c>
      <c r="M69" s="12">
        <v>0</v>
      </c>
      <c r="N69" s="12">
        <v>20</v>
      </c>
      <c r="O69" s="13">
        <v>20</v>
      </c>
    </row>
    <row r="70" spans="1:15" x14ac:dyDescent="0.35">
      <c r="A70" s="10">
        <v>69</v>
      </c>
      <c r="B70" s="11">
        <v>40546</v>
      </c>
      <c r="C70" s="12" t="s">
        <v>4</v>
      </c>
      <c r="D70" s="12" t="str">
        <f t="shared" si="2"/>
        <v>January</v>
      </c>
      <c r="E70" s="12">
        <v>23</v>
      </c>
      <c r="F70" s="12" t="b">
        <v>0</v>
      </c>
      <c r="G70" s="12" t="str">
        <f t="shared" si="3"/>
        <v>Monday</v>
      </c>
      <c r="H70" s="12" t="s">
        <v>0</v>
      </c>
      <c r="I70" s="18">
        <v>0.18</v>
      </c>
      <c r="J70" s="19">
        <v>0.21210000000000001</v>
      </c>
      <c r="K70" s="18">
        <v>0.55000000000000004</v>
      </c>
      <c r="L70" s="12">
        <v>0.1045</v>
      </c>
      <c r="M70" s="12">
        <v>1</v>
      </c>
      <c r="N70" s="12">
        <v>11</v>
      </c>
      <c r="O70" s="13">
        <v>12</v>
      </c>
    </row>
    <row r="71" spans="1:15" x14ac:dyDescent="0.35">
      <c r="A71" s="10">
        <v>70</v>
      </c>
      <c r="B71" s="11">
        <v>40547</v>
      </c>
      <c r="C71" s="12" t="s">
        <v>4</v>
      </c>
      <c r="D71" s="12" t="str">
        <f t="shared" si="2"/>
        <v>January</v>
      </c>
      <c r="E71" s="12">
        <v>0</v>
      </c>
      <c r="F71" s="12" t="b">
        <v>0</v>
      </c>
      <c r="G71" s="12" t="str">
        <f t="shared" si="3"/>
        <v>Tuesday</v>
      </c>
      <c r="H71" s="12" t="s">
        <v>0</v>
      </c>
      <c r="I71" s="18">
        <v>0.16</v>
      </c>
      <c r="J71" s="19">
        <v>0.19700000000000001</v>
      </c>
      <c r="K71" s="18">
        <v>0.55000000000000004</v>
      </c>
      <c r="L71" s="12">
        <v>0.1045</v>
      </c>
      <c r="M71" s="12">
        <v>0</v>
      </c>
      <c r="N71" s="12">
        <v>5</v>
      </c>
      <c r="O71" s="13">
        <v>5</v>
      </c>
    </row>
    <row r="72" spans="1:15" x14ac:dyDescent="0.35">
      <c r="A72" s="10">
        <v>71</v>
      </c>
      <c r="B72" s="11">
        <v>40547</v>
      </c>
      <c r="C72" s="12" t="s">
        <v>4</v>
      </c>
      <c r="D72" s="12" t="str">
        <f t="shared" si="2"/>
        <v>January</v>
      </c>
      <c r="E72" s="12">
        <v>1</v>
      </c>
      <c r="F72" s="12" t="b">
        <v>0</v>
      </c>
      <c r="G72" s="12" t="str">
        <f t="shared" si="3"/>
        <v>Tuesday</v>
      </c>
      <c r="H72" s="12" t="s">
        <v>0</v>
      </c>
      <c r="I72" s="18">
        <v>0.16</v>
      </c>
      <c r="J72" s="19">
        <v>0.18179999999999999</v>
      </c>
      <c r="K72" s="18">
        <v>0.59</v>
      </c>
      <c r="L72" s="12">
        <v>0.1045</v>
      </c>
      <c r="M72" s="12">
        <v>0</v>
      </c>
      <c r="N72" s="12">
        <v>2</v>
      </c>
      <c r="O72" s="13">
        <v>2</v>
      </c>
    </row>
    <row r="73" spans="1:15" x14ac:dyDescent="0.35">
      <c r="A73" s="10">
        <v>72</v>
      </c>
      <c r="B73" s="11">
        <v>40547</v>
      </c>
      <c r="C73" s="12" t="s">
        <v>4</v>
      </c>
      <c r="D73" s="12" t="str">
        <f t="shared" si="2"/>
        <v>January</v>
      </c>
      <c r="E73" s="12">
        <v>2</v>
      </c>
      <c r="F73" s="12" t="b">
        <v>0</v>
      </c>
      <c r="G73" s="12" t="str">
        <f t="shared" si="3"/>
        <v>Tuesday</v>
      </c>
      <c r="H73" s="12" t="s">
        <v>0</v>
      </c>
      <c r="I73" s="18">
        <v>0.14000000000000001</v>
      </c>
      <c r="J73" s="19">
        <v>0.1515</v>
      </c>
      <c r="K73" s="18">
        <v>0.63</v>
      </c>
      <c r="L73" s="12">
        <v>0.1343</v>
      </c>
      <c r="M73" s="12">
        <v>0</v>
      </c>
      <c r="N73" s="12">
        <v>1</v>
      </c>
      <c r="O73" s="13">
        <v>1</v>
      </c>
    </row>
    <row r="74" spans="1:15" x14ac:dyDescent="0.35">
      <c r="A74" s="10">
        <v>73</v>
      </c>
      <c r="B74" s="11">
        <v>40547</v>
      </c>
      <c r="C74" s="12" t="s">
        <v>4</v>
      </c>
      <c r="D74" s="12" t="str">
        <f t="shared" si="2"/>
        <v>January</v>
      </c>
      <c r="E74" s="12">
        <v>4</v>
      </c>
      <c r="F74" s="12" t="b">
        <v>0</v>
      </c>
      <c r="G74" s="12" t="str">
        <f t="shared" si="3"/>
        <v>Tuesday</v>
      </c>
      <c r="H74" s="12" t="s">
        <v>0</v>
      </c>
      <c r="I74" s="18">
        <v>0.14000000000000001</v>
      </c>
      <c r="J74" s="19">
        <v>0.18179999999999999</v>
      </c>
      <c r="K74" s="18">
        <v>0.63</v>
      </c>
      <c r="L74" s="12">
        <v>8.9599999999999999E-2</v>
      </c>
      <c r="M74" s="12">
        <v>0</v>
      </c>
      <c r="N74" s="12">
        <v>2</v>
      </c>
      <c r="O74" s="13">
        <v>2</v>
      </c>
    </row>
    <row r="75" spans="1:15" x14ac:dyDescent="0.35">
      <c r="A75" s="10">
        <v>74</v>
      </c>
      <c r="B75" s="11">
        <v>40547</v>
      </c>
      <c r="C75" s="12" t="s">
        <v>4</v>
      </c>
      <c r="D75" s="12" t="str">
        <f t="shared" si="2"/>
        <v>January</v>
      </c>
      <c r="E75" s="12">
        <v>5</v>
      </c>
      <c r="F75" s="12" t="b">
        <v>0</v>
      </c>
      <c r="G75" s="12" t="str">
        <f t="shared" si="3"/>
        <v>Tuesday</v>
      </c>
      <c r="H75" s="12" t="s">
        <v>0</v>
      </c>
      <c r="I75" s="18">
        <v>0.12</v>
      </c>
      <c r="J75" s="19">
        <v>0.1515</v>
      </c>
      <c r="K75" s="18">
        <v>0.68</v>
      </c>
      <c r="L75" s="12">
        <v>0.1045</v>
      </c>
      <c r="M75" s="12">
        <v>0</v>
      </c>
      <c r="N75" s="12">
        <v>4</v>
      </c>
      <c r="O75" s="13">
        <v>4</v>
      </c>
    </row>
    <row r="76" spans="1:15" x14ac:dyDescent="0.35">
      <c r="A76" s="10">
        <v>75</v>
      </c>
      <c r="B76" s="11">
        <v>40547</v>
      </c>
      <c r="C76" s="12" t="s">
        <v>4</v>
      </c>
      <c r="D76" s="12" t="str">
        <f t="shared" si="2"/>
        <v>January</v>
      </c>
      <c r="E76" s="12">
        <v>6</v>
      </c>
      <c r="F76" s="12" t="b">
        <v>0</v>
      </c>
      <c r="G76" s="12" t="str">
        <f t="shared" si="3"/>
        <v>Tuesday</v>
      </c>
      <c r="H76" s="12" t="s">
        <v>0</v>
      </c>
      <c r="I76" s="18">
        <v>0.12</v>
      </c>
      <c r="J76" s="19">
        <v>0.1515</v>
      </c>
      <c r="K76" s="18">
        <v>0.74</v>
      </c>
      <c r="L76" s="12">
        <v>0.1045</v>
      </c>
      <c r="M76" s="12">
        <v>0</v>
      </c>
      <c r="N76" s="12">
        <v>36</v>
      </c>
      <c r="O76" s="13">
        <v>36</v>
      </c>
    </row>
    <row r="77" spans="1:15" x14ac:dyDescent="0.35">
      <c r="A77" s="10">
        <v>76</v>
      </c>
      <c r="B77" s="11">
        <v>40547</v>
      </c>
      <c r="C77" s="12" t="s">
        <v>4</v>
      </c>
      <c r="D77" s="12" t="str">
        <f t="shared" si="2"/>
        <v>January</v>
      </c>
      <c r="E77" s="12">
        <v>7</v>
      </c>
      <c r="F77" s="12" t="b">
        <v>0</v>
      </c>
      <c r="G77" s="12" t="str">
        <f t="shared" si="3"/>
        <v>Tuesday</v>
      </c>
      <c r="H77" s="12" t="s">
        <v>0</v>
      </c>
      <c r="I77" s="18">
        <v>0.12</v>
      </c>
      <c r="J77" s="19">
        <v>0.1515</v>
      </c>
      <c r="K77" s="18">
        <v>0.74</v>
      </c>
      <c r="L77" s="12">
        <v>0.1343</v>
      </c>
      <c r="M77" s="12">
        <v>2</v>
      </c>
      <c r="N77" s="12">
        <v>92</v>
      </c>
      <c r="O77" s="13">
        <v>94</v>
      </c>
    </row>
    <row r="78" spans="1:15" x14ac:dyDescent="0.35">
      <c r="A78" s="10">
        <v>77</v>
      </c>
      <c r="B78" s="11">
        <v>40547</v>
      </c>
      <c r="C78" s="12" t="s">
        <v>4</v>
      </c>
      <c r="D78" s="12" t="str">
        <f t="shared" si="2"/>
        <v>January</v>
      </c>
      <c r="E78" s="12">
        <v>8</v>
      </c>
      <c r="F78" s="12" t="b">
        <v>0</v>
      </c>
      <c r="G78" s="12" t="str">
        <f t="shared" si="3"/>
        <v>Tuesday</v>
      </c>
      <c r="H78" s="12" t="s">
        <v>0</v>
      </c>
      <c r="I78" s="18">
        <v>0.14000000000000001</v>
      </c>
      <c r="J78" s="19">
        <v>0.1515</v>
      </c>
      <c r="K78" s="18">
        <v>0.69</v>
      </c>
      <c r="L78" s="12">
        <v>0.16420000000000001</v>
      </c>
      <c r="M78" s="12">
        <v>2</v>
      </c>
      <c r="N78" s="12">
        <v>177</v>
      </c>
      <c r="O78" s="13">
        <v>179</v>
      </c>
    </row>
    <row r="79" spans="1:15" x14ac:dyDescent="0.35">
      <c r="A79" s="10">
        <v>78</v>
      </c>
      <c r="B79" s="11">
        <v>40547</v>
      </c>
      <c r="C79" s="12" t="s">
        <v>4</v>
      </c>
      <c r="D79" s="12" t="str">
        <f t="shared" si="2"/>
        <v>January</v>
      </c>
      <c r="E79" s="12">
        <v>9</v>
      </c>
      <c r="F79" s="12" t="b">
        <v>0</v>
      </c>
      <c r="G79" s="12" t="str">
        <f t="shared" si="3"/>
        <v>Tuesday</v>
      </c>
      <c r="H79" s="12" t="s">
        <v>0</v>
      </c>
      <c r="I79" s="18">
        <v>0.16</v>
      </c>
      <c r="J79" s="19">
        <v>0.1515</v>
      </c>
      <c r="K79" s="18">
        <v>0.64</v>
      </c>
      <c r="L79" s="12">
        <v>0.22389999999999999</v>
      </c>
      <c r="M79" s="12">
        <v>2</v>
      </c>
      <c r="N79" s="12">
        <v>98</v>
      </c>
      <c r="O79" s="13">
        <v>100</v>
      </c>
    </row>
    <row r="80" spans="1:15" x14ac:dyDescent="0.35">
      <c r="A80" s="10">
        <v>79</v>
      </c>
      <c r="B80" s="11">
        <v>40547</v>
      </c>
      <c r="C80" s="12" t="s">
        <v>4</v>
      </c>
      <c r="D80" s="12" t="str">
        <f t="shared" si="2"/>
        <v>January</v>
      </c>
      <c r="E80" s="12">
        <v>10</v>
      </c>
      <c r="F80" s="12" t="b">
        <v>0</v>
      </c>
      <c r="G80" s="12" t="str">
        <f t="shared" si="3"/>
        <v>Tuesday</v>
      </c>
      <c r="H80" s="12" t="s">
        <v>1</v>
      </c>
      <c r="I80" s="18">
        <v>0.16</v>
      </c>
      <c r="J80" s="19">
        <v>0.13639999999999999</v>
      </c>
      <c r="K80" s="18">
        <v>0.69</v>
      </c>
      <c r="L80" s="12">
        <v>0.32840000000000003</v>
      </c>
      <c r="M80" s="12">
        <v>5</v>
      </c>
      <c r="N80" s="12">
        <v>37</v>
      </c>
      <c r="O80" s="13">
        <v>42</v>
      </c>
    </row>
    <row r="81" spans="1:15" x14ac:dyDescent="0.35">
      <c r="A81" s="10">
        <v>80</v>
      </c>
      <c r="B81" s="11">
        <v>40547</v>
      </c>
      <c r="C81" s="12" t="s">
        <v>4</v>
      </c>
      <c r="D81" s="12" t="str">
        <f t="shared" si="2"/>
        <v>January</v>
      </c>
      <c r="E81" s="12">
        <v>11</v>
      </c>
      <c r="F81" s="12" t="b">
        <v>0</v>
      </c>
      <c r="G81" s="12" t="str">
        <f t="shared" si="3"/>
        <v>Tuesday</v>
      </c>
      <c r="H81" s="12" t="s">
        <v>0</v>
      </c>
      <c r="I81" s="18">
        <v>0.22</v>
      </c>
      <c r="J81" s="19">
        <v>0.21210000000000001</v>
      </c>
      <c r="K81" s="18">
        <v>0.51</v>
      </c>
      <c r="L81" s="12">
        <v>0.29849999999999999</v>
      </c>
      <c r="M81" s="12">
        <v>7</v>
      </c>
      <c r="N81" s="12">
        <v>50</v>
      </c>
      <c r="O81" s="13">
        <v>57</v>
      </c>
    </row>
    <row r="82" spans="1:15" x14ac:dyDescent="0.35">
      <c r="A82" s="10">
        <v>81</v>
      </c>
      <c r="B82" s="11">
        <v>40547</v>
      </c>
      <c r="C82" s="12" t="s">
        <v>4</v>
      </c>
      <c r="D82" s="12" t="str">
        <f t="shared" si="2"/>
        <v>January</v>
      </c>
      <c r="E82" s="12">
        <v>12</v>
      </c>
      <c r="F82" s="12" t="b">
        <v>0</v>
      </c>
      <c r="G82" s="12" t="str">
        <f t="shared" si="3"/>
        <v>Tuesday</v>
      </c>
      <c r="H82" s="12" t="s">
        <v>0</v>
      </c>
      <c r="I82" s="18">
        <v>0.22</v>
      </c>
      <c r="J82" s="19">
        <v>0.2273</v>
      </c>
      <c r="K82" s="18">
        <v>0.51</v>
      </c>
      <c r="L82" s="12">
        <v>0.16420000000000001</v>
      </c>
      <c r="M82" s="12">
        <v>12</v>
      </c>
      <c r="N82" s="12">
        <v>66</v>
      </c>
      <c r="O82" s="13">
        <v>78</v>
      </c>
    </row>
    <row r="83" spans="1:15" x14ac:dyDescent="0.35">
      <c r="A83" s="10">
        <v>82</v>
      </c>
      <c r="B83" s="11">
        <v>40547</v>
      </c>
      <c r="C83" s="12" t="s">
        <v>4</v>
      </c>
      <c r="D83" s="12" t="str">
        <f t="shared" si="2"/>
        <v>January</v>
      </c>
      <c r="E83" s="12">
        <v>13</v>
      </c>
      <c r="F83" s="12" t="b">
        <v>0</v>
      </c>
      <c r="G83" s="12" t="str">
        <f t="shared" si="3"/>
        <v>Tuesday</v>
      </c>
      <c r="H83" s="12" t="s">
        <v>0</v>
      </c>
      <c r="I83" s="18">
        <v>0.24</v>
      </c>
      <c r="J83" s="19">
        <v>0.2273</v>
      </c>
      <c r="K83" s="18">
        <v>0.56000000000000005</v>
      </c>
      <c r="L83" s="12">
        <v>0.19400000000000001</v>
      </c>
      <c r="M83" s="12">
        <v>18</v>
      </c>
      <c r="N83" s="12">
        <v>79</v>
      </c>
      <c r="O83" s="13">
        <v>97</v>
      </c>
    </row>
    <row r="84" spans="1:15" x14ac:dyDescent="0.35">
      <c r="A84" s="10">
        <v>83</v>
      </c>
      <c r="B84" s="11">
        <v>40547</v>
      </c>
      <c r="C84" s="12" t="s">
        <v>4</v>
      </c>
      <c r="D84" s="12" t="str">
        <f t="shared" si="2"/>
        <v>January</v>
      </c>
      <c r="E84" s="12">
        <v>14</v>
      </c>
      <c r="F84" s="12" t="b">
        <v>0</v>
      </c>
      <c r="G84" s="12" t="str">
        <f t="shared" si="3"/>
        <v>Tuesday</v>
      </c>
      <c r="H84" s="12" t="s">
        <v>0</v>
      </c>
      <c r="I84" s="18">
        <v>0.26</v>
      </c>
      <c r="J84" s="19">
        <v>0.2576</v>
      </c>
      <c r="K84" s="18">
        <v>0.52</v>
      </c>
      <c r="L84" s="12">
        <v>0.22389999999999999</v>
      </c>
      <c r="M84" s="12">
        <v>9</v>
      </c>
      <c r="N84" s="12">
        <v>54</v>
      </c>
      <c r="O84" s="13">
        <v>63</v>
      </c>
    </row>
    <row r="85" spans="1:15" x14ac:dyDescent="0.35">
      <c r="A85" s="10">
        <v>84</v>
      </c>
      <c r="B85" s="11">
        <v>40547</v>
      </c>
      <c r="C85" s="12" t="s">
        <v>4</v>
      </c>
      <c r="D85" s="12" t="str">
        <f t="shared" si="2"/>
        <v>January</v>
      </c>
      <c r="E85" s="12">
        <v>15</v>
      </c>
      <c r="F85" s="12" t="b">
        <v>0</v>
      </c>
      <c r="G85" s="12" t="str">
        <f t="shared" si="3"/>
        <v>Tuesday</v>
      </c>
      <c r="H85" s="12" t="s">
        <v>0</v>
      </c>
      <c r="I85" s="18">
        <v>0.28000000000000003</v>
      </c>
      <c r="J85" s="19">
        <v>0.2727</v>
      </c>
      <c r="K85" s="18">
        <v>0.52</v>
      </c>
      <c r="L85" s="12">
        <v>0.25369999999999998</v>
      </c>
      <c r="M85" s="12">
        <v>17</v>
      </c>
      <c r="N85" s="12">
        <v>48</v>
      </c>
      <c r="O85" s="13">
        <v>65</v>
      </c>
    </row>
    <row r="86" spans="1:15" x14ac:dyDescent="0.35">
      <c r="A86" s="10">
        <v>85</v>
      </c>
      <c r="B86" s="11">
        <v>40547</v>
      </c>
      <c r="C86" s="12" t="s">
        <v>4</v>
      </c>
      <c r="D86" s="12" t="str">
        <f t="shared" si="2"/>
        <v>January</v>
      </c>
      <c r="E86" s="12">
        <v>16</v>
      </c>
      <c r="F86" s="12" t="b">
        <v>0</v>
      </c>
      <c r="G86" s="12" t="str">
        <f t="shared" si="3"/>
        <v>Tuesday</v>
      </c>
      <c r="H86" s="12" t="s">
        <v>0</v>
      </c>
      <c r="I86" s="18">
        <v>0.3</v>
      </c>
      <c r="J86" s="19">
        <v>0.28789999999999999</v>
      </c>
      <c r="K86" s="18">
        <v>0.49</v>
      </c>
      <c r="L86" s="12">
        <v>0.25369999999999998</v>
      </c>
      <c r="M86" s="12">
        <v>15</v>
      </c>
      <c r="N86" s="12">
        <v>68</v>
      </c>
      <c r="O86" s="13">
        <v>83</v>
      </c>
    </row>
    <row r="87" spans="1:15" x14ac:dyDescent="0.35">
      <c r="A87" s="10">
        <v>86</v>
      </c>
      <c r="B87" s="11">
        <v>40547</v>
      </c>
      <c r="C87" s="12" t="s">
        <v>4</v>
      </c>
      <c r="D87" s="12" t="str">
        <f t="shared" si="2"/>
        <v>January</v>
      </c>
      <c r="E87" s="12">
        <v>17</v>
      </c>
      <c r="F87" s="12" t="b">
        <v>0</v>
      </c>
      <c r="G87" s="12" t="str">
        <f t="shared" si="3"/>
        <v>Tuesday</v>
      </c>
      <c r="H87" s="12" t="s">
        <v>0</v>
      </c>
      <c r="I87" s="18">
        <v>0.28000000000000003</v>
      </c>
      <c r="J87" s="19">
        <v>0.2727</v>
      </c>
      <c r="K87" s="18">
        <v>0.48</v>
      </c>
      <c r="L87" s="12">
        <v>0.22389999999999999</v>
      </c>
      <c r="M87" s="12">
        <v>10</v>
      </c>
      <c r="N87" s="12">
        <v>202</v>
      </c>
      <c r="O87" s="13">
        <v>212</v>
      </c>
    </row>
    <row r="88" spans="1:15" x14ac:dyDescent="0.35">
      <c r="A88" s="10">
        <v>87</v>
      </c>
      <c r="B88" s="11">
        <v>40547</v>
      </c>
      <c r="C88" s="12" t="s">
        <v>4</v>
      </c>
      <c r="D88" s="12" t="str">
        <f t="shared" si="2"/>
        <v>January</v>
      </c>
      <c r="E88" s="12">
        <v>18</v>
      </c>
      <c r="F88" s="12" t="b">
        <v>0</v>
      </c>
      <c r="G88" s="12" t="str">
        <f t="shared" si="3"/>
        <v>Tuesday</v>
      </c>
      <c r="H88" s="12" t="s">
        <v>0</v>
      </c>
      <c r="I88" s="18">
        <v>0.26</v>
      </c>
      <c r="J88" s="19">
        <v>0.2576</v>
      </c>
      <c r="K88" s="18">
        <v>0.48</v>
      </c>
      <c r="L88" s="12">
        <v>0.19400000000000001</v>
      </c>
      <c r="M88" s="12">
        <v>3</v>
      </c>
      <c r="N88" s="12">
        <v>179</v>
      </c>
      <c r="O88" s="13">
        <v>182</v>
      </c>
    </row>
    <row r="89" spans="1:15" x14ac:dyDescent="0.35">
      <c r="A89" s="10">
        <v>88</v>
      </c>
      <c r="B89" s="11">
        <v>40547</v>
      </c>
      <c r="C89" s="12" t="s">
        <v>4</v>
      </c>
      <c r="D89" s="12" t="str">
        <f t="shared" si="2"/>
        <v>January</v>
      </c>
      <c r="E89" s="12">
        <v>19</v>
      </c>
      <c r="F89" s="12" t="b">
        <v>0</v>
      </c>
      <c r="G89" s="12" t="str">
        <f t="shared" si="3"/>
        <v>Tuesday</v>
      </c>
      <c r="H89" s="12" t="s">
        <v>0</v>
      </c>
      <c r="I89" s="18">
        <v>0.24</v>
      </c>
      <c r="J89" s="19">
        <v>0.2576</v>
      </c>
      <c r="K89" s="18">
        <v>0.48</v>
      </c>
      <c r="L89" s="12">
        <v>0.1045</v>
      </c>
      <c r="M89" s="12">
        <v>2</v>
      </c>
      <c r="N89" s="12">
        <v>110</v>
      </c>
      <c r="O89" s="13">
        <v>112</v>
      </c>
    </row>
    <row r="90" spans="1:15" x14ac:dyDescent="0.35">
      <c r="A90" s="10">
        <v>89</v>
      </c>
      <c r="B90" s="11">
        <v>40547</v>
      </c>
      <c r="C90" s="12" t="s">
        <v>4</v>
      </c>
      <c r="D90" s="12" t="str">
        <f t="shared" si="2"/>
        <v>January</v>
      </c>
      <c r="E90" s="12">
        <v>20</v>
      </c>
      <c r="F90" s="12" t="b">
        <v>0</v>
      </c>
      <c r="G90" s="12" t="str">
        <f t="shared" si="3"/>
        <v>Tuesday</v>
      </c>
      <c r="H90" s="12" t="s">
        <v>0</v>
      </c>
      <c r="I90" s="18">
        <v>0.24</v>
      </c>
      <c r="J90" s="19">
        <v>0.2576</v>
      </c>
      <c r="K90" s="18">
        <v>0.48</v>
      </c>
      <c r="L90" s="12">
        <v>0.1045</v>
      </c>
      <c r="M90" s="12">
        <v>1</v>
      </c>
      <c r="N90" s="12">
        <v>53</v>
      </c>
      <c r="O90" s="13">
        <v>54</v>
      </c>
    </row>
    <row r="91" spans="1:15" x14ac:dyDescent="0.35">
      <c r="A91" s="10">
        <v>90</v>
      </c>
      <c r="B91" s="11">
        <v>40547</v>
      </c>
      <c r="C91" s="12" t="s">
        <v>4</v>
      </c>
      <c r="D91" s="12" t="str">
        <f t="shared" si="2"/>
        <v>January</v>
      </c>
      <c r="E91" s="12">
        <v>21</v>
      </c>
      <c r="F91" s="12" t="b">
        <v>0</v>
      </c>
      <c r="G91" s="12" t="str">
        <f t="shared" si="3"/>
        <v>Tuesday</v>
      </c>
      <c r="H91" s="12" t="s">
        <v>0</v>
      </c>
      <c r="I91" s="18">
        <v>0.22</v>
      </c>
      <c r="J91" s="19">
        <v>0.2727</v>
      </c>
      <c r="K91" s="18">
        <v>0.64</v>
      </c>
      <c r="L91" s="12">
        <v>0</v>
      </c>
      <c r="M91" s="12">
        <v>0</v>
      </c>
      <c r="N91" s="12">
        <v>48</v>
      </c>
      <c r="O91" s="13">
        <v>48</v>
      </c>
    </row>
    <row r="92" spans="1:15" x14ac:dyDescent="0.35">
      <c r="A92" s="10">
        <v>91</v>
      </c>
      <c r="B92" s="11">
        <v>40547</v>
      </c>
      <c r="C92" s="12" t="s">
        <v>4</v>
      </c>
      <c r="D92" s="12" t="str">
        <f t="shared" si="2"/>
        <v>January</v>
      </c>
      <c r="E92" s="12">
        <v>22</v>
      </c>
      <c r="F92" s="12" t="b">
        <v>0</v>
      </c>
      <c r="G92" s="12" t="str">
        <f t="shared" si="3"/>
        <v>Tuesday</v>
      </c>
      <c r="H92" s="12" t="s">
        <v>0</v>
      </c>
      <c r="I92" s="18">
        <v>0.22</v>
      </c>
      <c r="J92" s="19">
        <v>0.2576</v>
      </c>
      <c r="K92" s="18">
        <v>0.64</v>
      </c>
      <c r="L92" s="12">
        <v>8.9599999999999999E-2</v>
      </c>
      <c r="M92" s="12">
        <v>1</v>
      </c>
      <c r="N92" s="12">
        <v>34</v>
      </c>
      <c r="O92" s="13">
        <v>35</v>
      </c>
    </row>
    <row r="93" spans="1:15" x14ac:dyDescent="0.35">
      <c r="A93" s="10">
        <v>92</v>
      </c>
      <c r="B93" s="11">
        <v>40547</v>
      </c>
      <c r="C93" s="12" t="s">
        <v>4</v>
      </c>
      <c r="D93" s="12" t="str">
        <f t="shared" si="2"/>
        <v>January</v>
      </c>
      <c r="E93" s="12">
        <v>23</v>
      </c>
      <c r="F93" s="12" t="b">
        <v>0</v>
      </c>
      <c r="G93" s="12" t="str">
        <f t="shared" si="3"/>
        <v>Tuesday</v>
      </c>
      <c r="H93" s="12" t="s">
        <v>0</v>
      </c>
      <c r="I93" s="18">
        <v>0.2</v>
      </c>
      <c r="J93" s="19">
        <v>0.2273</v>
      </c>
      <c r="K93" s="18">
        <v>0.69</v>
      </c>
      <c r="L93" s="12">
        <v>8.9599999999999999E-2</v>
      </c>
      <c r="M93" s="12">
        <v>2</v>
      </c>
      <c r="N93" s="12">
        <v>9</v>
      </c>
      <c r="O93" s="13">
        <v>11</v>
      </c>
    </row>
    <row r="94" spans="1:15" x14ac:dyDescent="0.35">
      <c r="A94" s="10">
        <v>93</v>
      </c>
      <c r="B94" s="11">
        <v>40548</v>
      </c>
      <c r="C94" s="12" t="s">
        <v>4</v>
      </c>
      <c r="D94" s="12" t="str">
        <f t="shared" si="2"/>
        <v>January</v>
      </c>
      <c r="E94" s="12">
        <v>0</v>
      </c>
      <c r="F94" s="12" t="b">
        <v>0</v>
      </c>
      <c r="G94" s="12" t="str">
        <f t="shared" si="3"/>
        <v>Wednesday</v>
      </c>
      <c r="H94" s="12" t="s">
        <v>0</v>
      </c>
      <c r="I94" s="18">
        <v>0.2</v>
      </c>
      <c r="J94" s="19">
        <v>0.2576</v>
      </c>
      <c r="K94" s="18">
        <v>0.64</v>
      </c>
      <c r="L94" s="12">
        <v>0</v>
      </c>
      <c r="M94" s="12">
        <v>0</v>
      </c>
      <c r="N94" s="12">
        <v>6</v>
      </c>
      <c r="O94" s="13">
        <v>6</v>
      </c>
    </row>
    <row r="95" spans="1:15" x14ac:dyDescent="0.35">
      <c r="A95" s="10">
        <v>94</v>
      </c>
      <c r="B95" s="11">
        <v>40548</v>
      </c>
      <c r="C95" s="12" t="s">
        <v>4</v>
      </c>
      <c r="D95" s="12" t="str">
        <f t="shared" si="2"/>
        <v>January</v>
      </c>
      <c r="E95" s="12">
        <v>1</v>
      </c>
      <c r="F95" s="12" t="b">
        <v>0</v>
      </c>
      <c r="G95" s="12" t="str">
        <f t="shared" si="3"/>
        <v>Wednesday</v>
      </c>
      <c r="H95" s="12" t="s">
        <v>0</v>
      </c>
      <c r="I95" s="18">
        <v>0.16</v>
      </c>
      <c r="J95" s="19">
        <v>0.19700000000000001</v>
      </c>
      <c r="K95" s="18">
        <v>0.74</v>
      </c>
      <c r="L95" s="12">
        <v>8.9599999999999999E-2</v>
      </c>
      <c r="M95" s="12">
        <v>0</v>
      </c>
      <c r="N95" s="12">
        <v>6</v>
      </c>
      <c r="O95" s="13">
        <v>6</v>
      </c>
    </row>
    <row r="96" spans="1:15" x14ac:dyDescent="0.35">
      <c r="A96" s="10">
        <v>95</v>
      </c>
      <c r="B96" s="11">
        <v>40548</v>
      </c>
      <c r="C96" s="12" t="s">
        <v>4</v>
      </c>
      <c r="D96" s="12" t="str">
        <f t="shared" si="2"/>
        <v>January</v>
      </c>
      <c r="E96" s="12">
        <v>2</v>
      </c>
      <c r="F96" s="12" t="b">
        <v>0</v>
      </c>
      <c r="G96" s="12" t="str">
        <f t="shared" si="3"/>
        <v>Wednesday</v>
      </c>
      <c r="H96" s="12" t="s">
        <v>0</v>
      </c>
      <c r="I96" s="18">
        <v>0.16</v>
      </c>
      <c r="J96" s="19">
        <v>0.19700000000000001</v>
      </c>
      <c r="K96" s="18">
        <v>0.74</v>
      </c>
      <c r="L96" s="12">
        <v>8.9599999999999999E-2</v>
      </c>
      <c r="M96" s="12">
        <v>0</v>
      </c>
      <c r="N96" s="12">
        <v>2</v>
      </c>
      <c r="O96" s="13">
        <v>2</v>
      </c>
    </row>
    <row r="97" spans="1:15" x14ac:dyDescent="0.35">
      <c r="A97" s="10">
        <v>96</v>
      </c>
      <c r="B97" s="11">
        <v>40548</v>
      </c>
      <c r="C97" s="12" t="s">
        <v>4</v>
      </c>
      <c r="D97" s="12" t="str">
        <f t="shared" si="2"/>
        <v>January</v>
      </c>
      <c r="E97" s="12">
        <v>4</v>
      </c>
      <c r="F97" s="12" t="b">
        <v>0</v>
      </c>
      <c r="G97" s="12" t="str">
        <f t="shared" si="3"/>
        <v>Wednesday</v>
      </c>
      <c r="H97" s="12" t="s">
        <v>0</v>
      </c>
      <c r="I97" s="18">
        <v>0.24</v>
      </c>
      <c r="J97" s="19">
        <v>0.2273</v>
      </c>
      <c r="K97" s="18">
        <v>0.48</v>
      </c>
      <c r="L97" s="12">
        <v>0.22389999999999999</v>
      </c>
      <c r="M97" s="12">
        <v>0</v>
      </c>
      <c r="N97" s="12">
        <v>2</v>
      </c>
      <c r="O97" s="13">
        <v>2</v>
      </c>
    </row>
    <row r="98" spans="1:15" x14ac:dyDescent="0.35">
      <c r="A98" s="10">
        <v>97</v>
      </c>
      <c r="B98" s="11">
        <v>40548</v>
      </c>
      <c r="C98" s="12" t="s">
        <v>4</v>
      </c>
      <c r="D98" s="12" t="str">
        <f t="shared" si="2"/>
        <v>January</v>
      </c>
      <c r="E98" s="12">
        <v>5</v>
      </c>
      <c r="F98" s="12" t="b">
        <v>0</v>
      </c>
      <c r="G98" s="12" t="str">
        <f t="shared" si="3"/>
        <v>Wednesday</v>
      </c>
      <c r="H98" s="12" t="s">
        <v>0</v>
      </c>
      <c r="I98" s="18">
        <v>0.22</v>
      </c>
      <c r="J98" s="19">
        <v>0.2273</v>
      </c>
      <c r="K98" s="18">
        <v>0.47</v>
      </c>
      <c r="L98" s="12">
        <v>0.16420000000000001</v>
      </c>
      <c r="M98" s="12">
        <v>0</v>
      </c>
      <c r="N98" s="12">
        <v>3</v>
      </c>
      <c r="O98" s="13">
        <v>3</v>
      </c>
    </row>
    <row r="99" spans="1:15" x14ac:dyDescent="0.35">
      <c r="A99" s="10">
        <v>98</v>
      </c>
      <c r="B99" s="11">
        <v>40548</v>
      </c>
      <c r="C99" s="12" t="s">
        <v>4</v>
      </c>
      <c r="D99" s="12" t="str">
        <f t="shared" si="2"/>
        <v>January</v>
      </c>
      <c r="E99" s="12">
        <v>6</v>
      </c>
      <c r="F99" s="12" t="b">
        <v>0</v>
      </c>
      <c r="G99" s="12" t="str">
        <f t="shared" si="3"/>
        <v>Wednesday</v>
      </c>
      <c r="H99" s="12" t="s">
        <v>0</v>
      </c>
      <c r="I99" s="18">
        <v>0.2</v>
      </c>
      <c r="J99" s="19">
        <v>0.19700000000000001</v>
      </c>
      <c r="K99" s="18">
        <v>0.47</v>
      </c>
      <c r="L99" s="12">
        <v>0.22389999999999999</v>
      </c>
      <c r="M99" s="12">
        <v>0</v>
      </c>
      <c r="N99" s="12">
        <v>33</v>
      </c>
      <c r="O99" s="13">
        <v>33</v>
      </c>
    </row>
    <row r="100" spans="1:15" x14ac:dyDescent="0.35">
      <c r="A100" s="10">
        <v>99</v>
      </c>
      <c r="B100" s="11">
        <v>40548</v>
      </c>
      <c r="C100" s="12" t="s">
        <v>4</v>
      </c>
      <c r="D100" s="12" t="str">
        <f t="shared" si="2"/>
        <v>January</v>
      </c>
      <c r="E100" s="12">
        <v>7</v>
      </c>
      <c r="F100" s="12" t="b">
        <v>0</v>
      </c>
      <c r="G100" s="12" t="str">
        <f t="shared" si="3"/>
        <v>Wednesday</v>
      </c>
      <c r="H100" s="12" t="s">
        <v>0</v>
      </c>
      <c r="I100" s="18">
        <v>0.18</v>
      </c>
      <c r="J100" s="19">
        <v>0.18179999999999999</v>
      </c>
      <c r="K100" s="18">
        <v>0.43</v>
      </c>
      <c r="L100" s="12">
        <v>0.19400000000000001</v>
      </c>
      <c r="M100" s="12">
        <v>1</v>
      </c>
      <c r="N100" s="12">
        <v>87</v>
      </c>
      <c r="O100" s="13">
        <v>88</v>
      </c>
    </row>
    <row r="101" spans="1:15" x14ac:dyDescent="0.35">
      <c r="A101" s="10">
        <v>100</v>
      </c>
      <c r="B101" s="11">
        <v>40548</v>
      </c>
      <c r="C101" s="12" t="s">
        <v>4</v>
      </c>
      <c r="D101" s="12" t="str">
        <f t="shared" si="2"/>
        <v>January</v>
      </c>
      <c r="E101" s="12">
        <v>8</v>
      </c>
      <c r="F101" s="12" t="b">
        <v>0</v>
      </c>
      <c r="G101" s="12" t="str">
        <f t="shared" si="3"/>
        <v>Wednesday</v>
      </c>
      <c r="H101" s="12" t="s">
        <v>0</v>
      </c>
      <c r="I101" s="18">
        <v>0.2</v>
      </c>
      <c r="J101" s="19">
        <v>0.18179999999999999</v>
      </c>
      <c r="K101" s="18">
        <v>0.4</v>
      </c>
      <c r="L101" s="12">
        <v>0.29849999999999999</v>
      </c>
      <c r="M101" s="12">
        <v>3</v>
      </c>
      <c r="N101" s="12">
        <v>192</v>
      </c>
      <c r="O101" s="13">
        <v>195</v>
      </c>
    </row>
    <row r="102" spans="1:15" x14ac:dyDescent="0.35">
      <c r="A102" s="10">
        <v>101</v>
      </c>
      <c r="B102" s="11">
        <v>40548</v>
      </c>
      <c r="C102" s="12" t="s">
        <v>4</v>
      </c>
      <c r="D102" s="12" t="str">
        <f t="shared" si="2"/>
        <v>January</v>
      </c>
      <c r="E102" s="12">
        <v>9</v>
      </c>
      <c r="F102" s="12" t="b">
        <v>0</v>
      </c>
      <c r="G102" s="12" t="str">
        <f t="shared" si="3"/>
        <v>Wednesday</v>
      </c>
      <c r="H102" s="12" t="s">
        <v>0</v>
      </c>
      <c r="I102" s="18">
        <v>0.22</v>
      </c>
      <c r="J102" s="19">
        <v>0.19700000000000001</v>
      </c>
      <c r="K102" s="18">
        <v>0.37</v>
      </c>
      <c r="L102" s="12">
        <v>0.32840000000000003</v>
      </c>
      <c r="M102" s="12">
        <v>6</v>
      </c>
      <c r="N102" s="12">
        <v>109</v>
      </c>
      <c r="O102" s="13">
        <v>115</v>
      </c>
    </row>
    <row r="103" spans="1:15" x14ac:dyDescent="0.35">
      <c r="A103" s="10">
        <v>102</v>
      </c>
      <c r="B103" s="11">
        <v>40548</v>
      </c>
      <c r="C103" s="12" t="s">
        <v>4</v>
      </c>
      <c r="D103" s="12" t="str">
        <f t="shared" si="2"/>
        <v>January</v>
      </c>
      <c r="E103" s="12">
        <v>10</v>
      </c>
      <c r="F103" s="12" t="b">
        <v>0</v>
      </c>
      <c r="G103" s="12" t="str">
        <f t="shared" si="3"/>
        <v>Wednesday</v>
      </c>
      <c r="H103" s="12" t="s">
        <v>0</v>
      </c>
      <c r="I103" s="18">
        <v>0.22</v>
      </c>
      <c r="J103" s="19">
        <v>0.19700000000000001</v>
      </c>
      <c r="K103" s="18">
        <v>0.37</v>
      </c>
      <c r="L103" s="12">
        <v>0.32840000000000003</v>
      </c>
      <c r="M103" s="12">
        <v>4</v>
      </c>
      <c r="N103" s="12">
        <v>53</v>
      </c>
      <c r="O103" s="13">
        <v>57</v>
      </c>
    </row>
    <row r="104" spans="1:15" x14ac:dyDescent="0.35">
      <c r="A104" s="10">
        <v>103</v>
      </c>
      <c r="B104" s="11">
        <v>40548</v>
      </c>
      <c r="C104" s="12" t="s">
        <v>4</v>
      </c>
      <c r="D104" s="12" t="str">
        <f t="shared" si="2"/>
        <v>January</v>
      </c>
      <c r="E104" s="12">
        <v>11</v>
      </c>
      <c r="F104" s="12" t="b">
        <v>0</v>
      </c>
      <c r="G104" s="12" t="str">
        <f t="shared" si="3"/>
        <v>Wednesday</v>
      </c>
      <c r="H104" s="12" t="s">
        <v>0</v>
      </c>
      <c r="I104" s="18">
        <v>0.26</v>
      </c>
      <c r="J104" s="19">
        <v>0.2273</v>
      </c>
      <c r="K104" s="18">
        <v>0.33</v>
      </c>
      <c r="L104" s="12">
        <v>0.32840000000000003</v>
      </c>
      <c r="M104" s="12">
        <v>12</v>
      </c>
      <c r="N104" s="12">
        <v>34</v>
      </c>
      <c r="O104" s="13">
        <v>46</v>
      </c>
    </row>
    <row r="105" spans="1:15" x14ac:dyDescent="0.35">
      <c r="A105" s="10">
        <v>104</v>
      </c>
      <c r="B105" s="11">
        <v>40548</v>
      </c>
      <c r="C105" s="12" t="s">
        <v>4</v>
      </c>
      <c r="D105" s="12" t="str">
        <f t="shared" si="2"/>
        <v>January</v>
      </c>
      <c r="E105" s="12">
        <v>12</v>
      </c>
      <c r="F105" s="12" t="b">
        <v>0</v>
      </c>
      <c r="G105" s="12" t="str">
        <f t="shared" si="3"/>
        <v>Wednesday</v>
      </c>
      <c r="H105" s="12" t="s">
        <v>0</v>
      </c>
      <c r="I105" s="18">
        <v>0.26</v>
      </c>
      <c r="J105" s="19">
        <v>0.2273</v>
      </c>
      <c r="K105" s="18">
        <v>0.33</v>
      </c>
      <c r="L105" s="12">
        <v>0.32840000000000003</v>
      </c>
      <c r="M105" s="12">
        <v>5</v>
      </c>
      <c r="N105" s="12">
        <v>74</v>
      </c>
      <c r="O105" s="13">
        <v>79</v>
      </c>
    </row>
    <row r="106" spans="1:15" x14ac:dyDescent="0.35">
      <c r="A106" s="10">
        <v>105</v>
      </c>
      <c r="B106" s="11">
        <v>40548</v>
      </c>
      <c r="C106" s="12" t="s">
        <v>4</v>
      </c>
      <c r="D106" s="12" t="str">
        <f t="shared" si="2"/>
        <v>January</v>
      </c>
      <c r="E106" s="12">
        <v>13</v>
      </c>
      <c r="F106" s="12" t="b">
        <v>0</v>
      </c>
      <c r="G106" s="12" t="str">
        <f t="shared" si="3"/>
        <v>Wednesday</v>
      </c>
      <c r="H106" s="12" t="s">
        <v>0</v>
      </c>
      <c r="I106" s="18">
        <v>0.28000000000000003</v>
      </c>
      <c r="J106" s="19">
        <v>0.2576</v>
      </c>
      <c r="K106" s="18">
        <v>0.3</v>
      </c>
      <c r="L106" s="12">
        <v>0.29849999999999999</v>
      </c>
      <c r="M106" s="12">
        <v>6</v>
      </c>
      <c r="N106" s="12">
        <v>65</v>
      </c>
      <c r="O106" s="13">
        <v>71</v>
      </c>
    </row>
    <row r="107" spans="1:15" x14ac:dyDescent="0.35">
      <c r="A107" s="10">
        <v>106</v>
      </c>
      <c r="B107" s="11">
        <v>40548</v>
      </c>
      <c r="C107" s="12" t="s">
        <v>4</v>
      </c>
      <c r="D107" s="12" t="str">
        <f t="shared" si="2"/>
        <v>January</v>
      </c>
      <c r="E107" s="12">
        <v>14</v>
      </c>
      <c r="F107" s="12" t="b">
        <v>0</v>
      </c>
      <c r="G107" s="12" t="str">
        <f t="shared" si="3"/>
        <v>Wednesday</v>
      </c>
      <c r="H107" s="12" t="s">
        <v>0</v>
      </c>
      <c r="I107" s="18">
        <v>0.3</v>
      </c>
      <c r="J107" s="19">
        <v>0.28789999999999999</v>
      </c>
      <c r="K107" s="18">
        <v>0.28000000000000003</v>
      </c>
      <c r="L107" s="12">
        <v>0.19400000000000001</v>
      </c>
      <c r="M107" s="12">
        <v>10</v>
      </c>
      <c r="N107" s="12">
        <v>52</v>
      </c>
      <c r="O107" s="13">
        <v>62</v>
      </c>
    </row>
    <row r="108" spans="1:15" x14ac:dyDescent="0.35">
      <c r="A108" s="10">
        <v>107</v>
      </c>
      <c r="B108" s="11">
        <v>40548</v>
      </c>
      <c r="C108" s="12" t="s">
        <v>4</v>
      </c>
      <c r="D108" s="12" t="str">
        <f t="shared" si="2"/>
        <v>January</v>
      </c>
      <c r="E108" s="12">
        <v>15</v>
      </c>
      <c r="F108" s="12" t="b">
        <v>0</v>
      </c>
      <c r="G108" s="12" t="str">
        <f t="shared" si="3"/>
        <v>Wednesday</v>
      </c>
      <c r="H108" s="12" t="s">
        <v>0</v>
      </c>
      <c r="I108" s="18">
        <v>0.3</v>
      </c>
      <c r="J108" s="19">
        <v>0.28789999999999999</v>
      </c>
      <c r="K108" s="18">
        <v>0.28000000000000003</v>
      </c>
      <c r="L108" s="12">
        <v>0.19400000000000001</v>
      </c>
      <c r="M108" s="12">
        <v>7</v>
      </c>
      <c r="N108" s="12">
        <v>55</v>
      </c>
      <c r="O108" s="13">
        <v>62</v>
      </c>
    </row>
    <row r="109" spans="1:15" x14ac:dyDescent="0.35">
      <c r="A109" s="10">
        <v>108</v>
      </c>
      <c r="B109" s="11">
        <v>40548</v>
      </c>
      <c r="C109" s="12" t="s">
        <v>4</v>
      </c>
      <c r="D109" s="12" t="str">
        <f t="shared" si="2"/>
        <v>January</v>
      </c>
      <c r="E109" s="12">
        <v>16</v>
      </c>
      <c r="F109" s="12" t="b">
        <v>0</v>
      </c>
      <c r="G109" s="12" t="str">
        <f t="shared" si="3"/>
        <v>Wednesday</v>
      </c>
      <c r="H109" s="12" t="s">
        <v>0</v>
      </c>
      <c r="I109" s="18">
        <v>0.3</v>
      </c>
      <c r="J109" s="19">
        <v>0.31819999999999998</v>
      </c>
      <c r="K109" s="18">
        <v>0.28000000000000003</v>
      </c>
      <c r="L109" s="12">
        <v>8.9599999999999999E-2</v>
      </c>
      <c r="M109" s="12">
        <v>4</v>
      </c>
      <c r="N109" s="12">
        <v>85</v>
      </c>
      <c r="O109" s="13">
        <v>89</v>
      </c>
    </row>
    <row r="110" spans="1:15" x14ac:dyDescent="0.35">
      <c r="A110" s="10">
        <v>109</v>
      </c>
      <c r="B110" s="11">
        <v>40548</v>
      </c>
      <c r="C110" s="12" t="s">
        <v>4</v>
      </c>
      <c r="D110" s="12" t="str">
        <f t="shared" si="2"/>
        <v>January</v>
      </c>
      <c r="E110" s="12">
        <v>17</v>
      </c>
      <c r="F110" s="12" t="b">
        <v>0</v>
      </c>
      <c r="G110" s="12" t="str">
        <f t="shared" si="3"/>
        <v>Wednesday</v>
      </c>
      <c r="H110" s="12" t="s">
        <v>0</v>
      </c>
      <c r="I110" s="18">
        <v>0.24</v>
      </c>
      <c r="J110" s="19">
        <v>0.2273</v>
      </c>
      <c r="K110" s="18">
        <v>0.38</v>
      </c>
      <c r="L110" s="12">
        <v>0.19400000000000001</v>
      </c>
      <c r="M110" s="12">
        <v>4</v>
      </c>
      <c r="N110" s="12">
        <v>186</v>
      </c>
      <c r="O110" s="13">
        <v>190</v>
      </c>
    </row>
    <row r="111" spans="1:15" x14ac:dyDescent="0.35">
      <c r="A111" s="10">
        <v>110</v>
      </c>
      <c r="B111" s="11">
        <v>40548</v>
      </c>
      <c r="C111" s="12" t="s">
        <v>4</v>
      </c>
      <c r="D111" s="12" t="str">
        <f t="shared" si="2"/>
        <v>January</v>
      </c>
      <c r="E111" s="12">
        <v>18</v>
      </c>
      <c r="F111" s="12" t="b">
        <v>0</v>
      </c>
      <c r="G111" s="12" t="str">
        <f t="shared" si="3"/>
        <v>Wednesday</v>
      </c>
      <c r="H111" s="12" t="s">
        <v>0</v>
      </c>
      <c r="I111" s="18">
        <v>0.24</v>
      </c>
      <c r="J111" s="19">
        <v>0.2424</v>
      </c>
      <c r="K111" s="18">
        <v>0.38</v>
      </c>
      <c r="L111" s="12">
        <v>0.1343</v>
      </c>
      <c r="M111" s="12">
        <v>3</v>
      </c>
      <c r="N111" s="12">
        <v>166</v>
      </c>
      <c r="O111" s="13">
        <v>169</v>
      </c>
    </row>
    <row r="112" spans="1:15" x14ac:dyDescent="0.35">
      <c r="A112" s="10">
        <v>111</v>
      </c>
      <c r="B112" s="11">
        <v>40548</v>
      </c>
      <c r="C112" s="12" t="s">
        <v>4</v>
      </c>
      <c r="D112" s="12" t="str">
        <f t="shared" si="2"/>
        <v>January</v>
      </c>
      <c r="E112" s="12">
        <v>19</v>
      </c>
      <c r="F112" s="12" t="b">
        <v>0</v>
      </c>
      <c r="G112" s="12" t="str">
        <f t="shared" si="3"/>
        <v>Wednesday</v>
      </c>
      <c r="H112" s="12" t="s">
        <v>0</v>
      </c>
      <c r="I112" s="18">
        <v>0.24</v>
      </c>
      <c r="J112" s="19">
        <v>0.2576</v>
      </c>
      <c r="K112" s="18">
        <v>0.38</v>
      </c>
      <c r="L112" s="12">
        <v>0.1045</v>
      </c>
      <c r="M112" s="12">
        <v>5</v>
      </c>
      <c r="N112" s="12">
        <v>127</v>
      </c>
      <c r="O112" s="13">
        <v>132</v>
      </c>
    </row>
    <row r="113" spans="1:15" x14ac:dyDescent="0.35">
      <c r="A113" s="10">
        <v>112</v>
      </c>
      <c r="B113" s="11">
        <v>40548</v>
      </c>
      <c r="C113" s="12" t="s">
        <v>4</v>
      </c>
      <c r="D113" s="12" t="str">
        <f t="shared" si="2"/>
        <v>January</v>
      </c>
      <c r="E113" s="12">
        <v>20</v>
      </c>
      <c r="F113" s="12" t="b">
        <v>0</v>
      </c>
      <c r="G113" s="12" t="str">
        <f t="shared" si="3"/>
        <v>Wednesday</v>
      </c>
      <c r="H113" s="12" t="s">
        <v>0</v>
      </c>
      <c r="I113" s="18">
        <v>0.22</v>
      </c>
      <c r="J113" s="19">
        <v>0.2273</v>
      </c>
      <c r="K113" s="18">
        <v>0.47</v>
      </c>
      <c r="L113" s="12">
        <v>0.16420000000000001</v>
      </c>
      <c r="M113" s="12">
        <v>7</v>
      </c>
      <c r="N113" s="12">
        <v>82</v>
      </c>
      <c r="O113" s="13">
        <v>89</v>
      </c>
    </row>
    <row r="114" spans="1:15" x14ac:dyDescent="0.35">
      <c r="A114" s="10">
        <v>113</v>
      </c>
      <c r="B114" s="11">
        <v>40548</v>
      </c>
      <c r="C114" s="12" t="s">
        <v>4</v>
      </c>
      <c r="D114" s="12" t="str">
        <f t="shared" si="2"/>
        <v>January</v>
      </c>
      <c r="E114" s="12">
        <v>21</v>
      </c>
      <c r="F114" s="12" t="b">
        <v>0</v>
      </c>
      <c r="G114" s="12" t="str">
        <f t="shared" si="3"/>
        <v>Wednesday</v>
      </c>
      <c r="H114" s="12" t="s">
        <v>0</v>
      </c>
      <c r="I114" s="18">
        <v>0.2</v>
      </c>
      <c r="J114" s="19">
        <v>0.19700000000000001</v>
      </c>
      <c r="K114" s="18">
        <v>0.51</v>
      </c>
      <c r="L114" s="12">
        <v>0.19400000000000001</v>
      </c>
      <c r="M114" s="12">
        <v>3</v>
      </c>
      <c r="N114" s="12">
        <v>40</v>
      </c>
      <c r="O114" s="13">
        <v>43</v>
      </c>
    </row>
    <row r="115" spans="1:15" x14ac:dyDescent="0.35">
      <c r="A115" s="10">
        <v>114</v>
      </c>
      <c r="B115" s="11">
        <v>40548</v>
      </c>
      <c r="C115" s="12" t="s">
        <v>4</v>
      </c>
      <c r="D115" s="12" t="str">
        <f t="shared" si="2"/>
        <v>January</v>
      </c>
      <c r="E115" s="12">
        <v>22</v>
      </c>
      <c r="F115" s="12" t="b">
        <v>0</v>
      </c>
      <c r="G115" s="12" t="str">
        <f t="shared" si="3"/>
        <v>Wednesday</v>
      </c>
      <c r="H115" s="12" t="s">
        <v>0</v>
      </c>
      <c r="I115" s="18">
        <v>0.18</v>
      </c>
      <c r="J115" s="19">
        <v>0.19700000000000001</v>
      </c>
      <c r="K115" s="18">
        <v>0.55000000000000004</v>
      </c>
      <c r="L115" s="12">
        <v>0.1343</v>
      </c>
      <c r="M115" s="12">
        <v>1</v>
      </c>
      <c r="N115" s="12">
        <v>41</v>
      </c>
      <c r="O115" s="13">
        <v>42</v>
      </c>
    </row>
    <row r="116" spans="1:15" x14ac:dyDescent="0.35">
      <c r="A116" s="10">
        <v>115</v>
      </c>
      <c r="B116" s="11">
        <v>40548</v>
      </c>
      <c r="C116" s="12" t="s">
        <v>4</v>
      </c>
      <c r="D116" s="12" t="str">
        <f t="shared" si="2"/>
        <v>January</v>
      </c>
      <c r="E116" s="12">
        <v>23</v>
      </c>
      <c r="F116" s="12" t="b">
        <v>0</v>
      </c>
      <c r="G116" s="12" t="str">
        <f t="shared" si="3"/>
        <v>Wednesday</v>
      </c>
      <c r="H116" s="12" t="s">
        <v>0</v>
      </c>
      <c r="I116" s="18">
        <v>0.2</v>
      </c>
      <c r="J116" s="19">
        <v>0.2576</v>
      </c>
      <c r="K116" s="18">
        <v>0.47</v>
      </c>
      <c r="L116" s="12">
        <v>0</v>
      </c>
      <c r="M116" s="12">
        <v>1</v>
      </c>
      <c r="N116" s="12">
        <v>18</v>
      </c>
      <c r="O116" s="13">
        <v>19</v>
      </c>
    </row>
    <row r="117" spans="1:15" x14ac:dyDescent="0.35">
      <c r="A117" s="10">
        <v>116</v>
      </c>
      <c r="B117" s="11">
        <v>40549</v>
      </c>
      <c r="C117" s="12" t="s">
        <v>4</v>
      </c>
      <c r="D117" s="12" t="str">
        <f t="shared" si="2"/>
        <v>January</v>
      </c>
      <c r="E117" s="12">
        <v>0</v>
      </c>
      <c r="F117" s="12" t="b">
        <v>0</v>
      </c>
      <c r="G117" s="12" t="str">
        <f t="shared" si="3"/>
        <v>Thursday</v>
      </c>
      <c r="H117" s="12" t="s">
        <v>0</v>
      </c>
      <c r="I117" s="18">
        <v>0.18</v>
      </c>
      <c r="J117" s="19">
        <v>0.2424</v>
      </c>
      <c r="K117" s="18">
        <v>0.55000000000000004</v>
      </c>
      <c r="L117" s="12">
        <v>0</v>
      </c>
      <c r="M117" s="12">
        <v>0</v>
      </c>
      <c r="N117" s="12">
        <v>11</v>
      </c>
      <c r="O117" s="13">
        <v>11</v>
      </c>
    </row>
    <row r="118" spans="1:15" x14ac:dyDescent="0.35">
      <c r="A118" s="10">
        <v>117</v>
      </c>
      <c r="B118" s="11">
        <v>40549</v>
      </c>
      <c r="C118" s="12" t="s">
        <v>4</v>
      </c>
      <c r="D118" s="12" t="str">
        <f t="shared" si="2"/>
        <v>January</v>
      </c>
      <c r="E118" s="12">
        <v>1</v>
      </c>
      <c r="F118" s="12" t="b">
        <v>0</v>
      </c>
      <c r="G118" s="12" t="str">
        <f t="shared" si="3"/>
        <v>Thursday</v>
      </c>
      <c r="H118" s="12" t="s">
        <v>0</v>
      </c>
      <c r="I118" s="18">
        <v>0.16</v>
      </c>
      <c r="J118" s="19">
        <v>0.2273</v>
      </c>
      <c r="K118" s="18">
        <v>0.64</v>
      </c>
      <c r="L118" s="12">
        <v>0</v>
      </c>
      <c r="M118" s="12">
        <v>0</v>
      </c>
      <c r="N118" s="12">
        <v>4</v>
      </c>
      <c r="O118" s="13">
        <v>4</v>
      </c>
    </row>
    <row r="119" spans="1:15" x14ac:dyDescent="0.35">
      <c r="A119" s="10">
        <v>118</v>
      </c>
      <c r="B119" s="11">
        <v>40549</v>
      </c>
      <c r="C119" s="12" t="s">
        <v>4</v>
      </c>
      <c r="D119" s="12" t="str">
        <f t="shared" si="2"/>
        <v>January</v>
      </c>
      <c r="E119" s="12">
        <v>2</v>
      </c>
      <c r="F119" s="12" t="b">
        <v>0</v>
      </c>
      <c r="G119" s="12" t="str">
        <f t="shared" si="3"/>
        <v>Thursday</v>
      </c>
      <c r="H119" s="12" t="s">
        <v>0</v>
      </c>
      <c r="I119" s="18">
        <v>0.16</v>
      </c>
      <c r="J119" s="19">
        <v>0.2273</v>
      </c>
      <c r="K119" s="18">
        <v>0.64</v>
      </c>
      <c r="L119" s="12">
        <v>0</v>
      </c>
      <c r="M119" s="12">
        <v>0</v>
      </c>
      <c r="N119" s="12">
        <v>2</v>
      </c>
      <c r="O119" s="13">
        <v>2</v>
      </c>
    </row>
    <row r="120" spans="1:15" x14ac:dyDescent="0.35">
      <c r="A120" s="10">
        <v>119</v>
      </c>
      <c r="B120" s="11">
        <v>40549</v>
      </c>
      <c r="C120" s="12" t="s">
        <v>4</v>
      </c>
      <c r="D120" s="12" t="str">
        <f t="shared" si="2"/>
        <v>January</v>
      </c>
      <c r="E120" s="12">
        <v>4</v>
      </c>
      <c r="F120" s="12" t="b">
        <v>0</v>
      </c>
      <c r="G120" s="12" t="str">
        <f t="shared" si="3"/>
        <v>Thursday</v>
      </c>
      <c r="H120" s="12" t="s">
        <v>1</v>
      </c>
      <c r="I120" s="18">
        <v>0.16</v>
      </c>
      <c r="J120" s="19">
        <v>0.19700000000000001</v>
      </c>
      <c r="K120" s="18">
        <v>0.64</v>
      </c>
      <c r="L120" s="12">
        <v>8.9599999999999999E-2</v>
      </c>
      <c r="M120" s="12">
        <v>0</v>
      </c>
      <c r="N120" s="12">
        <v>1</v>
      </c>
      <c r="O120" s="13">
        <v>1</v>
      </c>
    </row>
    <row r="121" spans="1:15" x14ac:dyDescent="0.35">
      <c r="A121" s="10">
        <v>120</v>
      </c>
      <c r="B121" s="11">
        <v>40549</v>
      </c>
      <c r="C121" s="12" t="s">
        <v>4</v>
      </c>
      <c r="D121" s="12" t="str">
        <f t="shared" si="2"/>
        <v>January</v>
      </c>
      <c r="E121" s="12">
        <v>5</v>
      </c>
      <c r="F121" s="12" t="b">
        <v>0</v>
      </c>
      <c r="G121" s="12" t="str">
        <f t="shared" si="3"/>
        <v>Thursday</v>
      </c>
      <c r="H121" s="12" t="s">
        <v>1</v>
      </c>
      <c r="I121" s="18">
        <v>0.14000000000000001</v>
      </c>
      <c r="J121" s="19">
        <v>0.18179999999999999</v>
      </c>
      <c r="K121" s="18">
        <v>0.69</v>
      </c>
      <c r="L121" s="12">
        <v>8.9599999999999999E-2</v>
      </c>
      <c r="M121" s="12">
        <v>0</v>
      </c>
      <c r="N121" s="12">
        <v>4</v>
      </c>
      <c r="O121" s="13">
        <v>4</v>
      </c>
    </row>
    <row r="122" spans="1:15" x14ac:dyDescent="0.35">
      <c r="A122" s="10">
        <v>121</v>
      </c>
      <c r="B122" s="11">
        <v>40549</v>
      </c>
      <c r="C122" s="12" t="s">
        <v>4</v>
      </c>
      <c r="D122" s="12" t="str">
        <f t="shared" si="2"/>
        <v>January</v>
      </c>
      <c r="E122" s="12">
        <v>6</v>
      </c>
      <c r="F122" s="12" t="b">
        <v>0</v>
      </c>
      <c r="G122" s="12" t="str">
        <f t="shared" si="3"/>
        <v>Thursday</v>
      </c>
      <c r="H122" s="12" t="s">
        <v>1</v>
      </c>
      <c r="I122" s="18">
        <v>0.14000000000000001</v>
      </c>
      <c r="J122" s="19">
        <v>0.16669999999999999</v>
      </c>
      <c r="K122" s="18">
        <v>0.63</v>
      </c>
      <c r="L122" s="12">
        <v>0.1045</v>
      </c>
      <c r="M122" s="12">
        <v>0</v>
      </c>
      <c r="N122" s="12">
        <v>36</v>
      </c>
      <c r="O122" s="13">
        <v>36</v>
      </c>
    </row>
    <row r="123" spans="1:15" x14ac:dyDescent="0.35">
      <c r="A123" s="10">
        <v>122</v>
      </c>
      <c r="B123" s="11">
        <v>40549</v>
      </c>
      <c r="C123" s="12" t="s">
        <v>4</v>
      </c>
      <c r="D123" s="12" t="str">
        <f t="shared" si="2"/>
        <v>January</v>
      </c>
      <c r="E123" s="12">
        <v>7</v>
      </c>
      <c r="F123" s="12" t="b">
        <v>0</v>
      </c>
      <c r="G123" s="12" t="str">
        <f t="shared" si="3"/>
        <v>Thursday</v>
      </c>
      <c r="H123" s="12" t="s">
        <v>1</v>
      </c>
      <c r="I123" s="18">
        <v>0.16</v>
      </c>
      <c r="J123" s="19">
        <v>0.2273</v>
      </c>
      <c r="K123" s="18">
        <v>0.59</v>
      </c>
      <c r="L123" s="12">
        <v>0</v>
      </c>
      <c r="M123" s="12">
        <v>0</v>
      </c>
      <c r="N123" s="12">
        <v>95</v>
      </c>
      <c r="O123" s="13">
        <v>95</v>
      </c>
    </row>
    <row r="124" spans="1:15" x14ac:dyDescent="0.35">
      <c r="A124" s="10">
        <v>123</v>
      </c>
      <c r="B124" s="11">
        <v>40549</v>
      </c>
      <c r="C124" s="12" t="s">
        <v>4</v>
      </c>
      <c r="D124" s="12" t="str">
        <f t="shared" si="2"/>
        <v>January</v>
      </c>
      <c r="E124" s="12">
        <v>8</v>
      </c>
      <c r="F124" s="12" t="b">
        <v>0</v>
      </c>
      <c r="G124" s="12" t="str">
        <f t="shared" si="3"/>
        <v>Thursday</v>
      </c>
      <c r="H124" s="12" t="s">
        <v>0</v>
      </c>
      <c r="I124" s="18">
        <v>0.16</v>
      </c>
      <c r="J124" s="19">
        <v>0.2273</v>
      </c>
      <c r="K124" s="18">
        <v>0.59</v>
      </c>
      <c r="L124" s="12">
        <v>0</v>
      </c>
      <c r="M124" s="12">
        <v>3</v>
      </c>
      <c r="N124" s="12">
        <v>216</v>
      </c>
      <c r="O124" s="13">
        <v>219</v>
      </c>
    </row>
    <row r="125" spans="1:15" x14ac:dyDescent="0.35">
      <c r="A125" s="10">
        <v>124</v>
      </c>
      <c r="B125" s="11">
        <v>40549</v>
      </c>
      <c r="C125" s="12" t="s">
        <v>4</v>
      </c>
      <c r="D125" s="12" t="str">
        <f t="shared" si="2"/>
        <v>January</v>
      </c>
      <c r="E125" s="12">
        <v>9</v>
      </c>
      <c r="F125" s="12" t="b">
        <v>0</v>
      </c>
      <c r="G125" s="12" t="str">
        <f t="shared" si="3"/>
        <v>Thursday</v>
      </c>
      <c r="H125" s="12" t="s">
        <v>1</v>
      </c>
      <c r="I125" s="18">
        <v>0.18</v>
      </c>
      <c r="J125" s="19">
        <v>0.2424</v>
      </c>
      <c r="K125" s="18">
        <v>0.51</v>
      </c>
      <c r="L125" s="12">
        <v>0</v>
      </c>
      <c r="M125" s="12">
        <v>6</v>
      </c>
      <c r="N125" s="12">
        <v>116</v>
      </c>
      <c r="O125" s="13">
        <v>122</v>
      </c>
    </row>
    <row r="126" spans="1:15" x14ac:dyDescent="0.35">
      <c r="A126" s="10">
        <v>125</v>
      </c>
      <c r="B126" s="11">
        <v>40549</v>
      </c>
      <c r="C126" s="12" t="s">
        <v>4</v>
      </c>
      <c r="D126" s="12" t="str">
        <f t="shared" si="2"/>
        <v>January</v>
      </c>
      <c r="E126" s="12">
        <v>10</v>
      </c>
      <c r="F126" s="12" t="b">
        <v>0</v>
      </c>
      <c r="G126" s="12" t="str">
        <f t="shared" si="3"/>
        <v>Thursday</v>
      </c>
      <c r="H126" s="12" t="s">
        <v>0</v>
      </c>
      <c r="I126" s="18">
        <v>0.2</v>
      </c>
      <c r="J126" s="19">
        <v>0.2576</v>
      </c>
      <c r="K126" s="18">
        <v>0.47</v>
      </c>
      <c r="L126" s="12">
        <v>0</v>
      </c>
      <c r="M126" s="12">
        <v>3</v>
      </c>
      <c r="N126" s="12">
        <v>42</v>
      </c>
      <c r="O126" s="13">
        <v>45</v>
      </c>
    </row>
    <row r="127" spans="1:15" x14ac:dyDescent="0.35">
      <c r="A127" s="10">
        <v>126</v>
      </c>
      <c r="B127" s="11">
        <v>40549</v>
      </c>
      <c r="C127" s="12" t="s">
        <v>4</v>
      </c>
      <c r="D127" s="12" t="str">
        <f t="shared" si="2"/>
        <v>January</v>
      </c>
      <c r="E127" s="12">
        <v>11</v>
      </c>
      <c r="F127" s="12" t="b">
        <v>0</v>
      </c>
      <c r="G127" s="12" t="str">
        <f t="shared" si="3"/>
        <v>Thursday</v>
      </c>
      <c r="H127" s="12" t="s">
        <v>0</v>
      </c>
      <c r="I127" s="18">
        <v>0.22</v>
      </c>
      <c r="J127" s="19">
        <v>0.2576</v>
      </c>
      <c r="K127" s="18">
        <v>0.44</v>
      </c>
      <c r="L127" s="12">
        <v>8.9599999999999999E-2</v>
      </c>
      <c r="M127" s="12">
        <v>2</v>
      </c>
      <c r="N127" s="12">
        <v>57</v>
      </c>
      <c r="O127" s="13">
        <v>59</v>
      </c>
    </row>
    <row r="128" spans="1:15" x14ac:dyDescent="0.35">
      <c r="A128" s="10">
        <v>127</v>
      </c>
      <c r="B128" s="11">
        <v>40549</v>
      </c>
      <c r="C128" s="12" t="s">
        <v>4</v>
      </c>
      <c r="D128" s="12" t="str">
        <f t="shared" si="2"/>
        <v>January</v>
      </c>
      <c r="E128" s="12">
        <v>12</v>
      </c>
      <c r="F128" s="12" t="b">
        <v>0</v>
      </c>
      <c r="G128" s="12" t="str">
        <f t="shared" si="3"/>
        <v>Thursday</v>
      </c>
      <c r="H128" s="12" t="s">
        <v>0</v>
      </c>
      <c r="I128" s="18">
        <v>0.26</v>
      </c>
      <c r="J128" s="19">
        <v>0.28789999999999999</v>
      </c>
      <c r="K128" s="18">
        <v>0.35</v>
      </c>
      <c r="L128" s="12">
        <v>0</v>
      </c>
      <c r="M128" s="12">
        <v>6</v>
      </c>
      <c r="N128" s="12">
        <v>78</v>
      </c>
      <c r="O128" s="13">
        <v>84</v>
      </c>
    </row>
    <row r="129" spans="1:15" x14ac:dyDescent="0.35">
      <c r="A129" s="10">
        <v>128</v>
      </c>
      <c r="B129" s="11">
        <v>40549</v>
      </c>
      <c r="C129" s="12" t="s">
        <v>4</v>
      </c>
      <c r="D129" s="12" t="str">
        <f t="shared" si="2"/>
        <v>January</v>
      </c>
      <c r="E129" s="12">
        <v>13</v>
      </c>
      <c r="F129" s="12" t="b">
        <v>0</v>
      </c>
      <c r="G129" s="12" t="str">
        <f t="shared" si="3"/>
        <v>Thursday</v>
      </c>
      <c r="H129" s="12" t="s">
        <v>0</v>
      </c>
      <c r="I129" s="18">
        <v>0.26</v>
      </c>
      <c r="J129" s="19">
        <v>0.2727</v>
      </c>
      <c r="K129" s="18">
        <v>0.35</v>
      </c>
      <c r="L129" s="12">
        <v>0.1045</v>
      </c>
      <c r="M129" s="12">
        <v>12</v>
      </c>
      <c r="N129" s="12">
        <v>55</v>
      </c>
      <c r="O129" s="13">
        <v>67</v>
      </c>
    </row>
    <row r="130" spans="1:15" x14ac:dyDescent="0.35">
      <c r="A130" s="10">
        <v>129</v>
      </c>
      <c r="B130" s="11">
        <v>40549</v>
      </c>
      <c r="C130" s="12" t="s">
        <v>4</v>
      </c>
      <c r="D130" s="12" t="str">
        <f t="shared" si="2"/>
        <v>January</v>
      </c>
      <c r="E130" s="12">
        <v>14</v>
      </c>
      <c r="F130" s="12" t="b">
        <v>0</v>
      </c>
      <c r="G130" s="12" t="str">
        <f t="shared" si="3"/>
        <v>Thursday</v>
      </c>
      <c r="H130" s="12" t="s">
        <v>0</v>
      </c>
      <c r="I130" s="18">
        <v>0.28000000000000003</v>
      </c>
      <c r="J130" s="19">
        <v>0.2727</v>
      </c>
      <c r="K130" s="18">
        <v>0.36</v>
      </c>
      <c r="L130" s="12">
        <v>0.16420000000000001</v>
      </c>
      <c r="M130" s="12">
        <v>11</v>
      </c>
      <c r="N130" s="12">
        <v>59</v>
      </c>
      <c r="O130" s="13">
        <v>70</v>
      </c>
    </row>
    <row r="131" spans="1:15" x14ac:dyDescent="0.35">
      <c r="A131" s="10">
        <v>130</v>
      </c>
      <c r="B131" s="11">
        <v>40549</v>
      </c>
      <c r="C131" s="12" t="s">
        <v>4</v>
      </c>
      <c r="D131" s="12" t="str">
        <f t="shared" ref="D131:D194" si="4">TEXT(B131,"mmmm")</f>
        <v>January</v>
      </c>
      <c r="E131" s="12">
        <v>15</v>
      </c>
      <c r="F131" s="12" t="b">
        <v>0</v>
      </c>
      <c r="G131" s="12" t="str">
        <f t="shared" ref="G131:G194" si="5">TEXT(B131,"dddd")</f>
        <v>Thursday</v>
      </c>
      <c r="H131" s="12" t="s">
        <v>0</v>
      </c>
      <c r="I131" s="18">
        <v>0.28000000000000003</v>
      </c>
      <c r="J131" s="19">
        <v>0.2727</v>
      </c>
      <c r="K131" s="18">
        <v>0.36</v>
      </c>
      <c r="L131" s="12">
        <v>0</v>
      </c>
      <c r="M131" s="12">
        <v>8</v>
      </c>
      <c r="N131" s="12">
        <v>54</v>
      </c>
      <c r="O131" s="13">
        <v>62</v>
      </c>
    </row>
    <row r="132" spans="1:15" x14ac:dyDescent="0.35">
      <c r="A132" s="10">
        <v>131</v>
      </c>
      <c r="B132" s="11">
        <v>40549</v>
      </c>
      <c r="C132" s="12" t="s">
        <v>4</v>
      </c>
      <c r="D132" s="12" t="str">
        <f t="shared" si="4"/>
        <v>January</v>
      </c>
      <c r="E132" s="12">
        <v>16</v>
      </c>
      <c r="F132" s="12" t="b">
        <v>0</v>
      </c>
      <c r="G132" s="12" t="str">
        <f t="shared" si="5"/>
        <v>Thursday</v>
      </c>
      <c r="H132" s="12" t="s">
        <v>0</v>
      </c>
      <c r="I132" s="18">
        <v>0.26</v>
      </c>
      <c r="J132" s="19">
        <v>0.2576</v>
      </c>
      <c r="K132" s="18">
        <v>0.38</v>
      </c>
      <c r="L132" s="12">
        <v>0.16420000000000001</v>
      </c>
      <c r="M132" s="12">
        <v>12</v>
      </c>
      <c r="N132" s="12">
        <v>74</v>
      </c>
      <c r="O132" s="13">
        <v>86</v>
      </c>
    </row>
    <row r="133" spans="1:15" x14ac:dyDescent="0.35">
      <c r="A133" s="10">
        <v>132</v>
      </c>
      <c r="B133" s="11">
        <v>40549</v>
      </c>
      <c r="C133" s="12" t="s">
        <v>4</v>
      </c>
      <c r="D133" s="12" t="str">
        <f t="shared" si="4"/>
        <v>January</v>
      </c>
      <c r="E133" s="12">
        <v>17</v>
      </c>
      <c r="F133" s="12" t="b">
        <v>0</v>
      </c>
      <c r="G133" s="12" t="str">
        <f t="shared" si="5"/>
        <v>Thursday</v>
      </c>
      <c r="H133" s="12" t="s">
        <v>0</v>
      </c>
      <c r="I133" s="18">
        <v>0.22</v>
      </c>
      <c r="J133" s="19">
        <v>0.2273</v>
      </c>
      <c r="K133" s="18">
        <v>0.51</v>
      </c>
      <c r="L133" s="12">
        <v>0.16420000000000001</v>
      </c>
      <c r="M133" s="12">
        <v>9</v>
      </c>
      <c r="N133" s="12">
        <v>163</v>
      </c>
      <c r="O133" s="13">
        <v>172</v>
      </c>
    </row>
    <row r="134" spans="1:15" x14ac:dyDescent="0.35">
      <c r="A134" s="10">
        <v>133</v>
      </c>
      <c r="B134" s="11">
        <v>40549</v>
      </c>
      <c r="C134" s="12" t="s">
        <v>4</v>
      </c>
      <c r="D134" s="12" t="str">
        <f t="shared" si="4"/>
        <v>January</v>
      </c>
      <c r="E134" s="12">
        <v>18</v>
      </c>
      <c r="F134" s="12" t="b">
        <v>0</v>
      </c>
      <c r="G134" s="12" t="str">
        <f t="shared" si="5"/>
        <v>Thursday</v>
      </c>
      <c r="H134" s="12" t="s">
        <v>0</v>
      </c>
      <c r="I134" s="18">
        <v>0.22</v>
      </c>
      <c r="J134" s="19">
        <v>0.2273</v>
      </c>
      <c r="K134" s="18">
        <v>0.51</v>
      </c>
      <c r="L134" s="12">
        <v>0.1343</v>
      </c>
      <c r="M134" s="12">
        <v>5</v>
      </c>
      <c r="N134" s="12">
        <v>158</v>
      </c>
      <c r="O134" s="13">
        <v>163</v>
      </c>
    </row>
    <row r="135" spans="1:15" x14ac:dyDescent="0.35">
      <c r="A135" s="10">
        <v>134</v>
      </c>
      <c r="B135" s="11">
        <v>40549</v>
      </c>
      <c r="C135" s="12" t="s">
        <v>4</v>
      </c>
      <c r="D135" s="12" t="str">
        <f t="shared" si="4"/>
        <v>January</v>
      </c>
      <c r="E135" s="12">
        <v>19</v>
      </c>
      <c r="F135" s="12" t="b">
        <v>0</v>
      </c>
      <c r="G135" s="12" t="str">
        <f t="shared" si="5"/>
        <v>Thursday</v>
      </c>
      <c r="H135" s="12" t="s">
        <v>0</v>
      </c>
      <c r="I135" s="18">
        <v>0.22</v>
      </c>
      <c r="J135" s="19">
        <v>0.2576</v>
      </c>
      <c r="K135" s="18">
        <v>0.55000000000000004</v>
      </c>
      <c r="L135" s="12">
        <v>8.9599999999999999E-2</v>
      </c>
      <c r="M135" s="12">
        <v>3</v>
      </c>
      <c r="N135" s="12">
        <v>109</v>
      </c>
      <c r="O135" s="13">
        <v>112</v>
      </c>
    </row>
    <row r="136" spans="1:15" x14ac:dyDescent="0.35">
      <c r="A136" s="10">
        <v>135</v>
      </c>
      <c r="B136" s="11">
        <v>40549</v>
      </c>
      <c r="C136" s="12" t="s">
        <v>4</v>
      </c>
      <c r="D136" s="12" t="str">
        <f t="shared" si="4"/>
        <v>January</v>
      </c>
      <c r="E136" s="12">
        <v>20</v>
      </c>
      <c r="F136" s="12" t="b">
        <v>0</v>
      </c>
      <c r="G136" s="12" t="str">
        <f t="shared" si="5"/>
        <v>Thursday</v>
      </c>
      <c r="H136" s="12" t="s">
        <v>0</v>
      </c>
      <c r="I136" s="18">
        <v>0.2</v>
      </c>
      <c r="J136" s="19">
        <v>0.21210000000000001</v>
      </c>
      <c r="K136" s="18">
        <v>0.51</v>
      </c>
      <c r="L136" s="12">
        <v>0.16420000000000001</v>
      </c>
      <c r="M136" s="12">
        <v>3</v>
      </c>
      <c r="N136" s="12">
        <v>66</v>
      </c>
      <c r="O136" s="13">
        <v>69</v>
      </c>
    </row>
    <row r="137" spans="1:15" x14ac:dyDescent="0.35">
      <c r="A137" s="10">
        <v>136</v>
      </c>
      <c r="B137" s="11">
        <v>40549</v>
      </c>
      <c r="C137" s="12" t="s">
        <v>4</v>
      </c>
      <c r="D137" s="12" t="str">
        <f t="shared" si="4"/>
        <v>January</v>
      </c>
      <c r="E137" s="12">
        <v>21</v>
      </c>
      <c r="F137" s="12" t="b">
        <v>0</v>
      </c>
      <c r="G137" s="12" t="str">
        <f t="shared" si="5"/>
        <v>Thursday</v>
      </c>
      <c r="H137" s="12" t="s">
        <v>1</v>
      </c>
      <c r="I137" s="18">
        <v>0.22</v>
      </c>
      <c r="J137" s="19">
        <v>0.21210000000000001</v>
      </c>
      <c r="K137" s="18">
        <v>0.55000000000000004</v>
      </c>
      <c r="L137" s="12">
        <v>0.22389999999999999</v>
      </c>
      <c r="M137" s="12">
        <v>0</v>
      </c>
      <c r="N137" s="12">
        <v>48</v>
      </c>
      <c r="O137" s="13">
        <v>48</v>
      </c>
    </row>
    <row r="138" spans="1:15" x14ac:dyDescent="0.35">
      <c r="A138" s="10">
        <v>137</v>
      </c>
      <c r="B138" s="11">
        <v>40549</v>
      </c>
      <c r="C138" s="12" t="s">
        <v>4</v>
      </c>
      <c r="D138" s="12" t="str">
        <f t="shared" si="4"/>
        <v>January</v>
      </c>
      <c r="E138" s="12">
        <v>22</v>
      </c>
      <c r="F138" s="12" t="b">
        <v>0</v>
      </c>
      <c r="G138" s="12" t="str">
        <f t="shared" si="5"/>
        <v>Thursday</v>
      </c>
      <c r="H138" s="12" t="s">
        <v>1</v>
      </c>
      <c r="I138" s="18">
        <v>0.22</v>
      </c>
      <c r="J138" s="19">
        <v>0.21210000000000001</v>
      </c>
      <c r="K138" s="18">
        <v>0.51</v>
      </c>
      <c r="L138" s="12">
        <v>0.28360000000000002</v>
      </c>
      <c r="M138" s="12">
        <v>1</v>
      </c>
      <c r="N138" s="12">
        <v>51</v>
      </c>
      <c r="O138" s="13">
        <v>52</v>
      </c>
    </row>
    <row r="139" spans="1:15" x14ac:dyDescent="0.35">
      <c r="A139" s="10">
        <v>138</v>
      </c>
      <c r="B139" s="11">
        <v>40549</v>
      </c>
      <c r="C139" s="12" t="s">
        <v>4</v>
      </c>
      <c r="D139" s="12" t="str">
        <f t="shared" si="4"/>
        <v>January</v>
      </c>
      <c r="E139" s="12">
        <v>23</v>
      </c>
      <c r="F139" s="12" t="b">
        <v>0</v>
      </c>
      <c r="G139" s="12" t="str">
        <f t="shared" si="5"/>
        <v>Thursday</v>
      </c>
      <c r="H139" s="12" t="s">
        <v>1</v>
      </c>
      <c r="I139" s="18">
        <v>0.2</v>
      </c>
      <c r="J139" s="19">
        <v>0.19700000000000001</v>
      </c>
      <c r="K139" s="18">
        <v>0.59</v>
      </c>
      <c r="L139" s="12">
        <v>0.19400000000000001</v>
      </c>
      <c r="M139" s="12">
        <v>4</v>
      </c>
      <c r="N139" s="12">
        <v>19</v>
      </c>
      <c r="O139" s="13">
        <v>23</v>
      </c>
    </row>
    <row r="140" spans="1:15" x14ac:dyDescent="0.35">
      <c r="A140" s="10">
        <v>139</v>
      </c>
      <c r="B140" s="11">
        <v>40550</v>
      </c>
      <c r="C140" s="12" t="s">
        <v>4</v>
      </c>
      <c r="D140" s="12" t="str">
        <f t="shared" si="4"/>
        <v>January</v>
      </c>
      <c r="E140" s="12">
        <v>0</v>
      </c>
      <c r="F140" s="12" t="b">
        <v>0</v>
      </c>
      <c r="G140" s="12" t="str">
        <f t="shared" si="5"/>
        <v>Friday</v>
      </c>
      <c r="H140" s="12" t="s">
        <v>1</v>
      </c>
      <c r="I140" s="18">
        <v>0.2</v>
      </c>
      <c r="J140" s="19">
        <v>0.19700000000000001</v>
      </c>
      <c r="K140" s="18">
        <v>0.64</v>
      </c>
      <c r="L140" s="12">
        <v>0.19400000000000001</v>
      </c>
      <c r="M140" s="12">
        <v>4</v>
      </c>
      <c r="N140" s="12">
        <v>13</v>
      </c>
      <c r="O140" s="13">
        <v>17</v>
      </c>
    </row>
    <row r="141" spans="1:15" x14ac:dyDescent="0.35">
      <c r="A141" s="10">
        <v>140</v>
      </c>
      <c r="B141" s="11">
        <v>40550</v>
      </c>
      <c r="C141" s="12" t="s">
        <v>4</v>
      </c>
      <c r="D141" s="12" t="str">
        <f t="shared" si="4"/>
        <v>January</v>
      </c>
      <c r="E141" s="12">
        <v>1</v>
      </c>
      <c r="F141" s="12" t="b">
        <v>0</v>
      </c>
      <c r="G141" s="12" t="str">
        <f t="shared" si="5"/>
        <v>Friday</v>
      </c>
      <c r="H141" s="12" t="s">
        <v>1</v>
      </c>
      <c r="I141" s="18">
        <v>0.2</v>
      </c>
      <c r="J141" s="19">
        <v>0.19700000000000001</v>
      </c>
      <c r="K141" s="18">
        <v>0.69</v>
      </c>
      <c r="L141" s="12">
        <v>0.22389999999999999</v>
      </c>
      <c r="M141" s="12">
        <v>2</v>
      </c>
      <c r="N141" s="12">
        <v>5</v>
      </c>
      <c r="O141" s="13">
        <v>7</v>
      </c>
    </row>
    <row r="142" spans="1:15" x14ac:dyDescent="0.35">
      <c r="A142" s="10">
        <v>141</v>
      </c>
      <c r="B142" s="11">
        <v>40550</v>
      </c>
      <c r="C142" s="12" t="s">
        <v>4</v>
      </c>
      <c r="D142" s="12" t="str">
        <f t="shared" si="4"/>
        <v>January</v>
      </c>
      <c r="E142" s="12">
        <v>2</v>
      </c>
      <c r="F142" s="12" t="b">
        <v>0</v>
      </c>
      <c r="G142" s="12" t="str">
        <f t="shared" si="5"/>
        <v>Friday</v>
      </c>
      <c r="H142" s="12" t="s">
        <v>1</v>
      </c>
      <c r="I142" s="18">
        <v>0.2</v>
      </c>
      <c r="J142" s="19">
        <v>0.19700000000000001</v>
      </c>
      <c r="K142" s="18">
        <v>0.69</v>
      </c>
      <c r="L142" s="12">
        <v>0.22389999999999999</v>
      </c>
      <c r="M142" s="12">
        <v>0</v>
      </c>
      <c r="N142" s="12">
        <v>1</v>
      </c>
      <c r="O142" s="13">
        <v>1</v>
      </c>
    </row>
    <row r="143" spans="1:15" x14ac:dyDescent="0.35">
      <c r="A143" s="10">
        <v>142</v>
      </c>
      <c r="B143" s="11">
        <v>40550</v>
      </c>
      <c r="C143" s="12" t="s">
        <v>4</v>
      </c>
      <c r="D143" s="12" t="str">
        <f t="shared" si="4"/>
        <v>January</v>
      </c>
      <c r="E143" s="12">
        <v>4</v>
      </c>
      <c r="F143" s="12" t="b">
        <v>0</v>
      </c>
      <c r="G143" s="12" t="str">
        <f t="shared" si="5"/>
        <v>Friday</v>
      </c>
      <c r="H143" s="12" t="s">
        <v>1</v>
      </c>
      <c r="I143" s="18">
        <v>0.2</v>
      </c>
      <c r="J143" s="19">
        <v>0.21210000000000001</v>
      </c>
      <c r="K143" s="18">
        <v>0.69</v>
      </c>
      <c r="L143" s="12">
        <v>0.1343</v>
      </c>
      <c r="M143" s="12">
        <v>0</v>
      </c>
      <c r="N143" s="12">
        <v>1</v>
      </c>
      <c r="O143" s="13">
        <v>1</v>
      </c>
    </row>
    <row r="144" spans="1:15" x14ac:dyDescent="0.35">
      <c r="A144" s="10">
        <v>143</v>
      </c>
      <c r="B144" s="11">
        <v>40550</v>
      </c>
      <c r="C144" s="12" t="s">
        <v>4</v>
      </c>
      <c r="D144" s="12" t="str">
        <f t="shared" si="4"/>
        <v>January</v>
      </c>
      <c r="E144" s="12">
        <v>5</v>
      </c>
      <c r="F144" s="12" t="b">
        <v>0</v>
      </c>
      <c r="G144" s="12" t="str">
        <f t="shared" si="5"/>
        <v>Friday</v>
      </c>
      <c r="H144" s="12" t="s">
        <v>2</v>
      </c>
      <c r="I144" s="18">
        <v>0.22</v>
      </c>
      <c r="J144" s="19">
        <v>0.2727</v>
      </c>
      <c r="K144" s="18">
        <v>0.55000000000000004</v>
      </c>
      <c r="L144" s="12">
        <v>0</v>
      </c>
      <c r="M144" s="12">
        <v>0</v>
      </c>
      <c r="N144" s="12">
        <v>5</v>
      </c>
      <c r="O144" s="13">
        <v>5</v>
      </c>
    </row>
    <row r="145" spans="1:15" x14ac:dyDescent="0.35">
      <c r="A145" s="10">
        <v>144</v>
      </c>
      <c r="B145" s="11">
        <v>40550</v>
      </c>
      <c r="C145" s="12" t="s">
        <v>4</v>
      </c>
      <c r="D145" s="12" t="str">
        <f t="shared" si="4"/>
        <v>January</v>
      </c>
      <c r="E145" s="12">
        <v>6</v>
      </c>
      <c r="F145" s="12" t="b">
        <v>0</v>
      </c>
      <c r="G145" s="12" t="str">
        <f t="shared" si="5"/>
        <v>Friday</v>
      </c>
      <c r="H145" s="12" t="s">
        <v>1</v>
      </c>
      <c r="I145" s="18">
        <v>0.2</v>
      </c>
      <c r="J145" s="19">
        <v>0.2576</v>
      </c>
      <c r="K145" s="18">
        <v>0.69</v>
      </c>
      <c r="L145" s="12">
        <v>0</v>
      </c>
      <c r="M145" s="12">
        <v>8</v>
      </c>
      <c r="N145" s="12">
        <v>26</v>
      </c>
      <c r="O145" s="13">
        <v>34</v>
      </c>
    </row>
    <row r="146" spans="1:15" x14ac:dyDescent="0.35">
      <c r="A146" s="10">
        <v>145</v>
      </c>
      <c r="B146" s="11">
        <v>40550</v>
      </c>
      <c r="C146" s="12" t="s">
        <v>4</v>
      </c>
      <c r="D146" s="12" t="str">
        <f t="shared" si="4"/>
        <v>January</v>
      </c>
      <c r="E146" s="12">
        <v>7</v>
      </c>
      <c r="F146" s="12" t="b">
        <v>0</v>
      </c>
      <c r="G146" s="12" t="str">
        <f t="shared" si="5"/>
        <v>Friday</v>
      </c>
      <c r="H146" s="12" t="s">
        <v>0</v>
      </c>
      <c r="I146" s="18">
        <v>0.2</v>
      </c>
      <c r="J146" s="19">
        <v>0.21210000000000001</v>
      </c>
      <c r="K146" s="18">
        <v>0.69</v>
      </c>
      <c r="L146" s="12">
        <v>0.1343</v>
      </c>
      <c r="M146" s="12">
        <v>8</v>
      </c>
      <c r="N146" s="12">
        <v>76</v>
      </c>
      <c r="O146" s="13">
        <v>84</v>
      </c>
    </row>
    <row r="147" spans="1:15" x14ac:dyDescent="0.35">
      <c r="A147" s="10">
        <v>146</v>
      </c>
      <c r="B147" s="11">
        <v>40550</v>
      </c>
      <c r="C147" s="12" t="s">
        <v>4</v>
      </c>
      <c r="D147" s="12" t="str">
        <f t="shared" si="4"/>
        <v>January</v>
      </c>
      <c r="E147" s="12">
        <v>8</v>
      </c>
      <c r="F147" s="12" t="b">
        <v>0</v>
      </c>
      <c r="G147" s="12" t="str">
        <f t="shared" si="5"/>
        <v>Friday</v>
      </c>
      <c r="H147" s="12" t="s">
        <v>0</v>
      </c>
      <c r="I147" s="18">
        <v>0.2</v>
      </c>
      <c r="J147" s="19">
        <v>0.19700000000000001</v>
      </c>
      <c r="K147" s="18">
        <v>0.51</v>
      </c>
      <c r="L147" s="12">
        <v>0.25369999999999998</v>
      </c>
      <c r="M147" s="12">
        <v>20</v>
      </c>
      <c r="N147" s="12">
        <v>190</v>
      </c>
      <c r="O147" s="13">
        <v>210</v>
      </c>
    </row>
    <row r="148" spans="1:15" x14ac:dyDescent="0.35">
      <c r="A148" s="10">
        <v>147</v>
      </c>
      <c r="B148" s="11">
        <v>40550</v>
      </c>
      <c r="C148" s="12" t="s">
        <v>4</v>
      </c>
      <c r="D148" s="12" t="str">
        <f t="shared" si="4"/>
        <v>January</v>
      </c>
      <c r="E148" s="12">
        <v>9</v>
      </c>
      <c r="F148" s="12" t="b">
        <v>0</v>
      </c>
      <c r="G148" s="12" t="str">
        <f t="shared" si="5"/>
        <v>Friday</v>
      </c>
      <c r="H148" s="12" t="s">
        <v>0</v>
      </c>
      <c r="I148" s="18">
        <v>0.2</v>
      </c>
      <c r="J148" s="19">
        <v>0.18179999999999999</v>
      </c>
      <c r="K148" s="18">
        <v>0.47</v>
      </c>
      <c r="L148" s="12">
        <v>0.29849999999999999</v>
      </c>
      <c r="M148" s="12">
        <v>9</v>
      </c>
      <c r="N148" s="12">
        <v>125</v>
      </c>
      <c r="O148" s="13">
        <v>134</v>
      </c>
    </row>
    <row r="149" spans="1:15" x14ac:dyDescent="0.35">
      <c r="A149" s="10">
        <v>148</v>
      </c>
      <c r="B149" s="11">
        <v>40550</v>
      </c>
      <c r="C149" s="12" t="s">
        <v>4</v>
      </c>
      <c r="D149" s="12" t="str">
        <f t="shared" si="4"/>
        <v>January</v>
      </c>
      <c r="E149" s="12">
        <v>10</v>
      </c>
      <c r="F149" s="12" t="b">
        <v>0</v>
      </c>
      <c r="G149" s="12" t="str">
        <f t="shared" si="5"/>
        <v>Friday</v>
      </c>
      <c r="H149" s="12" t="s">
        <v>0</v>
      </c>
      <c r="I149" s="18">
        <v>0.22</v>
      </c>
      <c r="J149" s="19">
        <v>0.19700000000000001</v>
      </c>
      <c r="K149" s="18">
        <v>0.37</v>
      </c>
      <c r="L149" s="12">
        <v>0.32840000000000003</v>
      </c>
      <c r="M149" s="12">
        <v>16</v>
      </c>
      <c r="N149" s="12">
        <v>47</v>
      </c>
      <c r="O149" s="13">
        <v>63</v>
      </c>
    </row>
    <row r="150" spans="1:15" x14ac:dyDescent="0.35">
      <c r="A150" s="10">
        <v>149</v>
      </c>
      <c r="B150" s="11">
        <v>40550</v>
      </c>
      <c r="C150" s="12" t="s">
        <v>4</v>
      </c>
      <c r="D150" s="12" t="str">
        <f t="shared" si="4"/>
        <v>January</v>
      </c>
      <c r="E150" s="12">
        <v>11</v>
      </c>
      <c r="F150" s="12" t="b">
        <v>0</v>
      </c>
      <c r="G150" s="12" t="str">
        <f t="shared" si="5"/>
        <v>Friday</v>
      </c>
      <c r="H150" s="12" t="s">
        <v>1</v>
      </c>
      <c r="I150" s="18">
        <v>0.2</v>
      </c>
      <c r="J150" s="19">
        <v>0.19700000000000001</v>
      </c>
      <c r="K150" s="18">
        <v>0.4</v>
      </c>
      <c r="L150" s="12">
        <v>0.22389999999999999</v>
      </c>
      <c r="M150" s="12">
        <v>19</v>
      </c>
      <c r="N150" s="12">
        <v>48</v>
      </c>
      <c r="O150" s="13">
        <v>67</v>
      </c>
    </row>
    <row r="151" spans="1:15" x14ac:dyDescent="0.35">
      <c r="A151" s="10">
        <v>150</v>
      </c>
      <c r="B151" s="11">
        <v>40550</v>
      </c>
      <c r="C151" s="12" t="s">
        <v>4</v>
      </c>
      <c r="D151" s="12" t="str">
        <f t="shared" si="4"/>
        <v>January</v>
      </c>
      <c r="E151" s="12">
        <v>12</v>
      </c>
      <c r="F151" s="12" t="b">
        <v>0</v>
      </c>
      <c r="G151" s="12" t="str">
        <f t="shared" si="5"/>
        <v>Friday</v>
      </c>
      <c r="H151" s="12" t="s">
        <v>1</v>
      </c>
      <c r="I151" s="18">
        <v>0.2</v>
      </c>
      <c r="J151" s="19">
        <v>0.19700000000000001</v>
      </c>
      <c r="K151" s="18">
        <v>0.37</v>
      </c>
      <c r="L151" s="12">
        <v>0.25369999999999998</v>
      </c>
      <c r="M151" s="12">
        <v>9</v>
      </c>
      <c r="N151" s="12">
        <v>50</v>
      </c>
      <c r="O151" s="13">
        <v>59</v>
      </c>
    </row>
    <row r="152" spans="1:15" x14ac:dyDescent="0.35">
      <c r="A152" s="10">
        <v>151</v>
      </c>
      <c r="B152" s="11">
        <v>40550</v>
      </c>
      <c r="C152" s="12" t="s">
        <v>4</v>
      </c>
      <c r="D152" s="12" t="str">
        <f t="shared" si="4"/>
        <v>January</v>
      </c>
      <c r="E152" s="12">
        <v>13</v>
      </c>
      <c r="F152" s="12" t="b">
        <v>0</v>
      </c>
      <c r="G152" s="12" t="str">
        <f t="shared" si="5"/>
        <v>Friday</v>
      </c>
      <c r="H152" s="12" t="s">
        <v>1</v>
      </c>
      <c r="I152" s="18">
        <v>0.2</v>
      </c>
      <c r="J152" s="19">
        <v>0.18179999999999999</v>
      </c>
      <c r="K152" s="18">
        <v>0.37</v>
      </c>
      <c r="L152" s="12">
        <v>0.28360000000000002</v>
      </c>
      <c r="M152" s="12">
        <v>9</v>
      </c>
      <c r="N152" s="12">
        <v>64</v>
      </c>
      <c r="O152" s="13">
        <v>73</v>
      </c>
    </row>
    <row r="153" spans="1:15" x14ac:dyDescent="0.35">
      <c r="A153" s="10">
        <v>152</v>
      </c>
      <c r="B153" s="11">
        <v>40550</v>
      </c>
      <c r="C153" s="12" t="s">
        <v>4</v>
      </c>
      <c r="D153" s="12" t="str">
        <f t="shared" si="4"/>
        <v>January</v>
      </c>
      <c r="E153" s="12">
        <v>14</v>
      </c>
      <c r="F153" s="12" t="b">
        <v>0</v>
      </c>
      <c r="G153" s="12" t="str">
        <f t="shared" si="5"/>
        <v>Friday</v>
      </c>
      <c r="H153" s="12" t="s">
        <v>1</v>
      </c>
      <c r="I153" s="18">
        <v>0.2</v>
      </c>
      <c r="J153" s="19">
        <v>0.19700000000000001</v>
      </c>
      <c r="K153" s="18">
        <v>0.4</v>
      </c>
      <c r="L153" s="12">
        <v>0.25369999999999998</v>
      </c>
      <c r="M153" s="12">
        <v>7</v>
      </c>
      <c r="N153" s="12">
        <v>43</v>
      </c>
      <c r="O153" s="13">
        <v>50</v>
      </c>
    </row>
    <row r="154" spans="1:15" x14ac:dyDescent="0.35">
      <c r="A154" s="10">
        <v>153</v>
      </c>
      <c r="B154" s="11">
        <v>40550</v>
      </c>
      <c r="C154" s="12" t="s">
        <v>4</v>
      </c>
      <c r="D154" s="12" t="str">
        <f t="shared" si="4"/>
        <v>January</v>
      </c>
      <c r="E154" s="12">
        <v>15</v>
      </c>
      <c r="F154" s="12" t="b">
        <v>0</v>
      </c>
      <c r="G154" s="12" t="str">
        <f t="shared" si="5"/>
        <v>Friday</v>
      </c>
      <c r="H154" s="12" t="s">
        <v>1</v>
      </c>
      <c r="I154" s="18">
        <v>0.2</v>
      </c>
      <c r="J154" s="19">
        <v>0.21210000000000001</v>
      </c>
      <c r="K154" s="18">
        <v>0.37</v>
      </c>
      <c r="L154" s="12">
        <v>0.16420000000000001</v>
      </c>
      <c r="M154" s="12">
        <v>9</v>
      </c>
      <c r="N154" s="12">
        <v>63</v>
      </c>
      <c r="O154" s="13">
        <v>72</v>
      </c>
    </row>
    <row r="155" spans="1:15" x14ac:dyDescent="0.35">
      <c r="A155" s="10">
        <v>154</v>
      </c>
      <c r="B155" s="11">
        <v>40550</v>
      </c>
      <c r="C155" s="12" t="s">
        <v>4</v>
      </c>
      <c r="D155" s="12" t="str">
        <f t="shared" si="4"/>
        <v>January</v>
      </c>
      <c r="E155" s="12">
        <v>16</v>
      </c>
      <c r="F155" s="12" t="b">
        <v>0</v>
      </c>
      <c r="G155" s="12" t="str">
        <f t="shared" si="5"/>
        <v>Friday</v>
      </c>
      <c r="H155" s="12" t="s">
        <v>1</v>
      </c>
      <c r="I155" s="18">
        <v>0.2</v>
      </c>
      <c r="J155" s="19">
        <v>0.21210000000000001</v>
      </c>
      <c r="K155" s="18">
        <v>0.37</v>
      </c>
      <c r="L155" s="12">
        <v>0.16420000000000001</v>
      </c>
      <c r="M155" s="12">
        <v>5</v>
      </c>
      <c r="N155" s="12">
        <v>82</v>
      </c>
      <c r="O155" s="13">
        <v>87</v>
      </c>
    </row>
    <row r="156" spans="1:15" x14ac:dyDescent="0.35">
      <c r="A156" s="10">
        <v>155</v>
      </c>
      <c r="B156" s="11">
        <v>40550</v>
      </c>
      <c r="C156" s="12" t="s">
        <v>4</v>
      </c>
      <c r="D156" s="12" t="str">
        <f t="shared" si="4"/>
        <v>January</v>
      </c>
      <c r="E156" s="12">
        <v>17</v>
      </c>
      <c r="F156" s="12" t="b">
        <v>0</v>
      </c>
      <c r="G156" s="12" t="str">
        <f t="shared" si="5"/>
        <v>Friday</v>
      </c>
      <c r="H156" s="12" t="s">
        <v>1</v>
      </c>
      <c r="I156" s="18">
        <v>0.2</v>
      </c>
      <c r="J156" s="19">
        <v>0.2576</v>
      </c>
      <c r="K156" s="18">
        <v>0.37</v>
      </c>
      <c r="L156" s="12">
        <v>0</v>
      </c>
      <c r="M156" s="12">
        <v>9</v>
      </c>
      <c r="N156" s="12">
        <v>178</v>
      </c>
      <c r="O156" s="13">
        <v>187</v>
      </c>
    </row>
    <row r="157" spans="1:15" x14ac:dyDescent="0.35">
      <c r="A157" s="10">
        <v>156</v>
      </c>
      <c r="B157" s="11">
        <v>40550</v>
      </c>
      <c r="C157" s="12" t="s">
        <v>4</v>
      </c>
      <c r="D157" s="12" t="str">
        <f t="shared" si="4"/>
        <v>January</v>
      </c>
      <c r="E157" s="12">
        <v>18</v>
      </c>
      <c r="F157" s="12" t="b">
        <v>0</v>
      </c>
      <c r="G157" s="12" t="str">
        <f t="shared" si="5"/>
        <v>Friday</v>
      </c>
      <c r="H157" s="12" t="s">
        <v>0</v>
      </c>
      <c r="I157" s="18">
        <v>0.2</v>
      </c>
      <c r="J157" s="19">
        <v>0.2273</v>
      </c>
      <c r="K157" s="18">
        <v>0.4</v>
      </c>
      <c r="L157" s="12">
        <v>8.9599999999999999E-2</v>
      </c>
      <c r="M157" s="12">
        <v>7</v>
      </c>
      <c r="N157" s="12">
        <v>116</v>
      </c>
      <c r="O157" s="13">
        <v>123</v>
      </c>
    </row>
    <row r="158" spans="1:15" x14ac:dyDescent="0.35">
      <c r="A158" s="10">
        <v>157</v>
      </c>
      <c r="B158" s="11">
        <v>40550</v>
      </c>
      <c r="C158" s="12" t="s">
        <v>4</v>
      </c>
      <c r="D158" s="12" t="str">
        <f t="shared" si="4"/>
        <v>January</v>
      </c>
      <c r="E158" s="12">
        <v>19</v>
      </c>
      <c r="F158" s="12" t="b">
        <v>0</v>
      </c>
      <c r="G158" s="12" t="str">
        <f t="shared" si="5"/>
        <v>Friday</v>
      </c>
      <c r="H158" s="12" t="s">
        <v>0</v>
      </c>
      <c r="I158" s="18">
        <v>0.16</v>
      </c>
      <c r="J158" s="19">
        <v>0.19700000000000001</v>
      </c>
      <c r="K158" s="18">
        <v>0.55000000000000004</v>
      </c>
      <c r="L158" s="12">
        <v>8.9599999999999999E-2</v>
      </c>
      <c r="M158" s="12">
        <v>3</v>
      </c>
      <c r="N158" s="12">
        <v>92</v>
      </c>
      <c r="O158" s="13">
        <v>95</v>
      </c>
    </row>
    <row r="159" spans="1:15" x14ac:dyDescent="0.35">
      <c r="A159" s="10">
        <v>158</v>
      </c>
      <c r="B159" s="11">
        <v>40550</v>
      </c>
      <c r="C159" s="12" t="s">
        <v>4</v>
      </c>
      <c r="D159" s="12" t="str">
        <f t="shared" si="4"/>
        <v>January</v>
      </c>
      <c r="E159" s="12">
        <v>20</v>
      </c>
      <c r="F159" s="12" t="b">
        <v>0</v>
      </c>
      <c r="G159" s="12" t="str">
        <f t="shared" si="5"/>
        <v>Friday</v>
      </c>
      <c r="H159" s="12" t="s">
        <v>0</v>
      </c>
      <c r="I159" s="18">
        <v>0.18</v>
      </c>
      <c r="J159" s="19">
        <v>0.21210000000000001</v>
      </c>
      <c r="K159" s="18">
        <v>0.47</v>
      </c>
      <c r="L159" s="12">
        <v>0.1045</v>
      </c>
      <c r="M159" s="12">
        <v>1</v>
      </c>
      <c r="N159" s="12">
        <v>50</v>
      </c>
      <c r="O159" s="13">
        <v>51</v>
      </c>
    </row>
    <row r="160" spans="1:15" x14ac:dyDescent="0.35">
      <c r="A160" s="10">
        <v>159</v>
      </c>
      <c r="B160" s="11">
        <v>40550</v>
      </c>
      <c r="C160" s="12" t="s">
        <v>4</v>
      </c>
      <c r="D160" s="12" t="str">
        <f t="shared" si="4"/>
        <v>January</v>
      </c>
      <c r="E160" s="12">
        <v>21</v>
      </c>
      <c r="F160" s="12" t="b">
        <v>0</v>
      </c>
      <c r="G160" s="12" t="str">
        <f t="shared" si="5"/>
        <v>Friday</v>
      </c>
      <c r="H160" s="12" t="s">
        <v>0</v>
      </c>
      <c r="I160" s="18">
        <v>0.18</v>
      </c>
      <c r="J160" s="19">
        <v>0.19700000000000001</v>
      </c>
      <c r="K160" s="18">
        <v>0.47</v>
      </c>
      <c r="L160" s="12">
        <v>0.1343</v>
      </c>
      <c r="M160" s="12">
        <v>0</v>
      </c>
      <c r="N160" s="12">
        <v>39</v>
      </c>
      <c r="O160" s="13">
        <v>39</v>
      </c>
    </row>
    <row r="161" spans="1:15" x14ac:dyDescent="0.35">
      <c r="A161" s="10">
        <v>160</v>
      </c>
      <c r="B161" s="11">
        <v>40550</v>
      </c>
      <c r="C161" s="12" t="s">
        <v>4</v>
      </c>
      <c r="D161" s="12" t="str">
        <f t="shared" si="4"/>
        <v>January</v>
      </c>
      <c r="E161" s="12">
        <v>22</v>
      </c>
      <c r="F161" s="12" t="b">
        <v>0</v>
      </c>
      <c r="G161" s="12" t="str">
        <f t="shared" si="5"/>
        <v>Friday</v>
      </c>
      <c r="H161" s="12" t="s">
        <v>1</v>
      </c>
      <c r="I161" s="18">
        <v>0.18</v>
      </c>
      <c r="J161" s="19">
        <v>0.19700000000000001</v>
      </c>
      <c r="K161" s="18">
        <v>0.43</v>
      </c>
      <c r="L161" s="12">
        <v>0.16420000000000001</v>
      </c>
      <c r="M161" s="12">
        <v>2</v>
      </c>
      <c r="N161" s="12">
        <v>34</v>
      </c>
      <c r="O161" s="13">
        <v>36</v>
      </c>
    </row>
    <row r="162" spans="1:15" x14ac:dyDescent="0.35">
      <c r="A162" s="10">
        <v>161</v>
      </c>
      <c r="B162" s="11">
        <v>40550</v>
      </c>
      <c r="C162" s="12" t="s">
        <v>4</v>
      </c>
      <c r="D162" s="12" t="str">
        <f t="shared" si="4"/>
        <v>January</v>
      </c>
      <c r="E162" s="12">
        <v>23</v>
      </c>
      <c r="F162" s="12" t="b">
        <v>0</v>
      </c>
      <c r="G162" s="12" t="str">
        <f t="shared" si="5"/>
        <v>Friday</v>
      </c>
      <c r="H162" s="12" t="s">
        <v>1</v>
      </c>
      <c r="I162" s="18">
        <v>0.18</v>
      </c>
      <c r="J162" s="19">
        <v>0.19700000000000001</v>
      </c>
      <c r="K162" s="18">
        <v>0.51</v>
      </c>
      <c r="L162" s="12">
        <v>0.16420000000000001</v>
      </c>
      <c r="M162" s="12">
        <v>1</v>
      </c>
      <c r="N162" s="12">
        <v>14</v>
      </c>
      <c r="O162" s="13">
        <v>15</v>
      </c>
    </row>
    <row r="163" spans="1:15" x14ac:dyDescent="0.35">
      <c r="A163" s="10">
        <v>162</v>
      </c>
      <c r="B163" s="11">
        <v>40551</v>
      </c>
      <c r="C163" s="12" t="s">
        <v>4</v>
      </c>
      <c r="D163" s="12" t="str">
        <f t="shared" si="4"/>
        <v>January</v>
      </c>
      <c r="E163" s="12">
        <v>0</v>
      </c>
      <c r="F163" s="12" t="b">
        <v>0</v>
      </c>
      <c r="G163" s="12" t="str">
        <f t="shared" si="5"/>
        <v>Saturday</v>
      </c>
      <c r="H163" s="12" t="s">
        <v>1</v>
      </c>
      <c r="I163" s="18">
        <v>0.18</v>
      </c>
      <c r="J163" s="19">
        <v>0.19700000000000001</v>
      </c>
      <c r="K163" s="18">
        <v>0.51</v>
      </c>
      <c r="L163" s="12">
        <v>0.16420000000000001</v>
      </c>
      <c r="M163" s="12">
        <v>1</v>
      </c>
      <c r="N163" s="12">
        <v>24</v>
      </c>
      <c r="O163" s="13">
        <v>25</v>
      </c>
    </row>
    <row r="164" spans="1:15" x14ac:dyDescent="0.35">
      <c r="A164" s="10">
        <v>163</v>
      </c>
      <c r="B164" s="11">
        <v>40551</v>
      </c>
      <c r="C164" s="12" t="s">
        <v>4</v>
      </c>
      <c r="D164" s="12" t="str">
        <f t="shared" si="4"/>
        <v>January</v>
      </c>
      <c r="E164" s="12">
        <v>1</v>
      </c>
      <c r="F164" s="12" t="b">
        <v>0</v>
      </c>
      <c r="G164" s="12" t="str">
        <f t="shared" si="5"/>
        <v>Saturday</v>
      </c>
      <c r="H164" s="12" t="s">
        <v>1</v>
      </c>
      <c r="I164" s="18">
        <v>0.18</v>
      </c>
      <c r="J164" s="19">
        <v>0.21210000000000001</v>
      </c>
      <c r="K164" s="18">
        <v>0.55000000000000004</v>
      </c>
      <c r="L164" s="12">
        <v>8.9599999999999999E-2</v>
      </c>
      <c r="M164" s="12">
        <v>1</v>
      </c>
      <c r="N164" s="12">
        <v>15</v>
      </c>
      <c r="O164" s="13">
        <v>16</v>
      </c>
    </row>
    <row r="165" spans="1:15" x14ac:dyDescent="0.35">
      <c r="A165" s="10">
        <v>164</v>
      </c>
      <c r="B165" s="11">
        <v>40551</v>
      </c>
      <c r="C165" s="12" t="s">
        <v>4</v>
      </c>
      <c r="D165" s="12" t="str">
        <f t="shared" si="4"/>
        <v>January</v>
      </c>
      <c r="E165" s="12">
        <v>2</v>
      </c>
      <c r="F165" s="12" t="b">
        <v>0</v>
      </c>
      <c r="G165" s="12" t="str">
        <f t="shared" si="5"/>
        <v>Saturday</v>
      </c>
      <c r="H165" s="12" t="s">
        <v>1</v>
      </c>
      <c r="I165" s="18">
        <v>0.18</v>
      </c>
      <c r="J165" s="19">
        <v>0.2424</v>
      </c>
      <c r="K165" s="18">
        <v>0.55000000000000004</v>
      </c>
      <c r="L165" s="12">
        <v>0</v>
      </c>
      <c r="M165" s="12">
        <v>3</v>
      </c>
      <c r="N165" s="12">
        <v>13</v>
      </c>
      <c r="O165" s="13">
        <v>16</v>
      </c>
    </row>
    <row r="166" spans="1:15" x14ac:dyDescent="0.35">
      <c r="A166" s="10">
        <v>165</v>
      </c>
      <c r="B166" s="11">
        <v>40551</v>
      </c>
      <c r="C166" s="12" t="s">
        <v>4</v>
      </c>
      <c r="D166" s="12" t="str">
        <f t="shared" si="4"/>
        <v>January</v>
      </c>
      <c r="E166" s="12">
        <v>3</v>
      </c>
      <c r="F166" s="12" t="b">
        <v>0</v>
      </c>
      <c r="G166" s="12" t="str">
        <f t="shared" si="5"/>
        <v>Saturday</v>
      </c>
      <c r="H166" s="12" t="s">
        <v>2</v>
      </c>
      <c r="I166" s="18">
        <v>0.18</v>
      </c>
      <c r="J166" s="19">
        <v>0.19700000000000001</v>
      </c>
      <c r="K166" s="18">
        <v>0.55000000000000004</v>
      </c>
      <c r="L166" s="12">
        <v>0.16420000000000001</v>
      </c>
      <c r="M166" s="12">
        <v>0</v>
      </c>
      <c r="N166" s="12">
        <v>7</v>
      </c>
      <c r="O166" s="13">
        <v>7</v>
      </c>
    </row>
    <row r="167" spans="1:15" x14ac:dyDescent="0.35">
      <c r="A167" s="10">
        <v>166</v>
      </c>
      <c r="B167" s="11">
        <v>40551</v>
      </c>
      <c r="C167" s="12" t="s">
        <v>4</v>
      </c>
      <c r="D167" s="12" t="str">
        <f t="shared" si="4"/>
        <v>January</v>
      </c>
      <c r="E167" s="12">
        <v>4</v>
      </c>
      <c r="F167" s="12" t="b">
        <v>0</v>
      </c>
      <c r="G167" s="12" t="str">
        <f t="shared" si="5"/>
        <v>Saturday</v>
      </c>
      <c r="H167" s="12" t="s">
        <v>2</v>
      </c>
      <c r="I167" s="18">
        <v>0.18</v>
      </c>
      <c r="J167" s="19">
        <v>0.19700000000000001</v>
      </c>
      <c r="K167" s="18">
        <v>0.55000000000000004</v>
      </c>
      <c r="L167" s="12">
        <v>0.16420000000000001</v>
      </c>
      <c r="M167" s="12">
        <v>0</v>
      </c>
      <c r="N167" s="12">
        <v>1</v>
      </c>
      <c r="O167" s="13">
        <v>1</v>
      </c>
    </row>
    <row r="168" spans="1:15" x14ac:dyDescent="0.35">
      <c r="A168" s="10">
        <v>167</v>
      </c>
      <c r="B168" s="11">
        <v>40551</v>
      </c>
      <c r="C168" s="12" t="s">
        <v>4</v>
      </c>
      <c r="D168" s="12" t="str">
        <f t="shared" si="4"/>
        <v>January</v>
      </c>
      <c r="E168" s="12">
        <v>5</v>
      </c>
      <c r="F168" s="12" t="b">
        <v>0</v>
      </c>
      <c r="G168" s="12" t="str">
        <f t="shared" si="5"/>
        <v>Saturday</v>
      </c>
      <c r="H168" s="12" t="s">
        <v>1</v>
      </c>
      <c r="I168" s="18">
        <v>0.16</v>
      </c>
      <c r="J168" s="19">
        <v>0.16669999999999999</v>
      </c>
      <c r="K168" s="18">
        <v>0.74</v>
      </c>
      <c r="L168" s="12">
        <v>0.16420000000000001</v>
      </c>
      <c r="M168" s="12">
        <v>0</v>
      </c>
      <c r="N168" s="12">
        <v>5</v>
      </c>
      <c r="O168" s="13">
        <v>5</v>
      </c>
    </row>
    <row r="169" spans="1:15" x14ac:dyDescent="0.35">
      <c r="A169" s="10">
        <v>168</v>
      </c>
      <c r="B169" s="11">
        <v>40551</v>
      </c>
      <c r="C169" s="12" t="s">
        <v>4</v>
      </c>
      <c r="D169" s="12" t="str">
        <f t="shared" si="4"/>
        <v>January</v>
      </c>
      <c r="E169" s="12">
        <v>6</v>
      </c>
      <c r="F169" s="12" t="b">
        <v>0</v>
      </c>
      <c r="G169" s="12" t="str">
        <f t="shared" si="5"/>
        <v>Saturday</v>
      </c>
      <c r="H169" s="12" t="s">
        <v>1</v>
      </c>
      <c r="I169" s="18">
        <v>0.16</v>
      </c>
      <c r="J169" s="19">
        <v>0.16669999999999999</v>
      </c>
      <c r="K169" s="18">
        <v>0.74</v>
      </c>
      <c r="L169" s="12">
        <v>0.16420000000000001</v>
      </c>
      <c r="M169" s="12">
        <v>0</v>
      </c>
      <c r="N169" s="12">
        <v>2</v>
      </c>
      <c r="O169" s="13">
        <v>2</v>
      </c>
    </row>
    <row r="170" spans="1:15" x14ac:dyDescent="0.35">
      <c r="A170" s="10">
        <v>169</v>
      </c>
      <c r="B170" s="11">
        <v>40551</v>
      </c>
      <c r="C170" s="12" t="s">
        <v>4</v>
      </c>
      <c r="D170" s="12" t="str">
        <f t="shared" si="4"/>
        <v>January</v>
      </c>
      <c r="E170" s="12">
        <v>7</v>
      </c>
      <c r="F170" s="12" t="b">
        <v>0</v>
      </c>
      <c r="G170" s="12" t="str">
        <f t="shared" si="5"/>
        <v>Saturday</v>
      </c>
      <c r="H170" s="12" t="s">
        <v>1</v>
      </c>
      <c r="I170" s="18">
        <v>0.16</v>
      </c>
      <c r="J170" s="19">
        <v>0.18179999999999999</v>
      </c>
      <c r="K170" s="18">
        <v>0.74</v>
      </c>
      <c r="L170" s="12">
        <v>0.1045</v>
      </c>
      <c r="M170" s="12">
        <v>1</v>
      </c>
      <c r="N170" s="12">
        <v>8</v>
      </c>
      <c r="O170" s="13">
        <v>9</v>
      </c>
    </row>
    <row r="171" spans="1:15" x14ac:dyDescent="0.35">
      <c r="A171" s="10">
        <v>170</v>
      </c>
      <c r="B171" s="11">
        <v>40551</v>
      </c>
      <c r="C171" s="12" t="s">
        <v>4</v>
      </c>
      <c r="D171" s="12" t="str">
        <f t="shared" si="4"/>
        <v>January</v>
      </c>
      <c r="E171" s="12">
        <v>8</v>
      </c>
      <c r="F171" s="12" t="b">
        <v>0</v>
      </c>
      <c r="G171" s="12" t="str">
        <f t="shared" si="5"/>
        <v>Saturday</v>
      </c>
      <c r="H171" s="12" t="s">
        <v>2</v>
      </c>
      <c r="I171" s="18">
        <v>0.16</v>
      </c>
      <c r="J171" s="19">
        <v>0.18179999999999999</v>
      </c>
      <c r="K171" s="18">
        <v>0.93</v>
      </c>
      <c r="L171" s="12">
        <v>0.1045</v>
      </c>
      <c r="M171" s="12">
        <v>0</v>
      </c>
      <c r="N171" s="12">
        <v>15</v>
      </c>
      <c r="O171" s="13">
        <v>15</v>
      </c>
    </row>
    <row r="172" spans="1:15" x14ac:dyDescent="0.35">
      <c r="A172" s="10">
        <v>171</v>
      </c>
      <c r="B172" s="11">
        <v>40551</v>
      </c>
      <c r="C172" s="12" t="s">
        <v>4</v>
      </c>
      <c r="D172" s="12" t="str">
        <f t="shared" si="4"/>
        <v>January</v>
      </c>
      <c r="E172" s="12">
        <v>9</v>
      </c>
      <c r="F172" s="12" t="b">
        <v>0</v>
      </c>
      <c r="G172" s="12" t="str">
        <f t="shared" si="5"/>
        <v>Saturday</v>
      </c>
      <c r="H172" s="12" t="s">
        <v>2</v>
      </c>
      <c r="I172" s="18">
        <v>0.16</v>
      </c>
      <c r="J172" s="19">
        <v>0.18179999999999999</v>
      </c>
      <c r="K172" s="18">
        <v>0.93</v>
      </c>
      <c r="L172" s="12">
        <v>0.1045</v>
      </c>
      <c r="M172" s="12">
        <v>0</v>
      </c>
      <c r="N172" s="12">
        <v>20</v>
      </c>
      <c r="O172" s="13">
        <v>20</v>
      </c>
    </row>
    <row r="173" spans="1:15" x14ac:dyDescent="0.35">
      <c r="A173" s="10">
        <v>172</v>
      </c>
      <c r="B173" s="11">
        <v>40551</v>
      </c>
      <c r="C173" s="12" t="s">
        <v>4</v>
      </c>
      <c r="D173" s="12" t="str">
        <f t="shared" si="4"/>
        <v>January</v>
      </c>
      <c r="E173" s="12">
        <v>10</v>
      </c>
      <c r="F173" s="12" t="b">
        <v>0</v>
      </c>
      <c r="G173" s="12" t="str">
        <f t="shared" si="5"/>
        <v>Saturday</v>
      </c>
      <c r="H173" s="12" t="s">
        <v>1</v>
      </c>
      <c r="I173" s="18">
        <v>0.18</v>
      </c>
      <c r="J173" s="19">
        <v>0.19700000000000001</v>
      </c>
      <c r="K173" s="18">
        <v>0.8</v>
      </c>
      <c r="L173" s="12">
        <v>0.16420000000000001</v>
      </c>
      <c r="M173" s="12">
        <v>5</v>
      </c>
      <c r="N173" s="12">
        <v>56</v>
      </c>
      <c r="O173" s="13">
        <v>61</v>
      </c>
    </row>
    <row r="174" spans="1:15" x14ac:dyDescent="0.35">
      <c r="A174" s="10">
        <v>173</v>
      </c>
      <c r="B174" s="11">
        <v>40551</v>
      </c>
      <c r="C174" s="12" t="s">
        <v>4</v>
      </c>
      <c r="D174" s="12" t="str">
        <f t="shared" si="4"/>
        <v>January</v>
      </c>
      <c r="E174" s="12">
        <v>11</v>
      </c>
      <c r="F174" s="12" t="b">
        <v>0</v>
      </c>
      <c r="G174" s="12" t="str">
        <f t="shared" si="5"/>
        <v>Saturday</v>
      </c>
      <c r="H174" s="12" t="s">
        <v>1</v>
      </c>
      <c r="I174" s="18">
        <v>0.2</v>
      </c>
      <c r="J174" s="19">
        <v>0.18179999999999999</v>
      </c>
      <c r="K174" s="18">
        <v>0.69</v>
      </c>
      <c r="L174" s="12">
        <v>0.3881</v>
      </c>
      <c r="M174" s="12">
        <v>2</v>
      </c>
      <c r="N174" s="12">
        <v>60</v>
      </c>
      <c r="O174" s="13">
        <v>62</v>
      </c>
    </row>
    <row r="175" spans="1:15" x14ac:dyDescent="0.35">
      <c r="A175" s="10">
        <v>174</v>
      </c>
      <c r="B175" s="11">
        <v>40551</v>
      </c>
      <c r="C175" s="12" t="s">
        <v>4</v>
      </c>
      <c r="D175" s="12" t="str">
        <f t="shared" si="4"/>
        <v>January</v>
      </c>
      <c r="E175" s="12">
        <v>12</v>
      </c>
      <c r="F175" s="12" t="b">
        <v>0</v>
      </c>
      <c r="G175" s="12" t="str">
        <f t="shared" si="5"/>
        <v>Saturday</v>
      </c>
      <c r="H175" s="12" t="s">
        <v>1</v>
      </c>
      <c r="I175" s="18">
        <v>0.2</v>
      </c>
      <c r="J175" s="19">
        <v>0.18179999999999999</v>
      </c>
      <c r="K175" s="18">
        <v>0.59</v>
      </c>
      <c r="L175" s="12">
        <v>0.35820000000000002</v>
      </c>
      <c r="M175" s="12">
        <v>8</v>
      </c>
      <c r="N175" s="12">
        <v>90</v>
      </c>
      <c r="O175" s="13">
        <v>98</v>
      </c>
    </row>
    <row r="176" spans="1:15" x14ac:dyDescent="0.35">
      <c r="A176" s="10">
        <v>175</v>
      </c>
      <c r="B176" s="11">
        <v>40551</v>
      </c>
      <c r="C176" s="12" t="s">
        <v>4</v>
      </c>
      <c r="D176" s="12" t="str">
        <f t="shared" si="4"/>
        <v>January</v>
      </c>
      <c r="E176" s="12">
        <v>13</v>
      </c>
      <c r="F176" s="12" t="b">
        <v>0</v>
      </c>
      <c r="G176" s="12" t="str">
        <f t="shared" si="5"/>
        <v>Saturday</v>
      </c>
      <c r="H176" s="12" t="s">
        <v>0</v>
      </c>
      <c r="I176" s="18">
        <v>0.2</v>
      </c>
      <c r="J176" s="19">
        <v>0.18179999999999999</v>
      </c>
      <c r="K176" s="18">
        <v>0.44</v>
      </c>
      <c r="L176" s="12">
        <v>0.32840000000000003</v>
      </c>
      <c r="M176" s="12">
        <v>7</v>
      </c>
      <c r="N176" s="12">
        <v>95</v>
      </c>
      <c r="O176" s="13">
        <v>102</v>
      </c>
    </row>
    <row r="177" spans="1:15" x14ac:dyDescent="0.35">
      <c r="A177" s="10">
        <v>176</v>
      </c>
      <c r="B177" s="11">
        <v>40551</v>
      </c>
      <c r="C177" s="12" t="s">
        <v>4</v>
      </c>
      <c r="D177" s="12" t="str">
        <f t="shared" si="4"/>
        <v>January</v>
      </c>
      <c r="E177" s="12">
        <v>14</v>
      </c>
      <c r="F177" s="12" t="b">
        <v>0</v>
      </c>
      <c r="G177" s="12" t="str">
        <f t="shared" si="5"/>
        <v>Saturday</v>
      </c>
      <c r="H177" s="12" t="s">
        <v>0</v>
      </c>
      <c r="I177" s="18">
        <v>0.2</v>
      </c>
      <c r="J177" s="19">
        <v>0.16669999999999999</v>
      </c>
      <c r="K177" s="18">
        <v>0.32</v>
      </c>
      <c r="L177" s="12">
        <v>0.49249999999999999</v>
      </c>
      <c r="M177" s="12">
        <v>12</v>
      </c>
      <c r="N177" s="12">
        <v>83</v>
      </c>
      <c r="O177" s="13">
        <v>95</v>
      </c>
    </row>
    <row r="178" spans="1:15" x14ac:dyDescent="0.35">
      <c r="A178" s="10">
        <v>177</v>
      </c>
      <c r="B178" s="11">
        <v>40551</v>
      </c>
      <c r="C178" s="12" t="s">
        <v>4</v>
      </c>
      <c r="D178" s="12" t="str">
        <f t="shared" si="4"/>
        <v>January</v>
      </c>
      <c r="E178" s="12">
        <v>15</v>
      </c>
      <c r="F178" s="12" t="b">
        <v>0</v>
      </c>
      <c r="G178" s="12" t="str">
        <f t="shared" si="5"/>
        <v>Saturday</v>
      </c>
      <c r="H178" s="12" t="s">
        <v>0</v>
      </c>
      <c r="I178" s="18">
        <v>0.2</v>
      </c>
      <c r="J178" s="19">
        <v>0.16669999999999999</v>
      </c>
      <c r="K178" s="18">
        <v>0.32</v>
      </c>
      <c r="L178" s="12">
        <v>0.44779999999999998</v>
      </c>
      <c r="M178" s="12">
        <v>5</v>
      </c>
      <c r="N178" s="12">
        <v>69</v>
      </c>
      <c r="O178" s="13">
        <v>74</v>
      </c>
    </row>
    <row r="179" spans="1:15" x14ac:dyDescent="0.35">
      <c r="A179" s="10">
        <v>178</v>
      </c>
      <c r="B179" s="11">
        <v>40551</v>
      </c>
      <c r="C179" s="12" t="s">
        <v>4</v>
      </c>
      <c r="D179" s="12" t="str">
        <f t="shared" si="4"/>
        <v>January</v>
      </c>
      <c r="E179" s="12">
        <v>16</v>
      </c>
      <c r="F179" s="12" t="b">
        <v>0</v>
      </c>
      <c r="G179" s="12" t="str">
        <f t="shared" si="5"/>
        <v>Saturday</v>
      </c>
      <c r="H179" s="12" t="s">
        <v>0</v>
      </c>
      <c r="I179" s="18">
        <v>0.18</v>
      </c>
      <c r="J179" s="19">
        <v>0.13639999999999999</v>
      </c>
      <c r="K179" s="18">
        <v>0.28999999999999998</v>
      </c>
      <c r="L179" s="12">
        <v>0.44779999999999998</v>
      </c>
      <c r="M179" s="12">
        <v>8</v>
      </c>
      <c r="N179" s="12">
        <v>68</v>
      </c>
      <c r="O179" s="13">
        <v>76</v>
      </c>
    </row>
    <row r="180" spans="1:15" x14ac:dyDescent="0.35">
      <c r="A180" s="10">
        <v>179</v>
      </c>
      <c r="B180" s="11">
        <v>40551</v>
      </c>
      <c r="C180" s="12" t="s">
        <v>4</v>
      </c>
      <c r="D180" s="12" t="str">
        <f t="shared" si="4"/>
        <v>January</v>
      </c>
      <c r="E180" s="12">
        <v>17</v>
      </c>
      <c r="F180" s="12" t="b">
        <v>0</v>
      </c>
      <c r="G180" s="12" t="str">
        <f t="shared" si="5"/>
        <v>Saturday</v>
      </c>
      <c r="H180" s="12" t="s">
        <v>0</v>
      </c>
      <c r="I180" s="18">
        <v>0.16</v>
      </c>
      <c r="J180" s="19">
        <v>0.1212</v>
      </c>
      <c r="K180" s="18">
        <v>0.37</v>
      </c>
      <c r="L180" s="12">
        <v>0.55220000000000002</v>
      </c>
      <c r="M180" s="12">
        <v>5</v>
      </c>
      <c r="N180" s="12">
        <v>64</v>
      </c>
      <c r="O180" s="13">
        <v>69</v>
      </c>
    </row>
    <row r="181" spans="1:15" x14ac:dyDescent="0.35">
      <c r="A181" s="10">
        <v>180</v>
      </c>
      <c r="B181" s="11">
        <v>40551</v>
      </c>
      <c r="C181" s="12" t="s">
        <v>4</v>
      </c>
      <c r="D181" s="12" t="str">
        <f t="shared" si="4"/>
        <v>January</v>
      </c>
      <c r="E181" s="12">
        <v>18</v>
      </c>
      <c r="F181" s="12" t="b">
        <v>0</v>
      </c>
      <c r="G181" s="12" t="str">
        <f t="shared" si="5"/>
        <v>Saturday</v>
      </c>
      <c r="H181" s="12" t="s">
        <v>0</v>
      </c>
      <c r="I181" s="18">
        <v>0.14000000000000001</v>
      </c>
      <c r="J181" s="19">
        <v>0.1212</v>
      </c>
      <c r="K181" s="18">
        <v>0.39</v>
      </c>
      <c r="L181" s="12">
        <v>0.29849999999999999</v>
      </c>
      <c r="M181" s="12">
        <v>3</v>
      </c>
      <c r="N181" s="12">
        <v>52</v>
      </c>
      <c r="O181" s="13">
        <v>55</v>
      </c>
    </row>
    <row r="182" spans="1:15" x14ac:dyDescent="0.35">
      <c r="A182" s="10">
        <v>181</v>
      </c>
      <c r="B182" s="11">
        <v>40551</v>
      </c>
      <c r="C182" s="12" t="s">
        <v>4</v>
      </c>
      <c r="D182" s="12" t="str">
        <f t="shared" si="4"/>
        <v>January</v>
      </c>
      <c r="E182" s="12">
        <v>19</v>
      </c>
      <c r="F182" s="12" t="b">
        <v>0</v>
      </c>
      <c r="G182" s="12" t="str">
        <f t="shared" si="5"/>
        <v>Saturday</v>
      </c>
      <c r="H182" s="12" t="s">
        <v>0</v>
      </c>
      <c r="I182" s="18">
        <v>0.14000000000000001</v>
      </c>
      <c r="J182" s="19">
        <v>0.1212</v>
      </c>
      <c r="K182" s="18">
        <v>0.36</v>
      </c>
      <c r="L182" s="12">
        <v>0.25369999999999998</v>
      </c>
      <c r="M182" s="12">
        <v>4</v>
      </c>
      <c r="N182" s="12">
        <v>26</v>
      </c>
      <c r="O182" s="13">
        <v>30</v>
      </c>
    </row>
    <row r="183" spans="1:15" x14ac:dyDescent="0.35">
      <c r="A183" s="10">
        <v>182</v>
      </c>
      <c r="B183" s="11">
        <v>40551</v>
      </c>
      <c r="C183" s="12" t="s">
        <v>4</v>
      </c>
      <c r="D183" s="12" t="str">
        <f t="shared" si="4"/>
        <v>January</v>
      </c>
      <c r="E183" s="12">
        <v>20</v>
      </c>
      <c r="F183" s="12" t="b">
        <v>0</v>
      </c>
      <c r="G183" s="12" t="str">
        <f t="shared" si="5"/>
        <v>Saturday</v>
      </c>
      <c r="H183" s="12" t="s">
        <v>0</v>
      </c>
      <c r="I183" s="18">
        <v>0.12</v>
      </c>
      <c r="J183" s="19">
        <v>0.1212</v>
      </c>
      <c r="K183" s="18">
        <v>0.36</v>
      </c>
      <c r="L183" s="12">
        <v>0.25369999999999998</v>
      </c>
      <c r="M183" s="12">
        <v>0</v>
      </c>
      <c r="N183" s="12">
        <v>28</v>
      </c>
      <c r="O183" s="13">
        <v>28</v>
      </c>
    </row>
    <row r="184" spans="1:15" x14ac:dyDescent="0.35">
      <c r="A184" s="10">
        <v>183</v>
      </c>
      <c r="B184" s="11">
        <v>40551</v>
      </c>
      <c r="C184" s="12" t="s">
        <v>4</v>
      </c>
      <c r="D184" s="12" t="str">
        <f t="shared" si="4"/>
        <v>January</v>
      </c>
      <c r="E184" s="12">
        <v>21</v>
      </c>
      <c r="F184" s="12" t="b">
        <v>0</v>
      </c>
      <c r="G184" s="12" t="str">
        <f t="shared" si="5"/>
        <v>Saturday</v>
      </c>
      <c r="H184" s="12" t="s">
        <v>0</v>
      </c>
      <c r="I184" s="18">
        <v>0.12</v>
      </c>
      <c r="J184" s="19">
        <v>0.1061</v>
      </c>
      <c r="K184" s="18">
        <v>0.39</v>
      </c>
      <c r="L184" s="12">
        <v>0.35820000000000002</v>
      </c>
      <c r="M184" s="12">
        <v>2</v>
      </c>
      <c r="N184" s="12">
        <v>35</v>
      </c>
      <c r="O184" s="13">
        <v>37</v>
      </c>
    </row>
    <row r="185" spans="1:15" x14ac:dyDescent="0.35">
      <c r="A185" s="10">
        <v>184</v>
      </c>
      <c r="B185" s="11">
        <v>40551</v>
      </c>
      <c r="C185" s="12" t="s">
        <v>4</v>
      </c>
      <c r="D185" s="12" t="str">
        <f t="shared" si="4"/>
        <v>January</v>
      </c>
      <c r="E185" s="12">
        <v>22</v>
      </c>
      <c r="F185" s="12" t="b">
        <v>0</v>
      </c>
      <c r="G185" s="12" t="str">
        <f t="shared" si="5"/>
        <v>Saturday</v>
      </c>
      <c r="H185" s="12" t="s">
        <v>0</v>
      </c>
      <c r="I185" s="18">
        <v>0.12</v>
      </c>
      <c r="J185" s="19">
        <v>0.1061</v>
      </c>
      <c r="K185" s="18">
        <v>0.36</v>
      </c>
      <c r="L185" s="12">
        <v>0.3881</v>
      </c>
      <c r="M185" s="12">
        <v>1</v>
      </c>
      <c r="N185" s="12">
        <v>33</v>
      </c>
      <c r="O185" s="13">
        <v>34</v>
      </c>
    </row>
    <row r="186" spans="1:15" x14ac:dyDescent="0.35">
      <c r="A186" s="10">
        <v>185</v>
      </c>
      <c r="B186" s="11">
        <v>40551</v>
      </c>
      <c r="C186" s="12" t="s">
        <v>4</v>
      </c>
      <c r="D186" s="12" t="str">
        <f t="shared" si="4"/>
        <v>January</v>
      </c>
      <c r="E186" s="12">
        <v>23</v>
      </c>
      <c r="F186" s="12" t="b">
        <v>0</v>
      </c>
      <c r="G186" s="12" t="str">
        <f t="shared" si="5"/>
        <v>Saturday</v>
      </c>
      <c r="H186" s="12" t="s">
        <v>0</v>
      </c>
      <c r="I186" s="18">
        <v>0.1</v>
      </c>
      <c r="J186" s="19">
        <v>6.0600000000000001E-2</v>
      </c>
      <c r="K186" s="18">
        <v>0.39</v>
      </c>
      <c r="L186" s="12">
        <v>0.44779999999999998</v>
      </c>
      <c r="M186" s="12">
        <v>0</v>
      </c>
      <c r="N186" s="12">
        <v>22</v>
      </c>
      <c r="O186" s="13">
        <v>22</v>
      </c>
    </row>
    <row r="187" spans="1:15" x14ac:dyDescent="0.35">
      <c r="A187" s="10">
        <v>186</v>
      </c>
      <c r="B187" s="11">
        <v>40552</v>
      </c>
      <c r="C187" s="12" t="s">
        <v>4</v>
      </c>
      <c r="D187" s="12" t="str">
        <f t="shared" si="4"/>
        <v>January</v>
      </c>
      <c r="E187" s="12">
        <v>0</v>
      </c>
      <c r="F187" s="12" t="b">
        <v>0</v>
      </c>
      <c r="G187" s="12" t="str">
        <f t="shared" si="5"/>
        <v>Sunday</v>
      </c>
      <c r="H187" s="12" t="s">
        <v>0</v>
      </c>
      <c r="I187" s="18">
        <v>0.1</v>
      </c>
      <c r="J187" s="19">
        <v>7.5800000000000006E-2</v>
      </c>
      <c r="K187" s="18">
        <v>0.42</v>
      </c>
      <c r="L187" s="12">
        <v>0.3881</v>
      </c>
      <c r="M187" s="12">
        <v>1</v>
      </c>
      <c r="N187" s="12">
        <v>24</v>
      </c>
      <c r="O187" s="13">
        <v>25</v>
      </c>
    </row>
    <row r="188" spans="1:15" x14ac:dyDescent="0.35">
      <c r="A188" s="10">
        <v>187</v>
      </c>
      <c r="B188" s="11">
        <v>40552</v>
      </c>
      <c r="C188" s="12" t="s">
        <v>4</v>
      </c>
      <c r="D188" s="12" t="str">
        <f t="shared" si="4"/>
        <v>January</v>
      </c>
      <c r="E188" s="12">
        <v>1</v>
      </c>
      <c r="F188" s="12" t="b">
        <v>0</v>
      </c>
      <c r="G188" s="12" t="str">
        <f t="shared" si="5"/>
        <v>Sunday</v>
      </c>
      <c r="H188" s="12" t="s">
        <v>0</v>
      </c>
      <c r="I188" s="18">
        <v>0.1</v>
      </c>
      <c r="J188" s="19">
        <v>6.0600000000000001E-2</v>
      </c>
      <c r="K188" s="18">
        <v>0.42</v>
      </c>
      <c r="L188" s="12">
        <v>0.4627</v>
      </c>
      <c r="M188" s="12">
        <v>0</v>
      </c>
      <c r="N188" s="12">
        <v>12</v>
      </c>
      <c r="O188" s="13">
        <v>12</v>
      </c>
    </row>
    <row r="189" spans="1:15" x14ac:dyDescent="0.35">
      <c r="A189" s="10">
        <v>188</v>
      </c>
      <c r="B189" s="11">
        <v>40552</v>
      </c>
      <c r="C189" s="12" t="s">
        <v>4</v>
      </c>
      <c r="D189" s="12" t="str">
        <f t="shared" si="4"/>
        <v>January</v>
      </c>
      <c r="E189" s="12">
        <v>2</v>
      </c>
      <c r="F189" s="12" t="b">
        <v>0</v>
      </c>
      <c r="G189" s="12" t="str">
        <f t="shared" si="5"/>
        <v>Sunday</v>
      </c>
      <c r="H189" s="12" t="s">
        <v>0</v>
      </c>
      <c r="I189" s="18">
        <v>0.1</v>
      </c>
      <c r="J189" s="19">
        <v>6.0600000000000001E-2</v>
      </c>
      <c r="K189" s="18">
        <v>0.46</v>
      </c>
      <c r="L189" s="12">
        <v>0.4627</v>
      </c>
      <c r="M189" s="12">
        <v>0</v>
      </c>
      <c r="N189" s="12">
        <v>11</v>
      </c>
      <c r="O189" s="13">
        <v>11</v>
      </c>
    </row>
    <row r="190" spans="1:15" x14ac:dyDescent="0.35">
      <c r="A190" s="10">
        <v>189</v>
      </c>
      <c r="B190" s="11">
        <v>40552</v>
      </c>
      <c r="C190" s="12" t="s">
        <v>4</v>
      </c>
      <c r="D190" s="12" t="str">
        <f t="shared" si="4"/>
        <v>January</v>
      </c>
      <c r="E190" s="12">
        <v>3</v>
      </c>
      <c r="F190" s="12" t="b">
        <v>0</v>
      </c>
      <c r="G190" s="12" t="str">
        <f t="shared" si="5"/>
        <v>Sunday</v>
      </c>
      <c r="H190" s="12" t="s">
        <v>0</v>
      </c>
      <c r="I190" s="18">
        <v>0.1</v>
      </c>
      <c r="J190" s="19">
        <v>7.5800000000000006E-2</v>
      </c>
      <c r="K190" s="18">
        <v>0.46</v>
      </c>
      <c r="L190" s="12">
        <v>0.41789999999999999</v>
      </c>
      <c r="M190" s="12">
        <v>0</v>
      </c>
      <c r="N190" s="12">
        <v>4</v>
      </c>
      <c r="O190" s="13">
        <v>4</v>
      </c>
    </row>
    <row r="191" spans="1:15" x14ac:dyDescent="0.35">
      <c r="A191" s="10">
        <v>190</v>
      </c>
      <c r="B191" s="11">
        <v>40552</v>
      </c>
      <c r="C191" s="12" t="s">
        <v>4</v>
      </c>
      <c r="D191" s="12" t="str">
        <f t="shared" si="4"/>
        <v>January</v>
      </c>
      <c r="E191" s="12">
        <v>4</v>
      </c>
      <c r="F191" s="12" t="b">
        <v>0</v>
      </c>
      <c r="G191" s="12" t="str">
        <f t="shared" si="5"/>
        <v>Sunday</v>
      </c>
      <c r="H191" s="12" t="s">
        <v>0</v>
      </c>
      <c r="I191" s="18">
        <v>0.08</v>
      </c>
      <c r="J191" s="19">
        <v>9.0899999999999995E-2</v>
      </c>
      <c r="K191" s="18">
        <v>0.53</v>
      </c>
      <c r="L191" s="12">
        <v>0.19400000000000001</v>
      </c>
      <c r="M191" s="12">
        <v>0</v>
      </c>
      <c r="N191" s="12">
        <v>1</v>
      </c>
      <c r="O191" s="13">
        <v>1</v>
      </c>
    </row>
    <row r="192" spans="1:15" x14ac:dyDescent="0.35">
      <c r="A192" s="10">
        <v>191</v>
      </c>
      <c r="B192" s="11">
        <v>40552</v>
      </c>
      <c r="C192" s="12" t="s">
        <v>4</v>
      </c>
      <c r="D192" s="12" t="str">
        <f t="shared" si="4"/>
        <v>January</v>
      </c>
      <c r="E192" s="12">
        <v>5</v>
      </c>
      <c r="F192" s="12" t="b">
        <v>0</v>
      </c>
      <c r="G192" s="12" t="str">
        <f t="shared" si="5"/>
        <v>Sunday</v>
      </c>
      <c r="H192" s="12" t="s">
        <v>0</v>
      </c>
      <c r="I192" s="18">
        <v>0.08</v>
      </c>
      <c r="J192" s="19">
        <v>9.0899999999999995E-2</v>
      </c>
      <c r="K192" s="18">
        <v>0.53</v>
      </c>
      <c r="L192" s="12">
        <v>0.19400000000000001</v>
      </c>
      <c r="M192" s="12">
        <v>0</v>
      </c>
      <c r="N192" s="12">
        <v>1</v>
      </c>
      <c r="O192" s="13">
        <v>1</v>
      </c>
    </row>
    <row r="193" spans="1:15" x14ac:dyDescent="0.35">
      <c r="A193" s="10">
        <v>192</v>
      </c>
      <c r="B193" s="11">
        <v>40552</v>
      </c>
      <c r="C193" s="12" t="s">
        <v>4</v>
      </c>
      <c r="D193" s="12" t="str">
        <f t="shared" si="4"/>
        <v>January</v>
      </c>
      <c r="E193" s="12">
        <v>6</v>
      </c>
      <c r="F193" s="12" t="b">
        <v>0</v>
      </c>
      <c r="G193" s="12" t="str">
        <f t="shared" si="5"/>
        <v>Sunday</v>
      </c>
      <c r="H193" s="12" t="s">
        <v>0</v>
      </c>
      <c r="I193" s="18">
        <v>0.1</v>
      </c>
      <c r="J193" s="19">
        <v>9.0899999999999995E-2</v>
      </c>
      <c r="K193" s="18">
        <v>0.49</v>
      </c>
      <c r="L193" s="12">
        <v>0.28360000000000002</v>
      </c>
      <c r="M193" s="12">
        <v>0</v>
      </c>
      <c r="N193" s="12">
        <v>1</v>
      </c>
      <c r="O193" s="13">
        <v>1</v>
      </c>
    </row>
    <row r="194" spans="1:15" x14ac:dyDescent="0.35">
      <c r="A194" s="10">
        <v>193</v>
      </c>
      <c r="B194" s="11">
        <v>40552</v>
      </c>
      <c r="C194" s="12" t="s">
        <v>4</v>
      </c>
      <c r="D194" s="12" t="str">
        <f t="shared" si="4"/>
        <v>January</v>
      </c>
      <c r="E194" s="12">
        <v>7</v>
      </c>
      <c r="F194" s="12" t="b">
        <v>0</v>
      </c>
      <c r="G194" s="12" t="str">
        <f t="shared" si="5"/>
        <v>Sunday</v>
      </c>
      <c r="H194" s="12" t="s">
        <v>0</v>
      </c>
      <c r="I194" s="18">
        <v>0.08</v>
      </c>
      <c r="J194" s="19">
        <v>9.0899999999999995E-2</v>
      </c>
      <c r="K194" s="18">
        <v>0.53</v>
      </c>
      <c r="L194" s="12">
        <v>0.19400000000000001</v>
      </c>
      <c r="M194" s="12">
        <v>1</v>
      </c>
      <c r="N194" s="12">
        <v>5</v>
      </c>
      <c r="O194" s="13">
        <v>6</v>
      </c>
    </row>
    <row r="195" spans="1:15" x14ac:dyDescent="0.35">
      <c r="A195" s="10">
        <v>194</v>
      </c>
      <c r="B195" s="11">
        <v>40552</v>
      </c>
      <c r="C195" s="12" t="s">
        <v>4</v>
      </c>
      <c r="D195" s="12" t="str">
        <f t="shared" ref="D195:D258" si="6">TEXT(B195,"mmmm")</f>
        <v>January</v>
      </c>
      <c r="E195" s="12">
        <v>8</v>
      </c>
      <c r="F195" s="12" t="b">
        <v>0</v>
      </c>
      <c r="G195" s="12" t="str">
        <f t="shared" ref="G195:G258" si="7">TEXT(B195,"dddd")</f>
        <v>Sunday</v>
      </c>
      <c r="H195" s="12" t="s">
        <v>0</v>
      </c>
      <c r="I195" s="18">
        <v>0.1</v>
      </c>
      <c r="J195" s="19">
        <v>9.0899999999999995E-2</v>
      </c>
      <c r="K195" s="18">
        <v>0.49</v>
      </c>
      <c r="L195" s="12">
        <v>0.28360000000000002</v>
      </c>
      <c r="M195" s="12">
        <v>0</v>
      </c>
      <c r="N195" s="12">
        <v>10</v>
      </c>
      <c r="O195" s="13">
        <v>10</v>
      </c>
    </row>
    <row r="196" spans="1:15" x14ac:dyDescent="0.35">
      <c r="A196" s="10">
        <v>195</v>
      </c>
      <c r="B196" s="11">
        <v>40552</v>
      </c>
      <c r="C196" s="12" t="s">
        <v>4</v>
      </c>
      <c r="D196" s="12" t="str">
        <f t="shared" si="6"/>
        <v>January</v>
      </c>
      <c r="E196" s="12">
        <v>9</v>
      </c>
      <c r="F196" s="12" t="b">
        <v>0</v>
      </c>
      <c r="G196" s="12" t="str">
        <f t="shared" si="7"/>
        <v>Sunday</v>
      </c>
      <c r="H196" s="12" t="s">
        <v>0</v>
      </c>
      <c r="I196" s="18">
        <v>0.12</v>
      </c>
      <c r="J196" s="19">
        <v>7.5800000000000006E-2</v>
      </c>
      <c r="K196" s="18">
        <v>0.46</v>
      </c>
      <c r="L196" s="12">
        <v>0.52239999999999998</v>
      </c>
      <c r="M196" s="12">
        <v>0</v>
      </c>
      <c r="N196" s="12">
        <v>19</v>
      </c>
      <c r="O196" s="13">
        <v>19</v>
      </c>
    </row>
    <row r="197" spans="1:15" x14ac:dyDescent="0.35">
      <c r="A197" s="10">
        <v>196</v>
      </c>
      <c r="B197" s="11">
        <v>40552</v>
      </c>
      <c r="C197" s="12" t="s">
        <v>4</v>
      </c>
      <c r="D197" s="12" t="str">
        <f t="shared" si="6"/>
        <v>January</v>
      </c>
      <c r="E197" s="12">
        <v>10</v>
      </c>
      <c r="F197" s="12" t="b">
        <v>0</v>
      </c>
      <c r="G197" s="12" t="str">
        <f t="shared" si="7"/>
        <v>Sunday</v>
      </c>
      <c r="H197" s="12" t="s">
        <v>0</v>
      </c>
      <c r="I197" s="18">
        <v>0.14000000000000001</v>
      </c>
      <c r="J197" s="19">
        <v>0.1061</v>
      </c>
      <c r="K197" s="18">
        <v>0.43</v>
      </c>
      <c r="L197" s="12">
        <v>0.3881</v>
      </c>
      <c r="M197" s="12">
        <v>0</v>
      </c>
      <c r="N197" s="12">
        <v>49</v>
      </c>
      <c r="O197" s="13">
        <v>49</v>
      </c>
    </row>
    <row r="198" spans="1:15" x14ac:dyDescent="0.35">
      <c r="A198" s="10">
        <v>197</v>
      </c>
      <c r="B198" s="11">
        <v>40552</v>
      </c>
      <c r="C198" s="12" t="s">
        <v>4</v>
      </c>
      <c r="D198" s="12" t="str">
        <f t="shared" si="6"/>
        <v>January</v>
      </c>
      <c r="E198" s="12">
        <v>11</v>
      </c>
      <c r="F198" s="12" t="b">
        <v>0</v>
      </c>
      <c r="G198" s="12" t="str">
        <f t="shared" si="7"/>
        <v>Sunday</v>
      </c>
      <c r="H198" s="12" t="s">
        <v>0</v>
      </c>
      <c r="I198" s="18">
        <v>0.16</v>
      </c>
      <c r="J198" s="19">
        <v>0.1212</v>
      </c>
      <c r="K198" s="18">
        <v>0.4</v>
      </c>
      <c r="L198" s="12">
        <v>0.52239999999999998</v>
      </c>
      <c r="M198" s="12">
        <v>2</v>
      </c>
      <c r="N198" s="12">
        <v>47</v>
      </c>
      <c r="O198" s="13">
        <v>49</v>
      </c>
    </row>
    <row r="199" spans="1:15" x14ac:dyDescent="0.35">
      <c r="A199" s="10">
        <v>198</v>
      </c>
      <c r="B199" s="11">
        <v>40552</v>
      </c>
      <c r="C199" s="12" t="s">
        <v>4</v>
      </c>
      <c r="D199" s="12" t="str">
        <f t="shared" si="6"/>
        <v>January</v>
      </c>
      <c r="E199" s="12">
        <v>12</v>
      </c>
      <c r="F199" s="12" t="b">
        <v>0</v>
      </c>
      <c r="G199" s="12" t="str">
        <f t="shared" si="7"/>
        <v>Sunday</v>
      </c>
      <c r="H199" s="12" t="s">
        <v>0</v>
      </c>
      <c r="I199" s="18">
        <v>0.18</v>
      </c>
      <c r="J199" s="19">
        <v>0.13639999999999999</v>
      </c>
      <c r="K199" s="18">
        <v>0.37</v>
      </c>
      <c r="L199" s="12">
        <v>0.44779999999999998</v>
      </c>
      <c r="M199" s="12">
        <v>4</v>
      </c>
      <c r="N199" s="12">
        <v>79</v>
      </c>
      <c r="O199" s="13">
        <v>83</v>
      </c>
    </row>
    <row r="200" spans="1:15" x14ac:dyDescent="0.35">
      <c r="A200" s="10">
        <v>199</v>
      </c>
      <c r="B200" s="11">
        <v>40552</v>
      </c>
      <c r="C200" s="12" t="s">
        <v>4</v>
      </c>
      <c r="D200" s="12" t="str">
        <f t="shared" si="6"/>
        <v>January</v>
      </c>
      <c r="E200" s="12">
        <v>13</v>
      </c>
      <c r="F200" s="12" t="b">
        <v>0</v>
      </c>
      <c r="G200" s="12" t="str">
        <f t="shared" si="7"/>
        <v>Sunday</v>
      </c>
      <c r="H200" s="12" t="s">
        <v>0</v>
      </c>
      <c r="I200" s="18">
        <v>0.2</v>
      </c>
      <c r="J200" s="19">
        <v>0.16669999999999999</v>
      </c>
      <c r="K200" s="18">
        <v>0.34</v>
      </c>
      <c r="L200" s="12">
        <v>0.44779999999999998</v>
      </c>
      <c r="M200" s="12">
        <v>6</v>
      </c>
      <c r="N200" s="12">
        <v>69</v>
      </c>
      <c r="O200" s="13">
        <v>75</v>
      </c>
    </row>
    <row r="201" spans="1:15" x14ac:dyDescent="0.35">
      <c r="A201" s="10">
        <v>200</v>
      </c>
      <c r="B201" s="11">
        <v>40552</v>
      </c>
      <c r="C201" s="12" t="s">
        <v>4</v>
      </c>
      <c r="D201" s="12" t="str">
        <f t="shared" si="6"/>
        <v>January</v>
      </c>
      <c r="E201" s="12">
        <v>14</v>
      </c>
      <c r="F201" s="12" t="b">
        <v>0</v>
      </c>
      <c r="G201" s="12" t="str">
        <f t="shared" si="7"/>
        <v>Sunday</v>
      </c>
      <c r="H201" s="12" t="s">
        <v>0</v>
      </c>
      <c r="I201" s="18">
        <v>0.22</v>
      </c>
      <c r="J201" s="19">
        <v>0.18179999999999999</v>
      </c>
      <c r="K201" s="18">
        <v>0.32</v>
      </c>
      <c r="L201" s="12">
        <v>0.4627</v>
      </c>
      <c r="M201" s="12">
        <v>8</v>
      </c>
      <c r="N201" s="12">
        <v>64</v>
      </c>
      <c r="O201" s="13">
        <v>72</v>
      </c>
    </row>
    <row r="202" spans="1:15" x14ac:dyDescent="0.35">
      <c r="A202" s="10">
        <v>201</v>
      </c>
      <c r="B202" s="11">
        <v>40552</v>
      </c>
      <c r="C202" s="12" t="s">
        <v>4</v>
      </c>
      <c r="D202" s="12" t="str">
        <f t="shared" si="6"/>
        <v>January</v>
      </c>
      <c r="E202" s="12">
        <v>15</v>
      </c>
      <c r="F202" s="12" t="b">
        <v>0</v>
      </c>
      <c r="G202" s="12" t="str">
        <f t="shared" si="7"/>
        <v>Sunday</v>
      </c>
      <c r="H202" s="12" t="s">
        <v>0</v>
      </c>
      <c r="I202" s="18">
        <v>0.22</v>
      </c>
      <c r="J202" s="19">
        <v>0.19700000000000001</v>
      </c>
      <c r="K202" s="18">
        <v>0.35</v>
      </c>
      <c r="L202" s="12">
        <v>0.35820000000000002</v>
      </c>
      <c r="M202" s="12">
        <v>5</v>
      </c>
      <c r="N202" s="12">
        <v>77</v>
      </c>
      <c r="O202" s="13">
        <v>82</v>
      </c>
    </row>
    <row r="203" spans="1:15" x14ac:dyDescent="0.35">
      <c r="A203" s="10">
        <v>202</v>
      </c>
      <c r="B203" s="11">
        <v>40552</v>
      </c>
      <c r="C203" s="12" t="s">
        <v>4</v>
      </c>
      <c r="D203" s="12" t="str">
        <f t="shared" si="6"/>
        <v>January</v>
      </c>
      <c r="E203" s="12">
        <v>16</v>
      </c>
      <c r="F203" s="12" t="b">
        <v>0</v>
      </c>
      <c r="G203" s="12" t="str">
        <f t="shared" si="7"/>
        <v>Sunday</v>
      </c>
      <c r="H203" s="12" t="s">
        <v>0</v>
      </c>
      <c r="I203" s="18">
        <v>0.2</v>
      </c>
      <c r="J203" s="19">
        <v>0.16669999999999999</v>
      </c>
      <c r="K203" s="18">
        <v>0.34</v>
      </c>
      <c r="L203" s="12">
        <v>0.44779999999999998</v>
      </c>
      <c r="M203" s="12">
        <v>13</v>
      </c>
      <c r="N203" s="12">
        <v>79</v>
      </c>
      <c r="O203" s="13">
        <v>92</v>
      </c>
    </row>
    <row r="204" spans="1:15" x14ac:dyDescent="0.35">
      <c r="A204" s="10">
        <v>203</v>
      </c>
      <c r="B204" s="11">
        <v>40552</v>
      </c>
      <c r="C204" s="12" t="s">
        <v>4</v>
      </c>
      <c r="D204" s="12" t="str">
        <f t="shared" si="6"/>
        <v>January</v>
      </c>
      <c r="E204" s="12">
        <v>17</v>
      </c>
      <c r="F204" s="12" t="b">
        <v>0</v>
      </c>
      <c r="G204" s="12" t="str">
        <f t="shared" si="7"/>
        <v>Sunday</v>
      </c>
      <c r="H204" s="12" t="s">
        <v>0</v>
      </c>
      <c r="I204" s="18">
        <v>0.18</v>
      </c>
      <c r="J204" s="19">
        <v>0.1515</v>
      </c>
      <c r="K204" s="18">
        <v>0.37</v>
      </c>
      <c r="L204" s="12">
        <v>0.3881</v>
      </c>
      <c r="M204" s="12">
        <v>3</v>
      </c>
      <c r="N204" s="12">
        <v>59</v>
      </c>
      <c r="O204" s="13">
        <v>62</v>
      </c>
    </row>
    <row r="205" spans="1:15" x14ac:dyDescent="0.35">
      <c r="A205" s="10">
        <v>204</v>
      </c>
      <c r="B205" s="11">
        <v>40552</v>
      </c>
      <c r="C205" s="12" t="s">
        <v>4</v>
      </c>
      <c r="D205" s="12" t="str">
        <f t="shared" si="6"/>
        <v>January</v>
      </c>
      <c r="E205" s="12">
        <v>18</v>
      </c>
      <c r="F205" s="12" t="b">
        <v>0</v>
      </c>
      <c r="G205" s="12" t="str">
        <f t="shared" si="7"/>
        <v>Sunday</v>
      </c>
      <c r="H205" s="12" t="s">
        <v>0</v>
      </c>
      <c r="I205" s="18">
        <v>0.16</v>
      </c>
      <c r="J205" s="19">
        <v>0.13639999999999999</v>
      </c>
      <c r="K205" s="18">
        <v>0.4</v>
      </c>
      <c r="L205" s="12">
        <v>0.32840000000000003</v>
      </c>
      <c r="M205" s="12">
        <v>4</v>
      </c>
      <c r="N205" s="12">
        <v>44</v>
      </c>
      <c r="O205" s="13">
        <v>48</v>
      </c>
    </row>
    <row r="206" spans="1:15" x14ac:dyDescent="0.35">
      <c r="A206" s="10">
        <v>205</v>
      </c>
      <c r="B206" s="11">
        <v>40552</v>
      </c>
      <c r="C206" s="12" t="s">
        <v>4</v>
      </c>
      <c r="D206" s="12" t="str">
        <f t="shared" si="6"/>
        <v>January</v>
      </c>
      <c r="E206" s="12">
        <v>19</v>
      </c>
      <c r="F206" s="12" t="b">
        <v>0</v>
      </c>
      <c r="G206" s="12" t="str">
        <f t="shared" si="7"/>
        <v>Sunday</v>
      </c>
      <c r="H206" s="12" t="s">
        <v>0</v>
      </c>
      <c r="I206" s="18">
        <v>0.16</v>
      </c>
      <c r="J206" s="19">
        <v>0.13639999999999999</v>
      </c>
      <c r="K206" s="18">
        <v>0.43</v>
      </c>
      <c r="L206" s="12">
        <v>0.32840000000000003</v>
      </c>
      <c r="M206" s="12">
        <v>1</v>
      </c>
      <c r="N206" s="12">
        <v>40</v>
      </c>
      <c r="O206" s="13">
        <v>41</v>
      </c>
    </row>
    <row r="207" spans="1:15" x14ac:dyDescent="0.35">
      <c r="A207" s="10">
        <v>206</v>
      </c>
      <c r="B207" s="11">
        <v>40552</v>
      </c>
      <c r="C207" s="12" t="s">
        <v>4</v>
      </c>
      <c r="D207" s="12" t="str">
        <f t="shared" si="6"/>
        <v>January</v>
      </c>
      <c r="E207" s="12">
        <v>20</v>
      </c>
      <c r="F207" s="12" t="b">
        <v>0</v>
      </c>
      <c r="G207" s="12" t="str">
        <f t="shared" si="7"/>
        <v>Sunday</v>
      </c>
      <c r="H207" s="12" t="s">
        <v>0</v>
      </c>
      <c r="I207" s="18">
        <v>0.14000000000000001</v>
      </c>
      <c r="J207" s="19">
        <v>0.1212</v>
      </c>
      <c r="K207" s="18">
        <v>0.46</v>
      </c>
      <c r="L207" s="12">
        <v>0.25369999999999998</v>
      </c>
      <c r="M207" s="12">
        <v>0</v>
      </c>
      <c r="N207" s="12">
        <v>38</v>
      </c>
      <c r="O207" s="13">
        <v>38</v>
      </c>
    </row>
    <row r="208" spans="1:15" x14ac:dyDescent="0.35">
      <c r="A208" s="10">
        <v>207</v>
      </c>
      <c r="B208" s="11">
        <v>40552</v>
      </c>
      <c r="C208" s="12" t="s">
        <v>4</v>
      </c>
      <c r="D208" s="12" t="str">
        <f t="shared" si="6"/>
        <v>January</v>
      </c>
      <c r="E208" s="12">
        <v>21</v>
      </c>
      <c r="F208" s="12" t="b">
        <v>0</v>
      </c>
      <c r="G208" s="12" t="str">
        <f t="shared" si="7"/>
        <v>Sunday</v>
      </c>
      <c r="H208" s="12" t="s">
        <v>0</v>
      </c>
      <c r="I208" s="18">
        <v>0.14000000000000001</v>
      </c>
      <c r="J208" s="19">
        <v>0.1061</v>
      </c>
      <c r="K208" s="18">
        <v>0.46</v>
      </c>
      <c r="L208" s="12">
        <v>0.41789999999999999</v>
      </c>
      <c r="M208" s="12">
        <v>1</v>
      </c>
      <c r="N208" s="12">
        <v>19</v>
      </c>
      <c r="O208" s="13">
        <v>20</v>
      </c>
    </row>
    <row r="209" spans="1:15" x14ac:dyDescent="0.35">
      <c r="A209" s="10">
        <v>208</v>
      </c>
      <c r="B209" s="11">
        <v>40552</v>
      </c>
      <c r="C209" s="12" t="s">
        <v>4</v>
      </c>
      <c r="D209" s="12" t="str">
        <f t="shared" si="6"/>
        <v>January</v>
      </c>
      <c r="E209" s="12">
        <v>22</v>
      </c>
      <c r="F209" s="12" t="b">
        <v>0</v>
      </c>
      <c r="G209" s="12" t="str">
        <f t="shared" si="7"/>
        <v>Sunday</v>
      </c>
      <c r="H209" s="12" t="s">
        <v>0</v>
      </c>
      <c r="I209" s="18">
        <v>0.14000000000000001</v>
      </c>
      <c r="J209" s="19">
        <v>0.1212</v>
      </c>
      <c r="K209" s="18">
        <v>0.46</v>
      </c>
      <c r="L209" s="12">
        <v>0.29849999999999999</v>
      </c>
      <c r="M209" s="12">
        <v>5</v>
      </c>
      <c r="N209" s="12">
        <v>10</v>
      </c>
      <c r="O209" s="13">
        <v>15</v>
      </c>
    </row>
    <row r="210" spans="1:15" x14ac:dyDescent="0.35">
      <c r="A210" s="10">
        <v>209</v>
      </c>
      <c r="B210" s="11">
        <v>40552</v>
      </c>
      <c r="C210" s="12" t="s">
        <v>4</v>
      </c>
      <c r="D210" s="12" t="str">
        <f t="shared" si="6"/>
        <v>January</v>
      </c>
      <c r="E210" s="12">
        <v>23</v>
      </c>
      <c r="F210" s="12" t="b">
        <v>0</v>
      </c>
      <c r="G210" s="12" t="str">
        <f t="shared" si="7"/>
        <v>Sunday</v>
      </c>
      <c r="H210" s="12" t="s">
        <v>0</v>
      </c>
      <c r="I210" s="18">
        <v>0.12</v>
      </c>
      <c r="J210" s="19">
        <v>0.13639999999999999</v>
      </c>
      <c r="K210" s="18">
        <v>0.5</v>
      </c>
      <c r="L210" s="12">
        <v>0.19400000000000001</v>
      </c>
      <c r="M210" s="12">
        <v>0</v>
      </c>
      <c r="N210" s="12">
        <v>6</v>
      </c>
      <c r="O210" s="13">
        <v>6</v>
      </c>
    </row>
    <row r="211" spans="1:15" x14ac:dyDescent="0.35">
      <c r="A211" s="10">
        <v>210</v>
      </c>
      <c r="B211" s="11">
        <v>40553</v>
      </c>
      <c r="C211" s="12" t="s">
        <v>4</v>
      </c>
      <c r="D211" s="12" t="str">
        <f t="shared" si="6"/>
        <v>January</v>
      </c>
      <c r="E211" s="12">
        <v>0</v>
      </c>
      <c r="F211" s="12" t="b">
        <v>0</v>
      </c>
      <c r="G211" s="12" t="str">
        <f t="shared" si="7"/>
        <v>Monday</v>
      </c>
      <c r="H211" s="12" t="s">
        <v>0</v>
      </c>
      <c r="I211" s="18">
        <v>0.12</v>
      </c>
      <c r="J211" s="19">
        <v>0.1212</v>
      </c>
      <c r="K211" s="18">
        <v>0.5</v>
      </c>
      <c r="L211" s="12">
        <v>0.28360000000000002</v>
      </c>
      <c r="M211" s="12">
        <v>2</v>
      </c>
      <c r="N211" s="12">
        <v>3</v>
      </c>
      <c r="O211" s="13">
        <v>5</v>
      </c>
    </row>
    <row r="212" spans="1:15" x14ac:dyDescent="0.35">
      <c r="A212" s="10">
        <v>211</v>
      </c>
      <c r="B212" s="11">
        <v>40553</v>
      </c>
      <c r="C212" s="12" t="s">
        <v>4</v>
      </c>
      <c r="D212" s="12" t="str">
        <f t="shared" si="6"/>
        <v>January</v>
      </c>
      <c r="E212" s="12">
        <v>1</v>
      </c>
      <c r="F212" s="12" t="b">
        <v>0</v>
      </c>
      <c r="G212" s="12" t="str">
        <f t="shared" si="7"/>
        <v>Monday</v>
      </c>
      <c r="H212" s="12" t="s">
        <v>0</v>
      </c>
      <c r="I212" s="18">
        <v>0.12</v>
      </c>
      <c r="J212" s="19">
        <v>0.1212</v>
      </c>
      <c r="K212" s="18">
        <v>0.5</v>
      </c>
      <c r="L212" s="12">
        <v>0.28360000000000002</v>
      </c>
      <c r="M212" s="12">
        <v>1</v>
      </c>
      <c r="N212" s="12">
        <v>0</v>
      </c>
      <c r="O212" s="13">
        <v>1</v>
      </c>
    </row>
    <row r="213" spans="1:15" x14ac:dyDescent="0.35">
      <c r="A213" s="10">
        <v>212</v>
      </c>
      <c r="B213" s="11">
        <v>40553</v>
      </c>
      <c r="C213" s="12" t="s">
        <v>4</v>
      </c>
      <c r="D213" s="12" t="str">
        <f t="shared" si="6"/>
        <v>January</v>
      </c>
      <c r="E213" s="12">
        <v>2</v>
      </c>
      <c r="F213" s="12" t="b">
        <v>0</v>
      </c>
      <c r="G213" s="12" t="str">
        <f t="shared" si="7"/>
        <v>Monday</v>
      </c>
      <c r="H213" s="12" t="s">
        <v>0</v>
      </c>
      <c r="I213" s="18">
        <v>0.12</v>
      </c>
      <c r="J213" s="19">
        <v>0.1212</v>
      </c>
      <c r="K213" s="18">
        <v>0.5</v>
      </c>
      <c r="L213" s="12">
        <v>0.22389999999999999</v>
      </c>
      <c r="M213" s="12">
        <v>0</v>
      </c>
      <c r="N213" s="12">
        <v>3</v>
      </c>
      <c r="O213" s="13">
        <v>3</v>
      </c>
    </row>
    <row r="214" spans="1:15" x14ac:dyDescent="0.35">
      <c r="A214" s="10">
        <v>213</v>
      </c>
      <c r="B214" s="11">
        <v>40553</v>
      </c>
      <c r="C214" s="12" t="s">
        <v>4</v>
      </c>
      <c r="D214" s="12" t="str">
        <f t="shared" si="6"/>
        <v>January</v>
      </c>
      <c r="E214" s="12">
        <v>3</v>
      </c>
      <c r="F214" s="12" t="b">
        <v>0</v>
      </c>
      <c r="G214" s="12" t="str">
        <f t="shared" si="7"/>
        <v>Monday</v>
      </c>
      <c r="H214" s="12" t="s">
        <v>0</v>
      </c>
      <c r="I214" s="18">
        <v>0.12</v>
      </c>
      <c r="J214" s="19">
        <v>0.1212</v>
      </c>
      <c r="K214" s="18">
        <v>0.5</v>
      </c>
      <c r="L214" s="12">
        <v>0.22389999999999999</v>
      </c>
      <c r="M214" s="12">
        <v>0</v>
      </c>
      <c r="N214" s="12">
        <v>1</v>
      </c>
      <c r="O214" s="13">
        <v>1</v>
      </c>
    </row>
    <row r="215" spans="1:15" x14ac:dyDescent="0.35">
      <c r="A215" s="10">
        <v>214</v>
      </c>
      <c r="B215" s="11">
        <v>40553</v>
      </c>
      <c r="C215" s="12" t="s">
        <v>4</v>
      </c>
      <c r="D215" s="12" t="str">
        <f t="shared" si="6"/>
        <v>January</v>
      </c>
      <c r="E215" s="12">
        <v>4</v>
      </c>
      <c r="F215" s="12" t="b">
        <v>0</v>
      </c>
      <c r="G215" s="12" t="str">
        <f t="shared" si="7"/>
        <v>Monday</v>
      </c>
      <c r="H215" s="12" t="s">
        <v>0</v>
      </c>
      <c r="I215" s="18">
        <v>0.1</v>
      </c>
      <c r="J215" s="19">
        <v>0.1212</v>
      </c>
      <c r="K215" s="18">
        <v>0.54</v>
      </c>
      <c r="L215" s="12">
        <v>0.1343</v>
      </c>
      <c r="M215" s="12">
        <v>1</v>
      </c>
      <c r="N215" s="12">
        <v>2</v>
      </c>
      <c r="O215" s="13">
        <v>3</v>
      </c>
    </row>
    <row r="216" spans="1:15" x14ac:dyDescent="0.35">
      <c r="A216" s="10">
        <v>215</v>
      </c>
      <c r="B216" s="11">
        <v>40553</v>
      </c>
      <c r="C216" s="12" t="s">
        <v>4</v>
      </c>
      <c r="D216" s="12" t="str">
        <f t="shared" si="6"/>
        <v>January</v>
      </c>
      <c r="E216" s="12">
        <v>5</v>
      </c>
      <c r="F216" s="12" t="b">
        <v>0</v>
      </c>
      <c r="G216" s="12" t="str">
        <f t="shared" si="7"/>
        <v>Monday</v>
      </c>
      <c r="H216" s="12" t="s">
        <v>0</v>
      </c>
      <c r="I216" s="18">
        <v>0.1</v>
      </c>
      <c r="J216" s="19">
        <v>0.1061</v>
      </c>
      <c r="K216" s="18">
        <v>0.54</v>
      </c>
      <c r="L216" s="12">
        <v>0.25369999999999998</v>
      </c>
      <c r="M216" s="12">
        <v>0</v>
      </c>
      <c r="N216" s="12">
        <v>3</v>
      </c>
      <c r="O216" s="13">
        <v>3</v>
      </c>
    </row>
    <row r="217" spans="1:15" x14ac:dyDescent="0.35">
      <c r="A217" s="10">
        <v>216</v>
      </c>
      <c r="B217" s="11">
        <v>40553</v>
      </c>
      <c r="C217" s="12" t="s">
        <v>4</v>
      </c>
      <c r="D217" s="12" t="str">
        <f t="shared" si="6"/>
        <v>January</v>
      </c>
      <c r="E217" s="12">
        <v>6</v>
      </c>
      <c r="F217" s="12" t="b">
        <v>0</v>
      </c>
      <c r="G217" s="12" t="str">
        <f t="shared" si="7"/>
        <v>Monday</v>
      </c>
      <c r="H217" s="12" t="s">
        <v>0</v>
      </c>
      <c r="I217" s="18">
        <v>0.12</v>
      </c>
      <c r="J217" s="19">
        <v>0.1212</v>
      </c>
      <c r="K217" s="18">
        <v>0.5</v>
      </c>
      <c r="L217" s="12">
        <v>0.28360000000000002</v>
      </c>
      <c r="M217" s="12">
        <v>0</v>
      </c>
      <c r="N217" s="12">
        <v>31</v>
      </c>
      <c r="O217" s="13">
        <v>31</v>
      </c>
    </row>
    <row r="218" spans="1:15" x14ac:dyDescent="0.35">
      <c r="A218" s="10">
        <v>217</v>
      </c>
      <c r="B218" s="11">
        <v>40553</v>
      </c>
      <c r="C218" s="12" t="s">
        <v>4</v>
      </c>
      <c r="D218" s="12" t="str">
        <f t="shared" si="6"/>
        <v>January</v>
      </c>
      <c r="E218" s="12">
        <v>7</v>
      </c>
      <c r="F218" s="12" t="b">
        <v>0</v>
      </c>
      <c r="G218" s="12" t="str">
        <f t="shared" si="7"/>
        <v>Monday</v>
      </c>
      <c r="H218" s="12" t="s">
        <v>0</v>
      </c>
      <c r="I218" s="18">
        <v>0.12</v>
      </c>
      <c r="J218" s="19">
        <v>0.1212</v>
      </c>
      <c r="K218" s="18">
        <v>0.5</v>
      </c>
      <c r="L218" s="12">
        <v>0.22389999999999999</v>
      </c>
      <c r="M218" s="12">
        <v>2</v>
      </c>
      <c r="N218" s="12">
        <v>75</v>
      </c>
      <c r="O218" s="13">
        <v>77</v>
      </c>
    </row>
    <row r="219" spans="1:15" x14ac:dyDescent="0.35">
      <c r="A219" s="10">
        <v>218</v>
      </c>
      <c r="B219" s="11">
        <v>40553</v>
      </c>
      <c r="C219" s="12" t="s">
        <v>4</v>
      </c>
      <c r="D219" s="12" t="str">
        <f t="shared" si="6"/>
        <v>January</v>
      </c>
      <c r="E219" s="12">
        <v>8</v>
      </c>
      <c r="F219" s="12" t="b">
        <v>0</v>
      </c>
      <c r="G219" s="12" t="str">
        <f t="shared" si="7"/>
        <v>Monday</v>
      </c>
      <c r="H219" s="12" t="s">
        <v>1</v>
      </c>
      <c r="I219" s="18">
        <v>0.12</v>
      </c>
      <c r="J219" s="19">
        <v>0.1212</v>
      </c>
      <c r="K219" s="18">
        <v>0.5</v>
      </c>
      <c r="L219" s="12">
        <v>0.28360000000000002</v>
      </c>
      <c r="M219" s="12">
        <v>4</v>
      </c>
      <c r="N219" s="12">
        <v>184</v>
      </c>
      <c r="O219" s="13">
        <v>188</v>
      </c>
    </row>
    <row r="220" spans="1:15" x14ac:dyDescent="0.35">
      <c r="A220" s="10">
        <v>219</v>
      </c>
      <c r="B220" s="11">
        <v>40553</v>
      </c>
      <c r="C220" s="12" t="s">
        <v>4</v>
      </c>
      <c r="D220" s="12" t="str">
        <f t="shared" si="6"/>
        <v>January</v>
      </c>
      <c r="E220" s="12">
        <v>9</v>
      </c>
      <c r="F220" s="12" t="b">
        <v>0</v>
      </c>
      <c r="G220" s="12" t="str">
        <f t="shared" si="7"/>
        <v>Monday</v>
      </c>
      <c r="H220" s="12" t="s">
        <v>1</v>
      </c>
      <c r="I220" s="18">
        <v>0.14000000000000001</v>
      </c>
      <c r="J220" s="19">
        <v>0.1212</v>
      </c>
      <c r="K220" s="18">
        <v>0.5</v>
      </c>
      <c r="L220" s="12">
        <v>0.25369999999999998</v>
      </c>
      <c r="M220" s="12">
        <v>2</v>
      </c>
      <c r="N220" s="12">
        <v>92</v>
      </c>
      <c r="O220" s="13">
        <v>94</v>
      </c>
    </row>
    <row r="221" spans="1:15" x14ac:dyDescent="0.35">
      <c r="A221" s="10">
        <v>220</v>
      </c>
      <c r="B221" s="11">
        <v>40553</v>
      </c>
      <c r="C221" s="12" t="s">
        <v>4</v>
      </c>
      <c r="D221" s="12" t="str">
        <f t="shared" si="6"/>
        <v>January</v>
      </c>
      <c r="E221" s="12">
        <v>10</v>
      </c>
      <c r="F221" s="12" t="b">
        <v>0</v>
      </c>
      <c r="G221" s="12" t="str">
        <f t="shared" si="7"/>
        <v>Monday</v>
      </c>
      <c r="H221" s="12" t="s">
        <v>1</v>
      </c>
      <c r="I221" s="18">
        <v>0.14000000000000001</v>
      </c>
      <c r="J221" s="19">
        <v>0.1212</v>
      </c>
      <c r="K221" s="18">
        <v>0.5</v>
      </c>
      <c r="L221" s="12">
        <v>0.29849999999999999</v>
      </c>
      <c r="M221" s="12">
        <v>0</v>
      </c>
      <c r="N221" s="12">
        <v>31</v>
      </c>
      <c r="O221" s="13">
        <v>31</v>
      </c>
    </row>
    <row r="222" spans="1:15" x14ac:dyDescent="0.35">
      <c r="A222" s="10">
        <v>221</v>
      </c>
      <c r="B222" s="11">
        <v>40553</v>
      </c>
      <c r="C222" s="12" t="s">
        <v>4</v>
      </c>
      <c r="D222" s="12" t="str">
        <f t="shared" si="6"/>
        <v>January</v>
      </c>
      <c r="E222" s="12">
        <v>11</v>
      </c>
      <c r="F222" s="12" t="b">
        <v>0</v>
      </c>
      <c r="G222" s="12" t="str">
        <f t="shared" si="7"/>
        <v>Monday</v>
      </c>
      <c r="H222" s="12" t="s">
        <v>1</v>
      </c>
      <c r="I222" s="18">
        <v>0.16</v>
      </c>
      <c r="J222" s="19">
        <v>0.13639999999999999</v>
      </c>
      <c r="K222" s="18">
        <v>0.47</v>
      </c>
      <c r="L222" s="12">
        <v>0.28360000000000002</v>
      </c>
      <c r="M222" s="12">
        <v>2</v>
      </c>
      <c r="N222" s="12">
        <v>28</v>
      </c>
      <c r="O222" s="13">
        <v>30</v>
      </c>
    </row>
    <row r="223" spans="1:15" x14ac:dyDescent="0.35">
      <c r="A223" s="10">
        <v>222</v>
      </c>
      <c r="B223" s="11">
        <v>40553</v>
      </c>
      <c r="C223" s="12" t="s">
        <v>4</v>
      </c>
      <c r="D223" s="12" t="str">
        <f t="shared" si="6"/>
        <v>January</v>
      </c>
      <c r="E223" s="12">
        <v>12</v>
      </c>
      <c r="F223" s="12" t="b">
        <v>0</v>
      </c>
      <c r="G223" s="12" t="str">
        <f t="shared" si="7"/>
        <v>Monday</v>
      </c>
      <c r="H223" s="12" t="s">
        <v>1</v>
      </c>
      <c r="I223" s="18">
        <v>0.2</v>
      </c>
      <c r="J223" s="19">
        <v>0.18179999999999999</v>
      </c>
      <c r="K223" s="18">
        <v>0.4</v>
      </c>
      <c r="L223" s="12">
        <v>0.28360000000000002</v>
      </c>
      <c r="M223" s="12">
        <v>5</v>
      </c>
      <c r="N223" s="12">
        <v>47</v>
      </c>
      <c r="O223" s="13">
        <v>52</v>
      </c>
    </row>
    <row r="224" spans="1:15" x14ac:dyDescent="0.35">
      <c r="A224" s="10">
        <v>223</v>
      </c>
      <c r="B224" s="11">
        <v>40553</v>
      </c>
      <c r="C224" s="12" t="s">
        <v>4</v>
      </c>
      <c r="D224" s="12" t="str">
        <f t="shared" si="6"/>
        <v>January</v>
      </c>
      <c r="E224" s="12">
        <v>13</v>
      </c>
      <c r="F224" s="12" t="b">
        <v>0</v>
      </c>
      <c r="G224" s="12" t="str">
        <f t="shared" si="7"/>
        <v>Monday</v>
      </c>
      <c r="H224" s="12" t="s">
        <v>1</v>
      </c>
      <c r="I224" s="18">
        <v>0.2</v>
      </c>
      <c r="J224" s="19">
        <v>0.18179999999999999</v>
      </c>
      <c r="K224" s="18">
        <v>0.4</v>
      </c>
      <c r="L224" s="12">
        <v>0.28360000000000002</v>
      </c>
      <c r="M224" s="12">
        <v>4</v>
      </c>
      <c r="N224" s="12">
        <v>50</v>
      </c>
      <c r="O224" s="13">
        <v>54</v>
      </c>
    </row>
    <row r="225" spans="1:15" x14ac:dyDescent="0.35">
      <c r="A225" s="10">
        <v>224</v>
      </c>
      <c r="B225" s="11">
        <v>40553</v>
      </c>
      <c r="C225" s="12" t="s">
        <v>4</v>
      </c>
      <c r="D225" s="12" t="str">
        <f t="shared" si="6"/>
        <v>January</v>
      </c>
      <c r="E225" s="12">
        <v>14</v>
      </c>
      <c r="F225" s="12" t="b">
        <v>0</v>
      </c>
      <c r="G225" s="12" t="str">
        <f t="shared" si="7"/>
        <v>Monday</v>
      </c>
      <c r="H225" s="12" t="s">
        <v>1</v>
      </c>
      <c r="I225" s="18">
        <v>0.2</v>
      </c>
      <c r="J225" s="19">
        <v>0.19700000000000001</v>
      </c>
      <c r="K225" s="18">
        <v>0.4</v>
      </c>
      <c r="L225" s="12">
        <v>0.22389999999999999</v>
      </c>
      <c r="M225" s="12">
        <v>0</v>
      </c>
      <c r="N225" s="12">
        <v>47</v>
      </c>
      <c r="O225" s="13">
        <v>47</v>
      </c>
    </row>
    <row r="226" spans="1:15" x14ac:dyDescent="0.35">
      <c r="A226" s="10">
        <v>225</v>
      </c>
      <c r="B226" s="11">
        <v>40553</v>
      </c>
      <c r="C226" s="12" t="s">
        <v>4</v>
      </c>
      <c r="D226" s="12" t="str">
        <f t="shared" si="6"/>
        <v>January</v>
      </c>
      <c r="E226" s="12">
        <v>15</v>
      </c>
      <c r="F226" s="12" t="b">
        <v>0</v>
      </c>
      <c r="G226" s="12" t="str">
        <f t="shared" si="7"/>
        <v>Monday</v>
      </c>
      <c r="H226" s="12" t="s">
        <v>1</v>
      </c>
      <c r="I226" s="18">
        <v>0.2</v>
      </c>
      <c r="J226" s="19">
        <v>0.19700000000000001</v>
      </c>
      <c r="K226" s="18">
        <v>0.4</v>
      </c>
      <c r="L226" s="12">
        <v>0.22389999999999999</v>
      </c>
      <c r="M226" s="12">
        <v>2</v>
      </c>
      <c r="N226" s="12">
        <v>43</v>
      </c>
      <c r="O226" s="13">
        <v>45</v>
      </c>
    </row>
    <row r="227" spans="1:15" x14ac:dyDescent="0.35">
      <c r="A227" s="10">
        <v>226</v>
      </c>
      <c r="B227" s="11">
        <v>40553</v>
      </c>
      <c r="C227" s="12" t="s">
        <v>4</v>
      </c>
      <c r="D227" s="12" t="str">
        <f t="shared" si="6"/>
        <v>January</v>
      </c>
      <c r="E227" s="12">
        <v>16</v>
      </c>
      <c r="F227" s="12" t="b">
        <v>0</v>
      </c>
      <c r="G227" s="12" t="str">
        <f t="shared" si="7"/>
        <v>Monday</v>
      </c>
      <c r="H227" s="12" t="s">
        <v>0</v>
      </c>
      <c r="I227" s="18">
        <v>0.2</v>
      </c>
      <c r="J227" s="19">
        <v>0.21210000000000001</v>
      </c>
      <c r="K227" s="18">
        <v>0.4</v>
      </c>
      <c r="L227" s="12">
        <v>0.1343</v>
      </c>
      <c r="M227" s="12">
        <v>4</v>
      </c>
      <c r="N227" s="12">
        <v>70</v>
      </c>
      <c r="O227" s="13">
        <v>74</v>
      </c>
    </row>
    <row r="228" spans="1:15" x14ac:dyDescent="0.35">
      <c r="A228" s="10">
        <v>227</v>
      </c>
      <c r="B228" s="11">
        <v>40553</v>
      </c>
      <c r="C228" s="12" t="s">
        <v>4</v>
      </c>
      <c r="D228" s="12" t="str">
        <f t="shared" si="6"/>
        <v>January</v>
      </c>
      <c r="E228" s="12">
        <v>17</v>
      </c>
      <c r="F228" s="12" t="b">
        <v>0</v>
      </c>
      <c r="G228" s="12" t="str">
        <f t="shared" si="7"/>
        <v>Monday</v>
      </c>
      <c r="H228" s="12" t="s">
        <v>0</v>
      </c>
      <c r="I228" s="18">
        <v>0.2</v>
      </c>
      <c r="J228" s="19">
        <v>0.2273</v>
      </c>
      <c r="K228" s="18">
        <v>0.4</v>
      </c>
      <c r="L228" s="12">
        <v>0.1045</v>
      </c>
      <c r="M228" s="12">
        <v>4</v>
      </c>
      <c r="N228" s="12">
        <v>174</v>
      </c>
      <c r="O228" s="13">
        <v>178</v>
      </c>
    </row>
    <row r="229" spans="1:15" x14ac:dyDescent="0.35">
      <c r="A229" s="10">
        <v>228</v>
      </c>
      <c r="B229" s="11">
        <v>40553</v>
      </c>
      <c r="C229" s="12" t="s">
        <v>4</v>
      </c>
      <c r="D229" s="12" t="str">
        <f t="shared" si="6"/>
        <v>January</v>
      </c>
      <c r="E229" s="12">
        <v>18</v>
      </c>
      <c r="F229" s="12" t="b">
        <v>0</v>
      </c>
      <c r="G229" s="12" t="str">
        <f t="shared" si="7"/>
        <v>Monday</v>
      </c>
      <c r="H229" s="12" t="s">
        <v>0</v>
      </c>
      <c r="I229" s="18">
        <v>0.2</v>
      </c>
      <c r="J229" s="19">
        <v>0.19700000000000001</v>
      </c>
      <c r="K229" s="18">
        <v>0.4</v>
      </c>
      <c r="L229" s="12">
        <v>0.22389999999999999</v>
      </c>
      <c r="M229" s="12">
        <v>1</v>
      </c>
      <c r="N229" s="12">
        <v>154</v>
      </c>
      <c r="O229" s="13">
        <v>155</v>
      </c>
    </row>
    <row r="230" spans="1:15" x14ac:dyDescent="0.35">
      <c r="A230" s="10">
        <v>229</v>
      </c>
      <c r="B230" s="11">
        <v>40553</v>
      </c>
      <c r="C230" s="12" t="s">
        <v>4</v>
      </c>
      <c r="D230" s="12" t="str">
        <f t="shared" si="6"/>
        <v>January</v>
      </c>
      <c r="E230" s="12">
        <v>19</v>
      </c>
      <c r="F230" s="12" t="b">
        <v>0</v>
      </c>
      <c r="G230" s="12" t="str">
        <f t="shared" si="7"/>
        <v>Monday</v>
      </c>
      <c r="H230" s="12" t="s">
        <v>0</v>
      </c>
      <c r="I230" s="18">
        <v>0.16</v>
      </c>
      <c r="J230" s="19">
        <v>0.16669999999999999</v>
      </c>
      <c r="K230" s="18">
        <v>0.47</v>
      </c>
      <c r="L230" s="12">
        <v>0.16420000000000001</v>
      </c>
      <c r="M230" s="12">
        <v>3</v>
      </c>
      <c r="N230" s="12">
        <v>92</v>
      </c>
      <c r="O230" s="13">
        <v>95</v>
      </c>
    </row>
    <row r="231" spans="1:15" x14ac:dyDescent="0.35">
      <c r="A231" s="10">
        <v>230</v>
      </c>
      <c r="B231" s="11">
        <v>40553</v>
      </c>
      <c r="C231" s="12" t="s">
        <v>4</v>
      </c>
      <c r="D231" s="12" t="str">
        <f t="shared" si="6"/>
        <v>January</v>
      </c>
      <c r="E231" s="12">
        <v>20</v>
      </c>
      <c r="F231" s="12" t="b">
        <v>0</v>
      </c>
      <c r="G231" s="12" t="str">
        <f t="shared" si="7"/>
        <v>Monday</v>
      </c>
      <c r="H231" s="12" t="s">
        <v>0</v>
      </c>
      <c r="I231" s="18">
        <v>0.16</v>
      </c>
      <c r="J231" s="19">
        <v>0.16669999999999999</v>
      </c>
      <c r="K231" s="18">
        <v>0.5</v>
      </c>
      <c r="L231" s="12">
        <v>0.16420000000000001</v>
      </c>
      <c r="M231" s="12">
        <v>1</v>
      </c>
      <c r="N231" s="12">
        <v>73</v>
      </c>
      <c r="O231" s="13">
        <v>74</v>
      </c>
    </row>
    <row r="232" spans="1:15" x14ac:dyDescent="0.35">
      <c r="A232" s="10">
        <v>231</v>
      </c>
      <c r="B232" s="11">
        <v>40553</v>
      </c>
      <c r="C232" s="12" t="s">
        <v>4</v>
      </c>
      <c r="D232" s="12" t="str">
        <f t="shared" si="6"/>
        <v>January</v>
      </c>
      <c r="E232" s="12">
        <v>21</v>
      </c>
      <c r="F232" s="12" t="b">
        <v>0</v>
      </c>
      <c r="G232" s="12" t="str">
        <f t="shared" si="7"/>
        <v>Monday</v>
      </c>
      <c r="H232" s="12" t="s">
        <v>0</v>
      </c>
      <c r="I232" s="18">
        <v>0.14000000000000001</v>
      </c>
      <c r="J232" s="19">
        <v>0.13639999999999999</v>
      </c>
      <c r="K232" s="18">
        <v>0.59</v>
      </c>
      <c r="L232" s="12">
        <v>0.19400000000000001</v>
      </c>
      <c r="M232" s="12">
        <v>1</v>
      </c>
      <c r="N232" s="12">
        <v>37</v>
      </c>
      <c r="O232" s="13">
        <v>38</v>
      </c>
    </row>
    <row r="233" spans="1:15" x14ac:dyDescent="0.35">
      <c r="A233" s="10">
        <v>232</v>
      </c>
      <c r="B233" s="11">
        <v>40553</v>
      </c>
      <c r="C233" s="12" t="s">
        <v>4</v>
      </c>
      <c r="D233" s="12" t="str">
        <f t="shared" si="6"/>
        <v>January</v>
      </c>
      <c r="E233" s="12">
        <v>22</v>
      </c>
      <c r="F233" s="12" t="b">
        <v>0</v>
      </c>
      <c r="G233" s="12" t="str">
        <f t="shared" si="7"/>
        <v>Monday</v>
      </c>
      <c r="H233" s="12" t="s">
        <v>0</v>
      </c>
      <c r="I233" s="18">
        <v>0.14000000000000001</v>
      </c>
      <c r="J233" s="19">
        <v>0.1515</v>
      </c>
      <c r="K233" s="18">
        <v>0.59</v>
      </c>
      <c r="L233" s="12">
        <v>0.16420000000000001</v>
      </c>
      <c r="M233" s="12">
        <v>2</v>
      </c>
      <c r="N233" s="12">
        <v>22</v>
      </c>
      <c r="O233" s="13">
        <v>24</v>
      </c>
    </row>
    <row r="234" spans="1:15" x14ac:dyDescent="0.35">
      <c r="A234" s="10">
        <v>233</v>
      </c>
      <c r="B234" s="11">
        <v>40553</v>
      </c>
      <c r="C234" s="12" t="s">
        <v>4</v>
      </c>
      <c r="D234" s="12" t="str">
        <f t="shared" si="6"/>
        <v>January</v>
      </c>
      <c r="E234" s="12">
        <v>23</v>
      </c>
      <c r="F234" s="12" t="b">
        <v>0</v>
      </c>
      <c r="G234" s="12" t="str">
        <f t="shared" si="7"/>
        <v>Monday</v>
      </c>
      <c r="H234" s="12" t="s">
        <v>0</v>
      </c>
      <c r="I234" s="18">
        <v>0.14000000000000001</v>
      </c>
      <c r="J234" s="19">
        <v>0.1515</v>
      </c>
      <c r="K234" s="18">
        <v>0.59</v>
      </c>
      <c r="L234" s="12">
        <v>0.16420000000000001</v>
      </c>
      <c r="M234" s="12">
        <v>0</v>
      </c>
      <c r="N234" s="12">
        <v>18</v>
      </c>
      <c r="O234" s="13">
        <v>18</v>
      </c>
    </row>
    <row r="235" spans="1:15" x14ac:dyDescent="0.35">
      <c r="A235" s="10">
        <v>234</v>
      </c>
      <c r="B235" s="11">
        <v>40554</v>
      </c>
      <c r="C235" s="12" t="s">
        <v>4</v>
      </c>
      <c r="D235" s="12" t="str">
        <f t="shared" si="6"/>
        <v>January</v>
      </c>
      <c r="E235" s="12">
        <v>0</v>
      </c>
      <c r="F235" s="12" t="b">
        <v>0</v>
      </c>
      <c r="G235" s="12" t="str">
        <f t="shared" si="7"/>
        <v>Tuesday</v>
      </c>
      <c r="H235" s="12" t="s">
        <v>0</v>
      </c>
      <c r="I235" s="18">
        <v>0.14000000000000001</v>
      </c>
      <c r="J235" s="19">
        <v>0.16669999999999999</v>
      </c>
      <c r="K235" s="18">
        <v>0.59</v>
      </c>
      <c r="L235" s="12">
        <v>0.1045</v>
      </c>
      <c r="M235" s="12">
        <v>2</v>
      </c>
      <c r="N235" s="12">
        <v>10</v>
      </c>
      <c r="O235" s="13">
        <v>12</v>
      </c>
    </row>
    <row r="236" spans="1:15" x14ac:dyDescent="0.35">
      <c r="A236" s="10">
        <v>235</v>
      </c>
      <c r="B236" s="11">
        <v>40554</v>
      </c>
      <c r="C236" s="12" t="s">
        <v>4</v>
      </c>
      <c r="D236" s="12" t="str">
        <f t="shared" si="6"/>
        <v>January</v>
      </c>
      <c r="E236" s="12">
        <v>1</v>
      </c>
      <c r="F236" s="12" t="b">
        <v>0</v>
      </c>
      <c r="G236" s="12" t="str">
        <f t="shared" si="7"/>
        <v>Tuesday</v>
      </c>
      <c r="H236" s="12" t="s">
        <v>0</v>
      </c>
      <c r="I236" s="18">
        <v>0.14000000000000001</v>
      </c>
      <c r="J236" s="19">
        <v>0.1515</v>
      </c>
      <c r="K236" s="18">
        <v>0.59</v>
      </c>
      <c r="L236" s="12">
        <v>0.16420000000000001</v>
      </c>
      <c r="M236" s="12">
        <v>0</v>
      </c>
      <c r="N236" s="12">
        <v>3</v>
      </c>
      <c r="O236" s="13">
        <v>3</v>
      </c>
    </row>
    <row r="237" spans="1:15" x14ac:dyDescent="0.35">
      <c r="A237" s="10">
        <v>236</v>
      </c>
      <c r="B237" s="11">
        <v>40554</v>
      </c>
      <c r="C237" s="12" t="s">
        <v>4</v>
      </c>
      <c r="D237" s="12" t="str">
        <f t="shared" si="6"/>
        <v>January</v>
      </c>
      <c r="E237" s="12">
        <v>2</v>
      </c>
      <c r="F237" s="12" t="b">
        <v>0</v>
      </c>
      <c r="G237" s="12" t="str">
        <f t="shared" si="7"/>
        <v>Tuesday</v>
      </c>
      <c r="H237" s="12" t="s">
        <v>1</v>
      </c>
      <c r="I237" s="18">
        <v>0.16</v>
      </c>
      <c r="J237" s="19">
        <v>0.1515</v>
      </c>
      <c r="K237" s="18">
        <v>0.55000000000000004</v>
      </c>
      <c r="L237" s="12">
        <v>0.19400000000000001</v>
      </c>
      <c r="M237" s="12">
        <v>0</v>
      </c>
      <c r="N237" s="12">
        <v>3</v>
      </c>
      <c r="O237" s="13">
        <v>3</v>
      </c>
    </row>
    <row r="238" spans="1:15" x14ac:dyDescent="0.35">
      <c r="A238" s="10">
        <v>237</v>
      </c>
      <c r="B238" s="11">
        <v>40554</v>
      </c>
      <c r="C238" s="12" t="s">
        <v>4</v>
      </c>
      <c r="D238" s="12" t="str">
        <f t="shared" si="6"/>
        <v>January</v>
      </c>
      <c r="E238" s="12">
        <v>5</v>
      </c>
      <c r="F238" s="12" t="b">
        <v>0</v>
      </c>
      <c r="G238" s="12" t="str">
        <f t="shared" si="7"/>
        <v>Tuesday</v>
      </c>
      <c r="H238" s="12" t="s">
        <v>1</v>
      </c>
      <c r="I238" s="18">
        <v>0.16</v>
      </c>
      <c r="J238" s="19">
        <v>0.18179999999999999</v>
      </c>
      <c r="K238" s="18">
        <v>0.55000000000000004</v>
      </c>
      <c r="L238" s="12">
        <v>0.1343</v>
      </c>
      <c r="M238" s="12">
        <v>0</v>
      </c>
      <c r="N238" s="12">
        <v>6</v>
      </c>
      <c r="O238" s="13">
        <v>6</v>
      </c>
    </row>
    <row r="239" spans="1:15" x14ac:dyDescent="0.35">
      <c r="A239" s="10">
        <v>238</v>
      </c>
      <c r="B239" s="11">
        <v>40554</v>
      </c>
      <c r="C239" s="12" t="s">
        <v>4</v>
      </c>
      <c r="D239" s="12" t="str">
        <f t="shared" si="6"/>
        <v>January</v>
      </c>
      <c r="E239" s="12">
        <v>6</v>
      </c>
      <c r="F239" s="12" t="b">
        <v>0</v>
      </c>
      <c r="G239" s="12" t="str">
        <f t="shared" si="7"/>
        <v>Tuesday</v>
      </c>
      <c r="H239" s="12" t="s">
        <v>1</v>
      </c>
      <c r="I239" s="18">
        <v>0.16</v>
      </c>
      <c r="J239" s="19">
        <v>0.18179999999999999</v>
      </c>
      <c r="K239" s="18">
        <v>0.55000000000000004</v>
      </c>
      <c r="L239" s="12">
        <v>0.1343</v>
      </c>
      <c r="M239" s="12">
        <v>0</v>
      </c>
      <c r="N239" s="12">
        <v>27</v>
      </c>
      <c r="O239" s="13">
        <v>27</v>
      </c>
    </row>
    <row r="240" spans="1:15" x14ac:dyDescent="0.35">
      <c r="A240" s="10">
        <v>239</v>
      </c>
      <c r="B240" s="11">
        <v>40554</v>
      </c>
      <c r="C240" s="12" t="s">
        <v>4</v>
      </c>
      <c r="D240" s="12" t="str">
        <f t="shared" si="6"/>
        <v>January</v>
      </c>
      <c r="E240" s="12">
        <v>7</v>
      </c>
      <c r="F240" s="12" t="b">
        <v>0</v>
      </c>
      <c r="G240" s="12" t="str">
        <f t="shared" si="7"/>
        <v>Tuesday</v>
      </c>
      <c r="H240" s="12" t="s">
        <v>1</v>
      </c>
      <c r="I240" s="18">
        <v>0.16</v>
      </c>
      <c r="J240" s="19">
        <v>0.2273</v>
      </c>
      <c r="K240" s="18">
        <v>0.55000000000000004</v>
      </c>
      <c r="L240" s="12">
        <v>0</v>
      </c>
      <c r="M240" s="12">
        <v>2</v>
      </c>
      <c r="N240" s="12">
        <v>97</v>
      </c>
      <c r="O240" s="13">
        <v>99</v>
      </c>
    </row>
    <row r="241" spans="1:15" x14ac:dyDescent="0.35">
      <c r="A241" s="10">
        <v>240</v>
      </c>
      <c r="B241" s="11">
        <v>40554</v>
      </c>
      <c r="C241" s="12" t="s">
        <v>4</v>
      </c>
      <c r="D241" s="12" t="str">
        <f t="shared" si="6"/>
        <v>January</v>
      </c>
      <c r="E241" s="12">
        <v>8</v>
      </c>
      <c r="F241" s="12" t="b">
        <v>0</v>
      </c>
      <c r="G241" s="12" t="str">
        <f t="shared" si="7"/>
        <v>Tuesday</v>
      </c>
      <c r="H241" s="12" t="s">
        <v>1</v>
      </c>
      <c r="I241" s="18">
        <v>0.18</v>
      </c>
      <c r="J241" s="19">
        <v>0.21210000000000001</v>
      </c>
      <c r="K241" s="18">
        <v>0.51</v>
      </c>
      <c r="L241" s="12">
        <v>8.9599999999999999E-2</v>
      </c>
      <c r="M241" s="12">
        <v>3</v>
      </c>
      <c r="N241" s="12">
        <v>214</v>
      </c>
      <c r="O241" s="13">
        <v>217</v>
      </c>
    </row>
    <row r="242" spans="1:15" x14ac:dyDescent="0.35">
      <c r="A242" s="10">
        <v>241</v>
      </c>
      <c r="B242" s="11">
        <v>40554</v>
      </c>
      <c r="C242" s="12" t="s">
        <v>4</v>
      </c>
      <c r="D242" s="12" t="str">
        <f t="shared" si="6"/>
        <v>January</v>
      </c>
      <c r="E242" s="12">
        <v>9</v>
      </c>
      <c r="F242" s="12" t="b">
        <v>0</v>
      </c>
      <c r="G242" s="12" t="str">
        <f t="shared" si="7"/>
        <v>Tuesday</v>
      </c>
      <c r="H242" s="12" t="s">
        <v>1</v>
      </c>
      <c r="I242" s="18">
        <v>0.18</v>
      </c>
      <c r="J242" s="19">
        <v>0.19700000000000001</v>
      </c>
      <c r="K242" s="18">
        <v>0.51</v>
      </c>
      <c r="L242" s="12">
        <v>0.16420000000000001</v>
      </c>
      <c r="M242" s="12">
        <v>3</v>
      </c>
      <c r="N242" s="12">
        <v>127</v>
      </c>
      <c r="O242" s="13">
        <v>130</v>
      </c>
    </row>
    <row r="243" spans="1:15" x14ac:dyDescent="0.35">
      <c r="A243" s="10">
        <v>242</v>
      </c>
      <c r="B243" s="11">
        <v>40554</v>
      </c>
      <c r="C243" s="12" t="s">
        <v>4</v>
      </c>
      <c r="D243" s="12" t="str">
        <f t="shared" si="6"/>
        <v>January</v>
      </c>
      <c r="E243" s="12">
        <v>10</v>
      </c>
      <c r="F243" s="12" t="b">
        <v>0</v>
      </c>
      <c r="G243" s="12" t="str">
        <f t="shared" si="7"/>
        <v>Tuesday</v>
      </c>
      <c r="H243" s="12" t="s">
        <v>1</v>
      </c>
      <c r="I243" s="18">
        <v>0.2</v>
      </c>
      <c r="J243" s="19">
        <v>0.21210000000000001</v>
      </c>
      <c r="K243" s="18">
        <v>0.51</v>
      </c>
      <c r="L243" s="12">
        <v>0.16420000000000001</v>
      </c>
      <c r="M243" s="12">
        <v>3</v>
      </c>
      <c r="N243" s="12">
        <v>51</v>
      </c>
      <c r="O243" s="13">
        <v>54</v>
      </c>
    </row>
    <row r="244" spans="1:15" x14ac:dyDescent="0.35">
      <c r="A244" s="10">
        <v>243</v>
      </c>
      <c r="B244" s="11">
        <v>40554</v>
      </c>
      <c r="C244" s="12" t="s">
        <v>4</v>
      </c>
      <c r="D244" s="12" t="str">
        <f t="shared" si="6"/>
        <v>January</v>
      </c>
      <c r="E244" s="12">
        <v>11</v>
      </c>
      <c r="F244" s="12" t="b">
        <v>0</v>
      </c>
      <c r="G244" s="12" t="str">
        <f t="shared" si="7"/>
        <v>Tuesday</v>
      </c>
      <c r="H244" s="12" t="s">
        <v>1</v>
      </c>
      <c r="I244" s="18">
        <v>0.2</v>
      </c>
      <c r="J244" s="19">
        <v>0.21210000000000001</v>
      </c>
      <c r="K244" s="18">
        <v>0.47</v>
      </c>
      <c r="L244" s="12">
        <v>0.1343</v>
      </c>
      <c r="M244" s="12">
        <v>4</v>
      </c>
      <c r="N244" s="12">
        <v>31</v>
      </c>
      <c r="O244" s="13">
        <v>35</v>
      </c>
    </row>
    <row r="245" spans="1:15" x14ac:dyDescent="0.35">
      <c r="A245" s="10">
        <v>244</v>
      </c>
      <c r="B245" s="11">
        <v>40554</v>
      </c>
      <c r="C245" s="12" t="s">
        <v>4</v>
      </c>
      <c r="D245" s="12" t="str">
        <f t="shared" si="6"/>
        <v>January</v>
      </c>
      <c r="E245" s="12">
        <v>12</v>
      </c>
      <c r="F245" s="12" t="b">
        <v>0</v>
      </c>
      <c r="G245" s="12" t="str">
        <f t="shared" si="7"/>
        <v>Tuesday</v>
      </c>
      <c r="H245" s="12" t="s">
        <v>1</v>
      </c>
      <c r="I245" s="18">
        <v>0.2</v>
      </c>
      <c r="J245" s="19">
        <v>0.2273</v>
      </c>
      <c r="K245" s="18">
        <v>0.51</v>
      </c>
      <c r="L245" s="12">
        <v>0.1045</v>
      </c>
      <c r="M245" s="12">
        <v>2</v>
      </c>
      <c r="N245" s="12">
        <v>55</v>
      </c>
      <c r="O245" s="13">
        <v>57</v>
      </c>
    </row>
    <row r="246" spans="1:15" x14ac:dyDescent="0.35">
      <c r="A246" s="10">
        <v>245</v>
      </c>
      <c r="B246" s="11">
        <v>40554</v>
      </c>
      <c r="C246" s="12" t="s">
        <v>4</v>
      </c>
      <c r="D246" s="12" t="str">
        <f t="shared" si="6"/>
        <v>January</v>
      </c>
      <c r="E246" s="12">
        <v>13</v>
      </c>
      <c r="F246" s="12" t="b">
        <v>0</v>
      </c>
      <c r="G246" s="12" t="str">
        <f t="shared" si="7"/>
        <v>Tuesday</v>
      </c>
      <c r="H246" s="12" t="s">
        <v>1</v>
      </c>
      <c r="I246" s="18">
        <v>0.2</v>
      </c>
      <c r="J246" s="19">
        <v>0.2273</v>
      </c>
      <c r="K246" s="18">
        <v>0.59</v>
      </c>
      <c r="L246" s="12">
        <v>8.9599999999999999E-2</v>
      </c>
      <c r="M246" s="12">
        <v>6</v>
      </c>
      <c r="N246" s="12">
        <v>46</v>
      </c>
      <c r="O246" s="13">
        <v>52</v>
      </c>
    </row>
    <row r="247" spans="1:15" x14ac:dyDescent="0.35">
      <c r="A247" s="10">
        <v>246</v>
      </c>
      <c r="B247" s="11">
        <v>40554</v>
      </c>
      <c r="C247" s="12" t="s">
        <v>4</v>
      </c>
      <c r="D247" s="12" t="str">
        <f t="shared" si="6"/>
        <v>January</v>
      </c>
      <c r="E247" s="12">
        <v>14</v>
      </c>
      <c r="F247" s="12" t="b">
        <v>0</v>
      </c>
      <c r="G247" s="12" t="str">
        <f t="shared" si="7"/>
        <v>Tuesday</v>
      </c>
      <c r="H247" s="12" t="s">
        <v>1</v>
      </c>
      <c r="I247" s="18">
        <v>0.2</v>
      </c>
      <c r="J247" s="19">
        <v>0.2273</v>
      </c>
      <c r="K247" s="18">
        <v>0.59</v>
      </c>
      <c r="L247" s="12">
        <v>8.9599999999999999E-2</v>
      </c>
      <c r="M247" s="12">
        <v>3</v>
      </c>
      <c r="N247" s="12">
        <v>60</v>
      </c>
      <c r="O247" s="13">
        <v>63</v>
      </c>
    </row>
    <row r="248" spans="1:15" x14ac:dyDescent="0.35">
      <c r="A248" s="10">
        <v>247</v>
      </c>
      <c r="B248" s="11">
        <v>40554</v>
      </c>
      <c r="C248" s="12" t="s">
        <v>4</v>
      </c>
      <c r="D248" s="12" t="str">
        <f t="shared" si="6"/>
        <v>January</v>
      </c>
      <c r="E248" s="12">
        <v>15</v>
      </c>
      <c r="F248" s="12" t="b">
        <v>0</v>
      </c>
      <c r="G248" s="12" t="str">
        <f t="shared" si="7"/>
        <v>Tuesday</v>
      </c>
      <c r="H248" s="12" t="s">
        <v>1</v>
      </c>
      <c r="I248" s="18">
        <v>0.16</v>
      </c>
      <c r="J248" s="19">
        <v>0.19700000000000001</v>
      </c>
      <c r="K248" s="18">
        <v>0.8</v>
      </c>
      <c r="L248" s="12">
        <v>8.9599999999999999E-2</v>
      </c>
      <c r="M248" s="12">
        <v>2</v>
      </c>
      <c r="N248" s="12">
        <v>45</v>
      </c>
      <c r="O248" s="13">
        <v>47</v>
      </c>
    </row>
    <row r="249" spans="1:15" x14ac:dyDescent="0.35">
      <c r="A249" s="10">
        <v>248</v>
      </c>
      <c r="B249" s="11">
        <v>40554</v>
      </c>
      <c r="C249" s="12" t="s">
        <v>4</v>
      </c>
      <c r="D249" s="12" t="str">
        <f t="shared" si="6"/>
        <v>January</v>
      </c>
      <c r="E249" s="12">
        <v>16</v>
      </c>
      <c r="F249" s="12" t="b">
        <v>0</v>
      </c>
      <c r="G249" s="12" t="str">
        <f t="shared" si="7"/>
        <v>Tuesday</v>
      </c>
      <c r="H249" s="12" t="s">
        <v>1</v>
      </c>
      <c r="I249" s="18">
        <v>0.16</v>
      </c>
      <c r="J249" s="19">
        <v>0.1515</v>
      </c>
      <c r="K249" s="18">
        <v>0.86</v>
      </c>
      <c r="L249" s="12">
        <v>0.22389999999999999</v>
      </c>
      <c r="M249" s="12">
        <v>4</v>
      </c>
      <c r="N249" s="12">
        <v>72</v>
      </c>
      <c r="O249" s="13">
        <v>76</v>
      </c>
    </row>
    <row r="250" spans="1:15" x14ac:dyDescent="0.35">
      <c r="A250" s="10">
        <v>249</v>
      </c>
      <c r="B250" s="11">
        <v>40554</v>
      </c>
      <c r="C250" s="12" t="s">
        <v>4</v>
      </c>
      <c r="D250" s="12" t="str">
        <f t="shared" si="6"/>
        <v>January</v>
      </c>
      <c r="E250" s="12">
        <v>17</v>
      </c>
      <c r="F250" s="12" t="b">
        <v>0</v>
      </c>
      <c r="G250" s="12" t="str">
        <f t="shared" si="7"/>
        <v>Tuesday</v>
      </c>
      <c r="H250" s="12" t="s">
        <v>1</v>
      </c>
      <c r="I250" s="18">
        <v>0.16</v>
      </c>
      <c r="J250" s="19">
        <v>0.1515</v>
      </c>
      <c r="K250" s="18">
        <v>0.86</v>
      </c>
      <c r="L250" s="12">
        <v>0.22389999999999999</v>
      </c>
      <c r="M250" s="12">
        <v>6</v>
      </c>
      <c r="N250" s="12">
        <v>130</v>
      </c>
      <c r="O250" s="13">
        <v>136</v>
      </c>
    </row>
    <row r="251" spans="1:15" x14ac:dyDescent="0.35">
      <c r="A251" s="10">
        <v>250</v>
      </c>
      <c r="B251" s="11">
        <v>40554</v>
      </c>
      <c r="C251" s="12" t="s">
        <v>4</v>
      </c>
      <c r="D251" s="12" t="str">
        <f t="shared" si="6"/>
        <v>January</v>
      </c>
      <c r="E251" s="12">
        <v>18</v>
      </c>
      <c r="F251" s="12" t="b">
        <v>0</v>
      </c>
      <c r="G251" s="12" t="str">
        <f t="shared" si="7"/>
        <v>Tuesday</v>
      </c>
      <c r="H251" s="12" t="s">
        <v>2</v>
      </c>
      <c r="I251" s="18">
        <v>0.16</v>
      </c>
      <c r="J251" s="19">
        <v>0.18179999999999999</v>
      </c>
      <c r="K251" s="18">
        <v>0.93</v>
      </c>
      <c r="L251" s="12">
        <v>0.1045</v>
      </c>
      <c r="M251" s="12">
        <v>1</v>
      </c>
      <c r="N251" s="12">
        <v>94</v>
      </c>
      <c r="O251" s="13">
        <v>95</v>
      </c>
    </row>
    <row r="252" spans="1:15" x14ac:dyDescent="0.35">
      <c r="A252" s="10">
        <v>251</v>
      </c>
      <c r="B252" s="11">
        <v>40554</v>
      </c>
      <c r="C252" s="12" t="s">
        <v>4</v>
      </c>
      <c r="D252" s="12" t="str">
        <f t="shared" si="6"/>
        <v>January</v>
      </c>
      <c r="E252" s="12">
        <v>19</v>
      </c>
      <c r="F252" s="12" t="b">
        <v>0</v>
      </c>
      <c r="G252" s="12" t="str">
        <f t="shared" si="7"/>
        <v>Tuesday</v>
      </c>
      <c r="H252" s="12" t="s">
        <v>2</v>
      </c>
      <c r="I252" s="18">
        <v>0.16</v>
      </c>
      <c r="J252" s="19">
        <v>0.2273</v>
      </c>
      <c r="K252" s="18">
        <v>0.93</v>
      </c>
      <c r="L252" s="12">
        <v>0</v>
      </c>
      <c r="M252" s="12">
        <v>0</v>
      </c>
      <c r="N252" s="12">
        <v>51</v>
      </c>
      <c r="O252" s="13">
        <v>51</v>
      </c>
    </row>
    <row r="253" spans="1:15" x14ac:dyDescent="0.35">
      <c r="A253" s="10">
        <v>252</v>
      </c>
      <c r="B253" s="11">
        <v>40554</v>
      </c>
      <c r="C253" s="12" t="s">
        <v>4</v>
      </c>
      <c r="D253" s="12" t="str">
        <f t="shared" si="6"/>
        <v>January</v>
      </c>
      <c r="E253" s="12">
        <v>20</v>
      </c>
      <c r="F253" s="12" t="b">
        <v>0</v>
      </c>
      <c r="G253" s="12" t="str">
        <f t="shared" si="7"/>
        <v>Tuesday</v>
      </c>
      <c r="H253" s="12" t="s">
        <v>2</v>
      </c>
      <c r="I253" s="18">
        <v>0.16</v>
      </c>
      <c r="J253" s="19">
        <v>0.1515</v>
      </c>
      <c r="K253" s="18">
        <v>0.93</v>
      </c>
      <c r="L253" s="12">
        <v>0.19400000000000001</v>
      </c>
      <c r="M253" s="12">
        <v>0</v>
      </c>
      <c r="N253" s="12">
        <v>32</v>
      </c>
      <c r="O253" s="13">
        <v>32</v>
      </c>
    </row>
    <row r="254" spans="1:15" x14ac:dyDescent="0.35">
      <c r="A254" s="10">
        <v>253</v>
      </c>
      <c r="B254" s="11">
        <v>40554</v>
      </c>
      <c r="C254" s="12" t="s">
        <v>4</v>
      </c>
      <c r="D254" s="12" t="str">
        <f t="shared" si="6"/>
        <v>January</v>
      </c>
      <c r="E254" s="12">
        <v>21</v>
      </c>
      <c r="F254" s="12" t="b">
        <v>0</v>
      </c>
      <c r="G254" s="12" t="str">
        <f t="shared" si="7"/>
        <v>Tuesday</v>
      </c>
      <c r="H254" s="12" t="s">
        <v>2</v>
      </c>
      <c r="I254" s="18">
        <v>0.16</v>
      </c>
      <c r="J254" s="19">
        <v>0.19700000000000001</v>
      </c>
      <c r="K254" s="18">
        <v>0.86</v>
      </c>
      <c r="L254" s="12">
        <v>8.9599999999999999E-2</v>
      </c>
      <c r="M254" s="12">
        <v>0</v>
      </c>
      <c r="N254" s="12">
        <v>20</v>
      </c>
      <c r="O254" s="13">
        <v>20</v>
      </c>
    </row>
    <row r="255" spans="1:15" x14ac:dyDescent="0.35">
      <c r="A255" s="10">
        <v>254</v>
      </c>
      <c r="B255" s="11">
        <v>40554</v>
      </c>
      <c r="C255" s="12" t="s">
        <v>4</v>
      </c>
      <c r="D255" s="12" t="str">
        <f t="shared" si="6"/>
        <v>January</v>
      </c>
      <c r="E255" s="12">
        <v>22</v>
      </c>
      <c r="F255" s="12" t="b">
        <v>0</v>
      </c>
      <c r="G255" s="12" t="str">
        <f t="shared" si="7"/>
        <v>Tuesday</v>
      </c>
      <c r="H255" s="12" t="s">
        <v>2</v>
      </c>
      <c r="I255" s="18">
        <v>0.16</v>
      </c>
      <c r="J255" s="19">
        <v>0.18179999999999999</v>
      </c>
      <c r="K255" s="18">
        <v>0.93</v>
      </c>
      <c r="L255" s="12">
        <v>0.1045</v>
      </c>
      <c r="M255" s="12">
        <v>1</v>
      </c>
      <c r="N255" s="12">
        <v>28</v>
      </c>
      <c r="O255" s="13">
        <v>29</v>
      </c>
    </row>
    <row r="256" spans="1:15" x14ac:dyDescent="0.35">
      <c r="A256" s="10">
        <v>255</v>
      </c>
      <c r="B256" s="11">
        <v>40554</v>
      </c>
      <c r="C256" s="12" t="s">
        <v>4</v>
      </c>
      <c r="D256" s="12" t="str">
        <f t="shared" si="6"/>
        <v>January</v>
      </c>
      <c r="E256" s="12">
        <v>23</v>
      </c>
      <c r="F256" s="12" t="b">
        <v>0</v>
      </c>
      <c r="G256" s="12" t="str">
        <f t="shared" si="7"/>
        <v>Tuesday</v>
      </c>
      <c r="H256" s="12" t="s">
        <v>2</v>
      </c>
      <c r="I256" s="18">
        <v>0.16</v>
      </c>
      <c r="J256" s="19">
        <v>0.19700000000000001</v>
      </c>
      <c r="K256" s="18">
        <v>0.93</v>
      </c>
      <c r="L256" s="12">
        <v>8.9599999999999999E-2</v>
      </c>
      <c r="M256" s="12">
        <v>1</v>
      </c>
      <c r="N256" s="12">
        <v>18</v>
      </c>
      <c r="O256" s="13">
        <v>19</v>
      </c>
    </row>
    <row r="257" spans="1:15" x14ac:dyDescent="0.35">
      <c r="A257" s="10">
        <v>256</v>
      </c>
      <c r="B257" s="11">
        <v>40555</v>
      </c>
      <c r="C257" s="12" t="s">
        <v>4</v>
      </c>
      <c r="D257" s="12" t="str">
        <f t="shared" si="6"/>
        <v>January</v>
      </c>
      <c r="E257" s="12">
        <v>0</v>
      </c>
      <c r="F257" s="12" t="b">
        <v>0</v>
      </c>
      <c r="G257" s="12" t="str">
        <f t="shared" si="7"/>
        <v>Wednesday</v>
      </c>
      <c r="H257" s="12" t="s">
        <v>1</v>
      </c>
      <c r="I257" s="18">
        <v>0.16</v>
      </c>
      <c r="J257" s="19">
        <v>0.19700000000000001</v>
      </c>
      <c r="K257" s="18">
        <v>0.86</v>
      </c>
      <c r="L257" s="12">
        <v>8.9599999999999999E-2</v>
      </c>
      <c r="M257" s="12">
        <v>0</v>
      </c>
      <c r="N257" s="12">
        <v>7</v>
      </c>
      <c r="O257" s="13">
        <v>7</v>
      </c>
    </row>
    <row r="258" spans="1:15" x14ac:dyDescent="0.35">
      <c r="A258" s="10">
        <v>257</v>
      </c>
      <c r="B258" s="11">
        <v>40555</v>
      </c>
      <c r="C258" s="12" t="s">
        <v>4</v>
      </c>
      <c r="D258" s="12" t="str">
        <f t="shared" si="6"/>
        <v>January</v>
      </c>
      <c r="E258" s="12">
        <v>1</v>
      </c>
      <c r="F258" s="12" t="b">
        <v>0</v>
      </c>
      <c r="G258" s="12" t="str">
        <f t="shared" si="7"/>
        <v>Wednesday</v>
      </c>
      <c r="H258" s="12" t="s">
        <v>1</v>
      </c>
      <c r="I258" s="18">
        <v>0.16</v>
      </c>
      <c r="J258" s="19">
        <v>0.18179999999999999</v>
      </c>
      <c r="K258" s="18">
        <v>0.86</v>
      </c>
      <c r="L258" s="12">
        <v>0.1045</v>
      </c>
      <c r="M258" s="12">
        <v>0</v>
      </c>
      <c r="N258" s="12">
        <v>6</v>
      </c>
      <c r="O258" s="13">
        <v>6</v>
      </c>
    </row>
    <row r="259" spans="1:15" x14ac:dyDescent="0.35">
      <c r="A259" s="10">
        <v>258</v>
      </c>
      <c r="B259" s="11">
        <v>40555</v>
      </c>
      <c r="C259" s="12" t="s">
        <v>4</v>
      </c>
      <c r="D259" s="12" t="str">
        <f t="shared" ref="D259:D322" si="8">TEXT(B259,"mmmm")</f>
        <v>January</v>
      </c>
      <c r="E259" s="12">
        <v>2</v>
      </c>
      <c r="F259" s="12" t="b">
        <v>0</v>
      </c>
      <c r="G259" s="12" t="str">
        <f t="shared" ref="G259:G322" si="9">TEXT(B259,"dddd")</f>
        <v>Wednesday</v>
      </c>
      <c r="H259" s="12" t="s">
        <v>0</v>
      </c>
      <c r="I259" s="18">
        <v>0.14000000000000001</v>
      </c>
      <c r="J259" s="19">
        <v>0.1515</v>
      </c>
      <c r="K259" s="18">
        <v>0.86</v>
      </c>
      <c r="L259" s="12">
        <v>0.1343</v>
      </c>
      <c r="M259" s="12">
        <v>0</v>
      </c>
      <c r="N259" s="12">
        <v>1</v>
      </c>
      <c r="O259" s="13">
        <v>1</v>
      </c>
    </row>
    <row r="260" spans="1:15" x14ac:dyDescent="0.35">
      <c r="A260" s="10">
        <v>259</v>
      </c>
      <c r="B260" s="11">
        <v>40555</v>
      </c>
      <c r="C260" s="12" t="s">
        <v>4</v>
      </c>
      <c r="D260" s="12" t="str">
        <f t="shared" si="8"/>
        <v>January</v>
      </c>
      <c r="E260" s="12">
        <v>5</v>
      </c>
      <c r="F260" s="12" t="b">
        <v>0</v>
      </c>
      <c r="G260" s="12" t="str">
        <f t="shared" si="9"/>
        <v>Wednesday</v>
      </c>
      <c r="H260" s="12" t="s">
        <v>0</v>
      </c>
      <c r="I260" s="18">
        <v>0.14000000000000001</v>
      </c>
      <c r="J260" s="19">
        <v>0.1515</v>
      </c>
      <c r="K260" s="18">
        <v>0.86</v>
      </c>
      <c r="L260" s="12">
        <v>0.16420000000000001</v>
      </c>
      <c r="M260" s="12">
        <v>0</v>
      </c>
      <c r="N260" s="12">
        <v>5</v>
      </c>
      <c r="O260" s="13">
        <v>5</v>
      </c>
    </row>
    <row r="261" spans="1:15" x14ac:dyDescent="0.35">
      <c r="A261" s="10">
        <v>260</v>
      </c>
      <c r="B261" s="11">
        <v>40555</v>
      </c>
      <c r="C261" s="12" t="s">
        <v>4</v>
      </c>
      <c r="D261" s="12" t="str">
        <f t="shared" si="8"/>
        <v>January</v>
      </c>
      <c r="E261" s="12">
        <v>6</v>
      </c>
      <c r="F261" s="12" t="b">
        <v>0</v>
      </c>
      <c r="G261" s="12" t="str">
        <f t="shared" si="9"/>
        <v>Wednesday</v>
      </c>
      <c r="H261" s="12" t="s">
        <v>0</v>
      </c>
      <c r="I261" s="18">
        <v>0.12</v>
      </c>
      <c r="J261" s="19">
        <v>0.1515</v>
      </c>
      <c r="K261" s="18">
        <v>0.93</v>
      </c>
      <c r="L261" s="12">
        <v>0.1343</v>
      </c>
      <c r="M261" s="12">
        <v>0</v>
      </c>
      <c r="N261" s="12">
        <v>16</v>
      </c>
      <c r="O261" s="13">
        <v>16</v>
      </c>
    </row>
    <row r="262" spans="1:15" x14ac:dyDescent="0.35">
      <c r="A262" s="10">
        <v>261</v>
      </c>
      <c r="B262" s="11">
        <v>40555</v>
      </c>
      <c r="C262" s="12" t="s">
        <v>4</v>
      </c>
      <c r="D262" s="12" t="str">
        <f t="shared" si="8"/>
        <v>January</v>
      </c>
      <c r="E262" s="12">
        <v>7</v>
      </c>
      <c r="F262" s="12" t="b">
        <v>0</v>
      </c>
      <c r="G262" s="12" t="str">
        <f t="shared" si="9"/>
        <v>Wednesday</v>
      </c>
      <c r="H262" s="12" t="s">
        <v>0</v>
      </c>
      <c r="I262" s="18">
        <v>0.14000000000000001</v>
      </c>
      <c r="J262" s="19">
        <v>0.1515</v>
      </c>
      <c r="K262" s="18">
        <v>0.69</v>
      </c>
      <c r="L262" s="12">
        <v>0.1343</v>
      </c>
      <c r="M262" s="12">
        <v>0</v>
      </c>
      <c r="N262" s="12">
        <v>54</v>
      </c>
      <c r="O262" s="13">
        <v>54</v>
      </c>
    </row>
    <row r="263" spans="1:15" x14ac:dyDescent="0.35">
      <c r="A263" s="10">
        <v>262</v>
      </c>
      <c r="B263" s="11">
        <v>40555</v>
      </c>
      <c r="C263" s="12" t="s">
        <v>4</v>
      </c>
      <c r="D263" s="12" t="str">
        <f t="shared" si="8"/>
        <v>January</v>
      </c>
      <c r="E263" s="12">
        <v>8</v>
      </c>
      <c r="F263" s="12" t="b">
        <v>0</v>
      </c>
      <c r="G263" s="12" t="str">
        <f t="shared" si="9"/>
        <v>Wednesday</v>
      </c>
      <c r="H263" s="12" t="s">
        <v>0</v>
      </c>
      <c r="I263" s="18">
        <v>0.16</v>
      </c>
      <c r="J263" s="19">
        <v>0.16669999999999999</v>
      </c>
      <c r="K263" s="18">
        <v>0.59</v>
      </c>
      <c r="L263" s="12">
        <v>0.16420000000000001</v>
      </c>
      <c r="M263" s="12">
        <v>3</v>
      </c>
      <c r="N263" s="12">
        <v>125</v>
      </c>
      <c r="O263" s="13">
        <v>128</v>
      </c>
    </row>
    <row r="264" spans="1:15" x14ac:dyDescent="0.35">
      <c r="A264" s="10">
        <v>263</v>
      </c>
      <c r="B264" s="11">
        <v>40555</v>
      </c>
      <c r="C264" s="12" t="s">
        <v>4</v>
      </c>
      <c r="D264" s="12" t="str">
        <f t="shared" si="8"/>
        <v>January</v>
      </c>
      <c r="E264" s="12">
        <v>9</v>
      </c>
      <c r="F264" s="12" t="b">
        <v>0</v>
      </c>
      <c r="G264" s="12" t="str">
        <f t="shared" si="9"/>
        <v>Wednesday</v>
      </c>
      <c r="H264" s="12" t="s">
        <v>0</v>
      </c>
      <c r="I264" s="18">
        <v>0.16</v>
      </c>
      <c r="J264" s="19">
        <v>0.13639999999999999</v>
      </c>
      <c r="K264" s="18">
        <v>0.59</v>
      </c>
      <c r="L264" s="12">
        <v>0.32840000000000003</v>
      </c>
      <c r="M264" s="12">
        <v>3</v>
      </c>
      <c r="N264" s="12">
        <v>78</v>
      </c>
      <c r="O264" s="13">
        <v>81</v>
      </c>
    </row>
    <row r="265" spans="1:15" x14ac:dyDescent="0.35">
      <c r="A265" s="10">
        <v>264</v>
      </c>
      <c r="B265" s="11">
        <v>40555</v>
      </c>
      <c r="C265" s="12" t="s">
        <v>4</v>
      </c>
      <c r="D265" s="12" t="str">
        <f t="shared" si="8"/>
        <v>January</v>
      </c>
      <c r="E265" s="12">
        <v>10</v>
      </c>
      <c r="F265" s="12" t="b">
        <v>0</v>
      </c>
      <c r="G265" s="12" t="str">
        <f t="shared" si="9"/>
        <v>Wednesday</v>
      </c>
      <c r="H265" s="12" t="s">
        <v>0</v>
      </c>
      <c r="I265" s="18">
        <v>0.18</v>
      </c>
      <c r="J265" s="19">
        <v>0.18179999999999999</v>
      </c>
      <c r="K265" s="18">
        <v>0.55000000000000004</v>
      </c>
      <c r="L265" s="12">
        <v>0.22389999999999999</v>
      </c>
      <c r="M265" s="12">
        <v>0</v>
      </c>
      <c r="N265" s="12">
        <v>39</v>
      </c>
      <c r="O265" s="13">
        <v>39</v>
      </c>
    </row>
    <row r="266" spans="1:15" x14ac:dyDescent="0.35">
      <c r="A266" s="10">
        <v>265</v>
      </c>
      <c r="B266" s="11">
        <v>40555</v>
      </c>
      <c r="C266" s="12" t="s">
        <v>4</v>
      </c>
      <c r="D266" s="12" t="str">
        <f t="shared" si="8"/>
        <v>January</v>
      </c>
      <c r="E266" s="12">
        <v>11</v>
      </c>
      <c r="F266" s="12" t="b">
        <v>0</v>
      </c>
      <c r="G266" s="12" t="str">
        <f t="shared" si="9"/>
        <v>Wednesday</v>
      </c>
      <c r="H266" s="12" t="s">
        <v>0</v>
      </c>
      <c r="I266" s="18">
        <v>0.2</v>
      </c>
      <c r="J266" s="19">
        <v>0.18179999999999999</v>
      </c>
      <c r="K266" s="18">
        <v>0.51</v>
      </c>
      <c r="L266" s="12">
        <v>0.3881</v>
      </c>
      <c r="M266" s="12">
        <v>3</v>
      </c>
      <c r="N266" s="12">
        <v>32</v>
      </c>
      <c r="O266" s="13">
        <v>35</v>
      </c>
    </row>
    <row r="267" spans="1:15" x14ac:dyDescent="0.35">
      <c r="A267" s="10">
        <v>266</v>
      </c>
      <c r="B267" s="11">
        <v>40555</v>
      </c>
      <c r="C267" s="12" t="s">
        <v>4</v>
      </c>
      <c r="D267" s="12" t="str">
        <f t="shared" si="8"/>
        <v>January</v>
      </c>
      <c r="E267" s="12">
        <v>12</v>
      </c>
      <c r="F267" s="12" t="b">
        <v>0</v>
      </c>
      <c r="G267" s="12" t="str">
        <f t="shared" si="9"/>
        <v>Wednesday</v>
      </c>
      <c r="H267" s="12" t="s">
        <v>0</v>
      </c>
      <c r="I267" s="18">
        <v>0.2</v>
      </c>
      <c r="J267" s="19">
        <v>0.1515</v>
      </c>
      <c r="K267" s="18">
        <v>0.47</v>
      </c>
      <c r="L267" s="12">
        <v>0.58209999999999995</v>
      </c>
      <c r="M267" s="12">
        <v>3</v>
      </c>
      <c r="N267" s="12">
        <v>52</v>
      </c>
      <c r="O267" s="13">
        <v>55</v>
      </c>
    </row>
    <row r="268" spans="1:15" x14ac:dyDescent="0.35">
      <c r="A268" s="10">
        <v>267</v>
      </c>
      <c r="B268" s="11">
        <v>40555</v>
      </c>
      <c r="C268" s="12" t="s">
        <v>4</v>
      </c>
      <c r="D268" s="12" t="str">
        <f t="shared" si="8"/>
        <v>January</v>
      </c>
      <c r="E268" s="12">
        <v>13</v>
      </c>
      <c r="F268" s="12" t="b">
        <v>0</v>
      </c>
      <c r="G268" s="12" t="str">
        <f t="shared" si="9"/>
        <v>Wednesday</v>
      </c>
      <c r="H268" s="12" t="s">
        <v>0</v>
      </c>
      <c r="I268" s="18">
        <v>0.22</v>
      </c>
      <c r="J268" s="19">
        <v>0.19700000000000001</v>
      </c>
      <c r="K268" s="18">
        <v>0.44</v>
      </c>
      <c r="L268" s="12">
        <v>0.35820000000000002</v>
      </c>
      <c r="M268" s="12">
        <v>0</v>
      </c>
      <c r="N268" s="12">
        <v>49</v>
      </c>
      <c r="O268" s="13">
        <v>49</v>
      </c>
    </row>
    <row r="269" spans="1:15" x14ac:dyDescent="0.35">
      <c r="A269" s="10">
        <v>268</v>
      </c>
      <c r="B269" s="11">
        <v>40555</v>
      </c>
      <c r="C269" s="12" t="s">
        <v>4</v>
      </c>
      <c r="D269" s="12" t="str">
        <f t="shared" si="8"/>
        <v>January</v>
      </c>
      <c r="E269" s="12">
        <v>14</v>
      </c>
      <c r="F269" s="12" t="b">
        <v>0</v>
      </c>
      <c r="G269" s="12" t="str">
        <f t="shared" si="9"/>
        <v>Wednesday</v>
      </c>
      <c r="H269" s="12" t="s">
        <v>0</v>
      </c>
      <c r="I269" s="18">
        <v>0.2</v>
      </c>
      <c r="J269" s="19">
        <v>0.18179999999999999</v>
      </c>
      <c r="K269" s="18">
        <v>0.47</v>
      </c>
      <c r="L269" s="12">
        <v>0.32840000000000003</v>
      </c>
      <c r="M269" s="12">
        <v>0</v>
      </c>
      <c r="N269" s="12">
        <v>44</v>
      </c>
      <c r="O269" s="13">
        <v>44</v>
      </c>
    </row>
    <row r="270" spans="1:15" x14ac:dyDescent="0.35">
      <c r="A270" s="10">
        <v>269</v>
      </c>
      <c r="B270" s="11">
        <v>40555</v>
      </c>
      <c r="C270" s="12" t="s">
        <v>4</v>
      </c>
      <c r="D270" s="12" t="str">
        <f t="shared" si="8"/>
        <v>January</v>
      </c>
      <c r="E270" s="12">
        <v>15</v>
      </c>
      <c r="F270" s="12" t="b">
        <v>0</v>
      </c>
      <c r="G270" s="12" t="str">
        <f t="shared" si="9"/>
        <v>Wednesday</v>
      </c>
      <c r="H270" s="12" t="s">
        <v>0</v>
      </c>
      <c r="I270" s="18">
        <v>0.2</v>
      </c>
      <c r="J270" s="19">
        <v>0.16669999999999999</v>
      </c>
      <c r="K270" s="18">
        <v>0.47</v>
      </c>
      <c r="L270" s="12">
        <v>0.41789999999999999</v>
      </c>
      <c r="M270" s="12">
        <v>1</v>
      </c>
      <c r="N270" s="12">
        <v>48</v>
      </c>
      <c r="O270" s="13">
        <v>49</v>
      </c>
    </row>
    <row r="271" spans="1:15" x14ac:dyDescent="0.35">
      <c r="A271" s="10">
        <v>270</v>
      </c>
      <c r="B271" s="11">
        <v>40555</v>
      </c>
      <c r="C271" s="12" t="s">
        <v>4</v>
      </c>
      <c r="D271" s="12" t="str">
        <f t="shared" si="8"/>
        <v>January</v>
      </c>
      <c r="E271" s="12">
        <v>16</v>
      </c>
      <c r="F271" s="12" t="b">
        <v>0</v>
      </c>
      <c r="G271" s="12" t="str">
        <f t="shared" si="9"/>
        <v>Wednesday</v>
      </c>
      <c r="H271" s="12" t="s">
        <v>0</v>
      </c>
      <c r="I271" s="18">
        <v>0.22</v>
      </c>
      <c r="J271" s="19">
        <v>0.19700000000000001</v>
      </c>
      <c r="K271" s="18">
        <v>0.44</v>
      </c>
      <c r="L271" s="12">
        <v>0.32840000000000003</v>
      </c>
      <c r="M271" s="12">
        <v>5</v>
      </c>
      <c r="N271" s="12">
        <v>63</v>
      </c>
      <c r="O271" s="13">
        <v>68</v>
      </c>
    </row>
    <row r="272" spans="1:15" x14ac:dyDescent="0.35">
      <c r="A272" s="10">
        <v>271</v>
      </c>
      <c r="B272" s="11">
        <v>40555</v>
      </c>
      <c r="C272" s="12" t="s">
        <v>4</v>
      </c>
      <c r="D272" s="12" t="str">
        <f t="shared" si="8"/>
        <v>January</v>
      </c>
      <c r="E272" s="12">
        <v>17</v>
      </c>
      <c r="F272" s="12" t="b">
        <v>0</v>
      </c>
      <c r="G272" s="12" t="str">
        <f t="shared" si="9"/>
        <v>Wednesday</v>
      </c>
      <c r="H272" s="12" t="s">
        <v>0</v>
      </c>
      <c r="I272" s="18">
        <v>0.2</v>
      </c>
      <c r="J272" s="19">
        <v>0.18179999999999999</v>
      </c>
      <c r="K272" s="18">
        <v>0.47</v>
      </c>
      <c r="L272" s="12">
        <v>0.35820000000000002</v>
      </c>
      <c r="M272" s="12">
        <v>0</v>
      </c>
      <c r="N272" s="12">
        <v>139</v>
      </c>
      <c r="O272" s="13">
        <v>139</v>
      </c>
    </row>
    <row r="273" spans="1:15" x14ac:dyDescent="0.35">
      <c r="A273" s="10">
        <v>272</v>
      </c>
      <c r="B273" s="11">
        <v>40555</v>
      </c>
      <c r="C273" s="12" t="s">
        <v>4</v>
      </c>
      <c r="D273" s="12" t="str">
        <f t="shared" si="8"/>
        <v>January</v>
      </c>
      <c r="E273" s="12">
        <v>18</v>
      </c>
      <c r="F273" s="12" t="b">
        <v>0</v>
      </c>
      <c r="G273" s="12" t="str">
        <f t="shared" si="9"/>
        <v>Wednesday</v>
      </c>
      <c r="H273" s="12" t="s">
        <v>0</v>
      </c>
      <c r="I273" s="18">
        <v>0.2</v>
      </c>
      <c r="J273" s="19">
        <v>0.1515</v>
      </c>
      <c r="K273" s="18">
        <v>0.47</v>
      </c>
      <c r="L273" s="12">
        <v>0.52239999999999998</v>
      </c>
      <c r="M273" s="12">
        <v>2</v>
      </c>
      <c r="N273" s="12">
        <v>135</v>
      </c>
      <c r="O273" s="13">
        <v>137</v>
      </c>
    </row>
    <row r="274" spans="1:15" x14ac:dyDescent="0.35">
      <c r="A274" s="10">
        <v>273</v>
      </c>
      <c r="B274" s="11">
        <v>40555</v>
      </c>
      <c r="C274" s="12" t="s">
        <v>4</v>
      </c>
      <c r="D274" s="12" t="str">
        <f t="shared" si="8"/>
        <v>January</v>
      </c>
      <c r="E274" s="12">
        <v>19</v>
      </c>
      <c r="F274" s="12" t="b">
        <v>0</v>
      </c>
      <c r="G274" s="12" t="str">
        <f t="shared" si="9"/>
        <v>Wednesday</v>
      </c>
      <c r="H274" s="12" t="s">
        <v>0</v>
      </c>
      <c r="I274" s="18">
        <v>0.18</v>
      </c>
      <c r="J274" s="19">
        <v>0.1515</v>
      </c>
      <c r="K274" s="18">
        <v>0.47</v>
      </c>
      <c r="L274" s="12">
        <v>0.41789999999999999</v>
      </c>
      <c r="M274" s="12">
        <v>1</v>
      </c>
      <c r="N274" s="12">
        <v>82</v>
      </c>
      <c r="O274" s="13">
        <v>83</v>
      </c>
    </row>
    <row r="275" spans="1:15" x14ac:dyDescent="0.35">
      <c r="A275" s="10">
        <v>274</v>
      </c>
      <c r="B275" s="11">
        <v>40555</v>
      </c>
      <c r="C275" s="12" t="s">
        <v>4</v>
      </c>
      <c r="D275" s="12" t="str">
        <f t="shared" si="8"/>
        <v>January</v>
      </c>
      <c r="E275" s="12">
        <v>20</v>
      </c>
      <c r="F275" s="12" t="b">
        <v>0</v>
      </c>
      <c r="G275" s="12" t="str">
        <f t="shared" si="9"/>
        <v>Wednesday</v>
      </c>
      <c r="H275" s="12" t="s">
        <v>0</v>
      </c>
      <c r="I275" s="18">
        <v>0.16</v>
      </c>
      <c r="J275" s="19">
        <v>0.13639999999999999</v>
      </c>
      <c r="K275" s="18">
        <v>0.5</v>
      </c>
      <c r="L275" s="12">
        <v>0.32840000000000003</v>
      </c>
      <c r="M275" s="12">
        <v>2</v>
      </c>
      <c r="N275" s="12">
        <v>54</v>
      </c>
      <c r="O275" s="13">
        <v>56</v>
      </c>
    </row>
    <row r="276" spans="1:15" x14ac:dyDescent="0.35">
      <c r="A276" s="10">
        <v>275</v>
      </c>
      <c r="B276" s="11">
        <v>40555</v>
      </c>
      <c r="C276" s="12" t="s">
        <v>4</v>
      </c>
      <c r="D276" s="12" t="str">
        <f t="shared" si="8"/>
        <v>January</v>
      </c>
      <c r="E276" s="12">
        <v>21</v>
      </c>
      <c r="F276" s="12" t="b">
        <v>0</v>
      </c>
      <c r="G276" s="12" t="str">
        <f t="shared" si="9"/>
        <v>Wednesday</v>
      </c>
      <c r="H276" s="12" t="s">
        <v>0</v>
      </c>
      <c r="I276" s="18">
        <v>0.16</v>
      </c>
      <c r="J276" s="19">
        <v>0.13639999999999999</v>
      </c>
      <c r="K276" s="18">
        <v>0.55000000000000004</v>
      </c>
      <c r="L276" s="12">
        <v>0.32840000000000003</v>
      </c>
      <c r="M276" s="12">
        <v>0</v>
      </c>
      <c r="N276" s="12">
        <v>57</v>
      </c>
      <c r="O276" s="13">
        <v>57</v>
      </c>
    </row>
    <row r="277" spans="1:15" x14ac:dyDescent="0.35">
      <c r="A277" s="10">
        <v>276</v>
      </c>
      <c r="B277" s="11">
        <v>40555</v>
      </c>
      <c r="C277" s="12" t="s">
        <v>4</v>
      </c>
      <c r="D277" s="12" t="str">
        <f t="shared" si="8"/>
        <v>January</v>
      </c>
      <c r="E277" s="12">
        <v>22</v>
      </c>
      <c r="F277" s="12" t="b">
        <v>0</v>
      </c>
      <c r="G277" s="12" t="str">
        <f t="shared" si="9"/>
        <v>Wednesday</v>
      </c>
      <c r="H277" s="12" t="s">
        <v>0</v>
      </c>
      <c r="I277" s="18">
        <v>0.16</v>
      </c>
      <c r="J277" s="19">
        <v>0.1212</v>
      </c>
      <c r="K277" s="18">
        <v>0.55000000000000004</v>
      </c>
      <c r="L277" s="12">
        <v>0.44779999999999998</v>
      </c>
      <c r="M277" s="12">
        <v>1</v>
      </c>
      <c r="N277" s="12">
        <v>32</v>
      </c>
      <c r="O277" s="13">
        <v>33</v>
      </c>
    </row>
    <row r="278" spans="1:15" x14ac:dyDescent="0.35">
      <c r="A278" s="10">
        <v>277</v>
      </c>
      <c r="B278" s="11">
        <v>40555</v>
      </c>
      <c r="C278" s="12" t="s">
        <v>4</v>
      </c>
      <c r="D278" s="12" t="str">
        <f t="shared" si="8"/>
        <v>January</v>
      </c>
      <c r="E278" s="12">
        <v>23</v>
      </c>
      <c r="F278" s="12" t="b">
        <v>0</v>
      </c>
      <c r="G278" s="12" t="str">
        <f t="shared" si="9"/>
        <v>Wednesday</v>
      </c>
      <c r="H278" s="12" t="s">
        <v>0</v>
      </c>
      <c r="I278" s="18">
        <v>0.14000000000000001</v>
      </c>
      <c r="J278" s="19">
        <v>0.1061</v>
      </c>
      <c r="K278" s="18">
        <v>0.59</v>
      </c>
      <c r="L278" s="12">
        <v>0.41789999999999999</v>
      </c>
      <c r="M278" s="12">
        <v>1</v>
      </c>
      <c r="N278" s="12">
        <v>19</v>
      </c>
      <c r="O278" s="13">
        <v>20</v>
      </c>
    </row>
    <row r="279" spans="1:15" x14ac:dyDescent="0.35">
      <c r="A279" s="10">
        <v>278</v>
      </c>
      <c r="B279" s="11">
        <v>40556</v>
      </c>
      <c r="C279" s="12" t="s">
        <v>4</v>
      </c>
      <c r="D279" s="12" t="str">
        <f t="shared" si="8"/>
        <v>January</v>
      </c>
      <c r="E279" s="12">
        <v>0</v>
      </c>
      <c r="F279" s="12" t="b">
        <v>0</v>
      </c>
      <c r="G279" s="12" t="str">
        <f t="shared" si="9"/>
        <v>Thursday</v>
      </c>
      <c r="H279" s="12" t="s">
        <v>0</v>
      </c>
      <c r="I279" s="18">
        <v>0.14000000000000001</v>
      </c>
      <c r="J279" s="19">
        <v>0.1212</v>
      </c>
      <c r="K279" s="18">
        <v>0.59</v>
      </c>
      <c r="L279" s="12">
        <v>0.28360000000000002</v>
      </c>
      <c r="M279" s="12">
        <v>1</v>
      </c>
      <c r="N279" s="12">
        <v>6</v>
      </c>
      <c r="O279" s="13">
        <v>7</v>
      </c>
    </row>
    <row r="280" spans="1:15" x14ac:dyDescent="0.35">
      <c r="A280" s="10">
        <v>279</v>
      </c>
      <c r="B280" s="11">
        <v>40556</v>
      </c>
      <c r="C280" s="12" t="s">
        <v>4</v>
      </c>
      <c r="D280" s="12" t="str">
        <f t="shared" si="8"/>
        <v>January</v>
      </c>
      <c r="E280" s="12">
        <v>1</v>
      </c>
      <c r="F280" s="12" t="b">
        <v>0</v>
      </c>
      <c r="G280" s="12" t="str">
        <f t="shared" si="9"/>
        <v>Thursday</v>
      </c>
      <c r="H280" s="12" t="s">
        <v>0</v>
      </c>
      <c r="I280" s="18">
        <v>0.14000000000000001</v>
      </c>
      <c r="J280" s="19">
        <v>0.1212</v>
      </c>
      <c r="K280" s="18">
        <v>0.5</v>
      </c>
      <c r="L280" s="12">
        <v>0.28360000000000002</v>
      </c>
      <c r="M280" s="12">
        <v>0</v>
      </c>
      <c r="N280" s="12">
        <v>2</v>
      </c>
      <c r="O280" s="13">
        <v>2</v>
      </c>
    </row>
    <row r="281" spans="1:15" x14ac:dyDescent="0.35">
      <c r="A281" s="10">
        <v>280</v>
      </c>
      <c r="B281" s="11">
        <v>40556</v>
      </c>
      <c r="C281" s="12" t="s">
        <v>4</v>
      </c>
      <c r="D281" s="12" t="str">
        <f t="shared" si="8"/>
        <v>January</v>
      </c>
      <c r="E281" s="12">
        <v>2</v>
      </c>
      <c r="F281" s="12" t="b">
        <v>0</v>
      </c>
      <c r="G281" s="12" t="str">
        <f t="shared" si="9"/>
        <v>Thursday</v>
      </c>
      <c r="H281" s="12" t="s">
        <v>0</v>
      </c>
      <c r="I281" s="18">
        <v>0.14000000000000001</v>
      </c>
      <c r="J281" s="19">
        <v>0.1212</v>
      </c>
      <c r="K281" s="18">
        <v>0.5</v>
      </c>
      <c r="L281" s="12">
        <v>0.35820000000000002</v>
      </c>
      <c r="M281" s="12">
        <v>0</v>
      </c>
      <c r="N281" s="12">
        <v>2</v>
      </c>
      <c r="O281" s="13">
        <v>2</v>
      </c>
    </row>
    <row r="282" spans="1:15" x14ac:dyDescent="0.35">
      <c r="A282" s="10">
        <v>281</v>
      </c>
      <c r="B282" s="11">
        <v>40556</v>
      </c>
      <c r="C282" s="12" t="s">
        <v>4</v>
      </c>
      <c r="D282" s="12" t="str">
        <f t="shared" si="8"/>
        <v>January</v>
      </c>
      <c r="E282" s="12">
        <v>3</v>
      </c>
      <c r="F282" s="12" t="b">
        <v>0</v>
      </c>
      <c r="G282" s="12" t="str">
        <f t="shared" si="9"/>
        <v>Thursday</v>
      </c>
      <c r="H282" s="12" t="s">
        <v>0</v>
      </c>
      <c r="I282" s="18">
        <v>0.14000000000000001</v>
      </c>
      <c r="J282" s="19">
        <v>0.1212</v>
      </c>
      <c r="K282" s="18">
        <v>0.5</v>
      </c>
      <c r="L282" s="12">
        <v>0.32840000000000003</v>
      </c>
      <c r="M282" s="12">
        <v>0</v>
      </c>
      <c r="N282" s="12">
        <v>3</v>
      </c>
      <c r="O282" s="13">
        <v>3</v>
      </c>
    </row>
    <row r="283" spans="1:15" x14ac:dyDescent="0.35">
      <c r="A283" s="10">
        <v>282</v>
      </c>
      <c r="B283" s="11">
        <v>40556</v>
      </c>
      <c r="C283" s="12" t="s">
        <v>4</v>
      </c>
      <c r="D283" s="12" t="str">
        <f t="shared" si="8"/>
        <v>January</v>
      </c>
      <c r="E283" s="12">
        <v>4</v>
      </c>
      <c r="F283" s="12" t="b">
        <v>0</v>
      </c>
      <c r="G283" s="12" t="str">
        <f t="shared" si="9"/>
        <v>Thursday</v>
      </c>
      <c r="H283" s="12" t="s">
        <v>0</v>
      </c>
      <c r="I283" s="18">
        <v>0.14000000000000001</v>
      </c>
      <c r="J283" s="19">
        <v>0.1212</v>
      </c>
      <c r="K283" s="18">
        <v>0.5</v>
      </c>
      <c r="L283" s="12">
        <v>0.25369999999999998</v>
      </c>
      <c r="M283" s="12">
        <v>0</v>
      </c>
      <c r="N283" s="12">
        <v>4</v>
      </c>
      <c r="O283" s="13">
        <v>4</v>
      </c>
    </row>
    <row r="284" spans="1:15" x14ac:dyDescent="0.35">
      <c r="A284" s="10">
        <v>283</v>
      </c>
      <c r="B284" s="11">
        <v>40556</v>
      </c>
      <c r="C284" s="12" t="s">
        <v>4</v>
      </c>
      <c r="D284" s="12" t="str">
        <f t="shared" si="8"/>
        <v>January</v>
      </c>
      <c r="E284" s="12">
        <v>5</v>
      </c>
      <c r="F284" s="12" t="b">
        <v>0</v>
      </c>
      <c r="G284" s="12" t="str">
        <f t="shared" si="9"/>
        <v>Thursday</v>
      </c>
      <c r="H284" s="12" t="s">
        <v>0</v>
      </c>
      <c r="I284" s="18">
        <v>0.14000000000000001</v>
      </c>
      <c r="J284" s="19">
        <v>0.1212</v>
      </c>
      <c r="K284" s="18">
        <v>0.5</v>
      </c>
      <c r="L284" s="12">
        <v>0.29849999999999999</v>
      </c>
      <c r="M284" s="12">
        <v>0</v>
      </c>
      <c r="N284" s="12">
        <v>3</v>
      </c>
      <c r="O284" s="13">
        <v>3</v>
      </c>
    </row>
    <row r="285" spans="1:15" x14ac:dyDescent="0.35">
      <c r="A285" s="10">
        <v>284</v>
      </c>
      <c r="B285" s="11">
        <v>40556</v>
      </c>
      <c r="C285" s="12" t="s">
        <v>4</v>
      </c>
      <c r="D285" s="12" t="str">
        <f t="shared" si="8"/>
        <v>January</v>
      </c>
      <c r="E285" s="12">
        <v>6</v>
      </c>
      <c r="F285" s="12" t="b">
        <v>0</v>
      </c>
      <c r="G285" s="12" t="str">
        <f t="shared" si="9"/>
        <v>Thursday</v>
      </c>
      <c r="H285" s="12" t="s">
        <v>0</v>
      </c>
      <c r="I285" s="18">
        <v>0.12</v>
      </c>
      <c r="J285" s="19">
        <v>0.1515</v>
      </c>
      <c r="K285" s="18">
        <v>0.54</v>
      </c>
      <c r="L285" s="12">
        <v>0.1343</v>
      </c>
      <c r="M285" s="12">
        <v>0</v>
      </c>
      <c r="N285" s="12">
        <v>28</v>
      </c>
      <c r="O285" s="13">
        <v>28</v>
      </c>
    </row>
    <row r="286" spans="1:15" x14ac:dyDescent="0.35">
      <c r="A286" s="10">
        <v>285</v>
      </c>
      <c r="B286" s="11">
        <v>40556</v>
      </c>
      <c r="C286" s="12" t="s">
        <v>4</v>
      </c>
      <c r="D286" s="12" t="str">
        <f t="shared" si="8"/>
        <v>January</v>
      </c>
      <c r="E286" s="12">
        <v>7</v>
      </c>
      <c r="F286" s="12" t="b">
        <v>0</v>
      </c>
      <c r="G286" s="12" t="str">
        <f t="shared" si="9"/>
        <v>Thursday</v>
      </c>
      <c r="H286" s="12" t="s">
        <v>0</v>
      </c>
      <c r="I286" s="18">
        <v>0.12</v>
      </c>
      <c r="J286" s="19">
        <v>0.1515</v>
      </c>
      <c r="K286" s="18">
        <v>0.54</v>
      </c>
      <c r="L286" s="12">
        <v>0.1343</v>
      </c>
      <c r="M286" s="12">
        <v>0</v>
      </c>
      <c r="N286" s="12">
        <v>72</v>
      </c>
      <c r="O286" s="13">
        <v>72</v>
      </c>
    </row>
    <row r="287" spans="1:15" x14ac:dyDescent="0.35">
      <c r="A287" s="10">
        <v>286</v>
      </c>
      <c r="B287" s="11">
        <v>40556</v>
      </c>
      <c r="C287" s="12" t="s">
        <v>4</v>
      </c>
      <c r="D287" s="12" t="str">
        <f t="shared" si="8"/>
        <v>January</v>
      </c>
      <c r="E287" s="12">
        <v>8</v>
      </c>
      <c r="F287" s="12" t="b">
        <v>0</v>
      </c>
      <c r="G287" s="12" t="str">
        <f t="shared" si="9"/>
        <v>Thursday</v>
      </c>
      <c r="H287" s="12" t="s">
        <v>0</v>
      </c>
      <c r="I287" s="18">
        <v>0.14000000000000001</v>
      </c>
      <c r="J287" s="19">
        <v>0.13639999999999999</v>
      </c>
      <c r="K287" s="18">
        <v>0.5</v>
      </c>
      <c r="L287" s="12">
        <v>0.19400000000000001</v>
      </c>
      <c r="M287" s="12">
        <v>5</v>
      </c>
      <c r="N287" s="12">
        <v>197</v>
      </c>
      <c r="O287" s="13">
        <v>202</v>
      </c>
    </row>
    <row r="288" spans="1:15" x14ac:dyDescent="0.35">
      <c r="A288" s="10">
        <v>287</v>
      </c>
      <c r="B288" s="11">
        <v>40556</v>
      </c>
      <c r="C288" s="12" t="s">
        <v>4</v>
      </c>
      <c r="D288" s="12" t="str">
        <f t="shared" si="8"/>
        <v>January</v>
      </c>
      <c r="E288" s="12">
        <v>9</v>
      </c>
      <c r="F288" s="12" t="b">
        <v>0</v>
      </c>
      <c r="G288" s="12" t="str">
        <f t="shared" si="9"/>
        <v>Thursday</v>
      </c>
      <c r="H288" s="12" t="s">
        <v>0</v>
      </c>
      <c r="I288" s="18">
        <v>0.14000000000000001</v>
      </c>
      <c r="J288" s="19">
        <v>0.1212</v>
      </c>
      <c r="K288" s="18">
        <v>0.5</v>
      </c>
      <c r="L288" s="12">
        <v>0.32840000000000003</v>
      </c>
      <c r="M288" s="12">
        <v>2</v>
      </c>
      <c r="N288" s="12">
        <v>137</v>
      </c>
      <c r="O288" s="13">
        <v>139</v>
      </c>
    </row>
    <row r="289" spans="1:15" x14ac:dyDescent="0.35">
      <c r="A289" s="10">
        <v>288</v>
      </c>
      <c r="B289" s="11">
        <v>40556</v>
      </c>
      <c r="C289" s="12" t="s">
        <v>4</v>
      </c>
      <c r="D289" s="12" t="str">
        <f t="shared" si="8"/>
        <v>January</v>
      </c>
      <c r="E289" s="12">
        <v>10</v>
      </c>
      <c r="F289" s="12" t="b">
        <v>0</v>
      </c>
      <c r="G289" s="12" t="str">
        <f t="shared" si="9"/>
        <v>Thursday</v>
      </c>
      <c r="H289" s="12" t="s">
        <v>1</v>
      </c>
      <c r="I289" s="18">
        <v>0.16</v>
      </c>
      <c r="J289" s="19">
        <v>0.13639999999999999</v>
      </c>
      <c r="K289" s="18">
        <v>0.5</v>
      </c>
      <c r="L289" s="12">
        <v>0.35820000000000002</v>
      </c>
      <c r="M289" s="12">
        <v>2</v>
      </c>
      <c r="N289" s="12">
        <v>36</v>
      </c>
      <c r="O289" s="13">
        <v>38</v>
      </c>
    </row>
    <row r="290" spans="1:15" x14ac:dyDescent="0.35">
      <c r="A290" s="10">
        <v>289</v>
      </c>
      <c r="B290" s="11">
        <v>40556</v>
      </c>
      <c r="C290" s="12" t="s">
        <v>4</v>
      </c>
      <c r="D290" s="12" t="str">
        <f t="shared" si="8"/>
        <v>January</v>
      </c>
      <c r="E290" s="12">
        <v>11</v>
      </c>
      <c r="F290" s="12" t="b">
        <v>0</v>
      </c>
      <c r="G290" s="12" t="str">
        <f t="shared" si="9"/>
        <v>Thursday</v>
      </c>
      <c r="H290" s="12" t="s">
        <v>1</v>
      </c>
      <c r="I290" s="18">
        <v>0.2</v>
      </c>
      <c r="J290" s="19">
        <v>0.16669999999999999</v>
      </c>
      <c r="K290" s="18">
        <v>0.44</v>
      </c>
      <c r="L290" s="12">
        <v>0.44779999999999998</v>
      </c>
      <c r="M290" s="12">
        <v>4</v>
      </c>
      <c r="N290" s="12">
        <v>33</v>
      </c>
      <c r="O290" s="13">
        <v>37</v>
      </c>
    </row>
    <row r="291" spans="1:15" x14ac:dyDescent="0.35">
      <c r="A291" s="10">
        <v>290</v>
      </c>
      <c r="B291" s="11">
        <v>40556</v>
      </c>
      <c r="C291" s="12" t="s">
        <v>4</v>
      </c>
      <c r="D291" s="12" t="str">
        <f t="shared" si="8"/>
        <v>January</v>
      </c>
      <c r="E291" s="12">
        <v>12</v>
      </c>
      <c r="F291" s="12" t="b">
        <v>0</v>
      </c>
      <c r="G291" s="12" t="str">
        <f t="shared" si="9"/>
        <v>Thursday</v>
      </c>
      <c r="H291" s="12" t="s">
        <v>0</v>
      </c>
      <c r="I291" s="18">
        <v>0.2</v>
      </c>
      <c r="J291" s="19">
        <v>0.16669999999999999</v>
      </c>
      <c r="K291" s="18">
        <v>0.44</v>
      </c>
      <c r="L291" s="12">
        <v>0.41789999999999999</v>
      </c>
      <c r="M291" s="12">
        <v>3</v>
      </c>
      <c r="N291" s="12">
        <v>49</v>
      </c>
      <c r="O291" s="13">
        <v>52</v>
      </c>
    </row>
    <row r="292" spans="1:15" x14ac:dyDescent="0.35">
      <c r="A292" s="10">
        <v>291</v>
      </c>
      <c r="B292" s="11">
        <v>40556</v>
      </c>
      <c r="C292" s="12" t="s">
        <v>4</v>
      </c>
      <c r="D292" s="12" t="str">
        <f t="shared" si="8"/>
        <v>January</v>
      </c>
      <c r="E292" s="12">
        <v>13</v>
      </c>
      <c r="F292" s="12" t="b">
        <v>0</v>
      </c>
      <c r="G292" s="12" t="str">
        <f t="shared" si="9"/>
        <v>Thursday</v>
      </c>
      <c r="H292" s="12" t="s">
        <v>0</v>
      </c>
      <c r="I292" s="18">
        <v>0.22</v>
      </c>
      <c r="J292" s="19">
        <v>0.19700000000000001</v>
      </c>
      <c r="K292" s="18">
        <v>0.41</v>
      </c>
      <c r="L292" s="12">
        <v>0.44779999999999998</v>
      </c>
      <c r="M292" s="12">
        <v>2</v>
      </c>
      <c r="N292" s="12">
        <v>81</v>
      </c>
      <c r="O292" s="13">
        <v>83</v>
      </c>
    </row>
    <row r="293" spans="1:15" x14ac:dyDescent="0.35">
      <c r="A293" s="10">
        <v>292</v>
      </c>
      <c r="B293" s="11">
        <v>40556</v>
      </c>
      <c r="C293" s="12" t="s">
        <v>4</v>
      </c>
      <c r="D293" s="12" t="str">
        <f t="shared" si="8"/>
        <v>January</v>
      </c>
      <c r="E293" s="12">
        <v>14</v>
      </c>
      <c r="F293" s="12" t="b">
        <v>0</v>
      </c>
      <c r="G293" s="12" t="str">
        <f t="shared" si="9"/>
        <v>Thursday</v>
      </c>
      <c r="H293" s="12" t="s">
        <v>0</v>
      </c>
      <c r="I293" s="18">
        <v>0.22</v>
      </c>
      <c r="J293" s="19">
        <v>0.19700000000000001</v>
      </c>
      <c r="K293" s="18">
        <v>0.41</v>
      </c>
      <c r="L293" s="12">
        <v>0.3881</v>
      </c>
      <c r="M293" s="12">
        <v>3</v>
      </c>
      <c r="N293" s="12">
        <v>39</v>
      </c>
      <c r="O293" s="13">
        <v>42</v>
      </c>
    </row>
    <row r="294" spans="1:15" x14ac:dyDescent="0.35">
      <c r="A294" s="10">
        <v>293</v>
      </c>
      <c r="B294" s="11">
        <v>40556</v>
      </c>
      <c r="C294" s="12" t="s">
        <v>4</v>
      </c>
      <c r="D294" s="12" t="str">
        <f t="shared" si="8"/>
        <v>January</v>
      </c>
      <c r="E294" s="12">
        <v>15</v>
      </c>
      <c r="F294" s="12" t="b">
        <v>0</v>
      </c>
      <c r="G294" s="12" t="str">
        <f t="shared" si="9"/>
        <v>Thursday</v>
      </c>
      <c r="H294" s="12" t="s">
        <v>0</v>
      </c>
      <c r="I294" s="18">
        <v>0.24</v>
      </c>
      <c r="J294" s="19">
        <v>0.21210000000000001</v>
      </c>
      <c r="K294" s="18">
        <v>0.38</v>
      </c>
      <c r="L294" s="12">
        <v>0.29849999999999999</v>
      </c>
      <c r="M294" s="12">
        <v>5</v>
      </c>
      <c r="N294" s="12">
        <v>55</v>
      </c>
      <c r="O294" s="13">
        <v>60</v>
      </c>
    </row>
    <row r="295" spans="1:15" x14ac:dyDescent="0.35">
      <c r="A295" s="10">
        <v>294</v>
      </c>
      <c r="B295" s="11">
        <v>40556</v>
      </c>
      <c r="C295" s="12" t="s">
        <v>4</v>
      </c>
      <c r="D295" s="12" t="str">
        <f t="shared" si="8"/>
        <v>January</v>
      </c>
      <c r="E295" s="12">
        <v>16</v>
      </c>
      <c r="F295" s="12" t="b">
        <v>0</v>
      </c>
      <c r="G295" s="12" t="str">
        <f t="shared" si="9"/>
        <v>Thursday</v>
      </c>
      <c r="H295" s="12" t="s">
        <v>0</v>
      </c>
      <c r="I295" s="18">
        <v>0.24</v>
      </c>
      <c r="J295" s="19">
        <v>0.21210000000000001</v>
      </c>
      <c r="K295" s="18">
        <v>0.38</v>
      </c>
      <c r="L295" s="12">
        <v>0.35820000000000002</v>
      </c>
      <c r="M295" s="12">
        <v>2</v>
      </c>
      <c r="N295" s="12">
        <v>76</v>
      </c>
      <c r="O295" s="13">
        <v>78</v>
      </c>
    </row>
    <row r="296" spans="1:15" x14ac:dyDescent="0.35">
      <c r="A296" s="10">
        <v>295</v>
      </c>
      <c r="B296" s="11">
        <v>40556</v>
      </c>
      <c r="C296" s="12" t="s">
        <v>4</v>
      </c>
      <c r="D296" s="12" t="str">
        <f t="shared" si="8"/>
        <v>January</v>
      </c>
      <c r="E296" s="12">
        <v>17</v>
      </c>
      <c r="F296" s="12" t="b">
        <v>0</v>
      </c>
      <c r="G296" s="12" t="str">
        <f t="shared" si="9"/>
        <v>Thursday</v>
      </c>
      <c r="H296" s="12" t="s">
        <v>0</v>
      </c>
      <c r="I296" s="18">
        <v>0.2</v>
      </c>
      <c r="J296" s="19">
        <v>0.18179999999999999</v>
      </c>
      <c r="K296" s="18">
        <v>0.4</v>
      </c>
      <c r="L296" s="12">
        <v>0.28360000000000002</v>
      </c>
      <c r="M296" s="12">
        <v>4</v>
      </c>
      <c r="N296" s="12">
        <v>158</v>
      </c>
      <c r="O296" s="13">
        <v>162</v>
      </c>
    </row>
    <row r="297" spans="1:15" x14ac:dyDescent="0.35">
      <c r="A297" s="10">
        <v>296</v>
      </c>
      <c r="B297" s="11">
        <v>40556</v>
      </c>
      <c r="C297" s="12" t="s">
        <v>4</v>
      </c>
      <c r="D297" s="12" t="str">
        <f t="shared" si="8"/>
        <v>January</v>
      </c>
      <c r="E297" s="12">
        <v>18</v>
      </c>
      <c r="F297" s="12" t="b">
        <v>0</v>
      </c>
      <c r="G297" s="12" t="str">
        <f t="shared" si="9"/>
        <v>Thursday</v>
      </c>
      <c r="H297" s="12" t="s">
        <v>0</v>
      </c>
      <c r="I297" s="18">
        <v>0.2</v>
      </c>
      <c r="J297" s="19">
        <v>0.18179999999999999</v>
      </c>
      <c r="K297" s="18">
        <v>0.4</v>
      </c>
      <c r="L297" s="12">
        <v>0.32840000000000003</v>
      </c>
      <c r="M297" s="12">
        <v>3</v>
      </c>
      <c r="N297" s="12">
        <v>141</v>
      </c>
      <c r="O297" s="13">
        <v>144</v>
      </c>
    </row>
    <row r="298" spans="1:15" x14ac:dyDescent="0.35">
      <c r="A298" s="10">
        <v>297</v>
      </c>
      <c r="B298" s="11">
        <v>40556</v>
      </c>
      <c r="C298" s="12" t="s">
        <v>4</v>
      </c>
      <c r="D298" s="12" t="str">
        <f t="shared" si="8"/>
        <v>January</v>
      </c>
      <c r="E298" s="12">
        <v>19</v>
      </c>
      <c r="F298" s="12" t="b">
        <v>0</v>
      </c>
      <c r="G298" s="12" t="str">
        <f t="shared" si="9"/>
        <v>Thursday</v>
      </c>
      <c r="H298" s="12" t="s">
        <v>0</v>
      </c>
      <c r="I298" s="18">
        <v>0.16</v>
      </c>
      <c r="J298" s="19">
        <v>0.1515</v>
      </c>
      <c r="K298" s="18">
        <v>0.47</v>
      </c>
      <c r="L298" s="12">
        <v>0.25369999999999998</v>
      </c>
      <c r="M298" s="12">
        <v>1</v>
      </c>
      <c r="N298" s="12">
        <v>98</v>
      </c>
      <c r="O298" s="13">
        <v>99</v>
      </c>
    </row>
    <row r="299" spans="1:15" x14ac:dyDescent="0.35">
      <c r="A299" s="10">
        <v>298</v>
      </c>
      <c r="B299" s="11">
        <v>40556</v>
      </c>
      <c r="C299" s="12" t="s">
        <v>4</v>
      </c>
      <c r="D299" s="12" t="str">
        <f t="shared" si="8"/>
        <v>January</v>
      </c>
      <c r="E299" s="12">
        <v>20</v>
      </c>
      <c r="F299" s="12" t="b">
        <v>0</v>
      </c>
      <c r="G299" s="12" t="str">
        <f t="shared" si="9"/>
        <v>Thursday</v>
      </c>
      <c r="H299" s="12" t="s">
        <v>0</v>
      </c>
      <c r="I299" s="18">
        <v>0.16</v>
      </c>
      <c r="J299" s="19">
        <v>0.1515</v>
      </c>
      <c r="K299" s="18">
        <v>0.47</v>
      </c>
      <c r="L299" s="12">
        <v>0.22389999999999999</v>
      </c>
      <c r="M299" s="12">
        <v>0</v>
      </c>
      <c r="N299" s="12">
        <v>64</v>
      </c>
      <c r="O299" s="13">
        <v>64</v>
      </c>
    </row>
    <row r="300" spans="1:15" x14ac:dyDescent="0.35">
      <c r="A300" s="10">
        <v>299</v>
      </c>
      <c r="B300" s="11">
        <v>40556</v>
      </c>
      <c r="C300" s="12" t="s">
        <v>4</v>
      </c>
      <c r="D300" s="12" t="str">
        <f t="shared" si="8"/>
        <v>January</v>
      </c>
      <c r="E300" s="12">
        <v>21</v>
      </c>
      <c r="F300" s="12" t="b">
        <v>0</v>
      </c>
      <c r="G300" s="12" t="str">
        <f t="shared" si="9"/>
        <v>Thursday</v>
      </c>
      <c r="H300" s="12" t="s">
        <v>0</v>
      </c>
      <c r="I300" s="18">
        <v>0.14000000000000001</v>
      </c>
      <c r="J300" s="19">
        <v>0.1212</v>
      </c>
      <c r="K300" s="18">
        <v>0.46</v>
      </c>
      <c r="L300" s="12">
        <v>0.29849999999999999</v>
      </c>
      <c r="M300" s="12">
        <v>0</v>
      </c>
      <c r="N300" s="12">
        <v>40</v>
      </c>
      <c r="O300" s="13">
        <v>40</v>
      </c>
    </row>
    <row r="301" spans="1:15" x14ac:dyDescent="0.35">
      <c r="A301" s="10">
        <v>300</v>
      </c>
      <c r="B301" s="11">
        <v>40556</v>
      </c>
      <c r="C301" s="12" t="s">
        <v>4</v>
      </c>
      <c r="D301" s="12" t="str">
        <f t="shared" si="8"/>
        <v>January</v>
      </c>
      <c r="E301" s="12">
        <v>22</v>
      </c>
      <c r="F301" s="12" t="b">
        <v>0</v>
      </c>
      <c r="G301" s="12" t="str">
        <f t="shared" si="9"/>
        <v>Thursday</v>
      </c>
      <c r="H301" s="12" t="s">
        <v>0</v>
      </c>
      <c r="I301" s="18">
        <v>0.14000000000000001</v>
      </c>
      <c r="J301" s="19">
        <v>0.1212</v>
      </c>
      <c r="K301" s="18">
        <v>0.46</v>
      </c>
      <c r="L301" s="12">
        <v>0.32840000000000003</v>
      </c>
      <c r="M301" s="12">
        <v>0</v>
      </c>
      <c r="N301" s="12">
        <v>30</v>
      </c>
      <c r="O301" s="13">
        <v>30</v>
      </c>
    </row>
    <row r="302" spans="1:15" x14ac:dyDescent="0.35">
      <c r="A302" s="10">
        <v>301</v>
      </c>
      <c r="B302" s="11">
        <v>40556</v>
      </c>
      <c r="C302" s="12" t="s">
        <v>4</v>
      </c>
      <c r="D302" s="12" t="str">
        <f t="shared" si="8"/>
        <v>January</v>
      </c>
      <c r="E302" s="12">
        <v>23</v>
      </c>
      <c r="F302" s="12" t="b">
        <v>0</v>
      </c>
      <c r="G302" s="12" t="str">
        <f t="shared" si="9"/>
        <v>Thursday</v>
      </c>
      <c r="H302" s="12" t="s">
        <v>0</v>
      </c>
      <c r="I302" s="18">
        <v>0.12</v>
      </c>
      <c r="J302" s="19">
        <v>0.13639999999999999</v>
      </c>
      <c r="K302" s="18">
        <v>0.5</v>
      </c>
      <c r="L302" s="12">
        <v>0.19400000000000001</v>
      </c>
      <c r="M302" s="12">
        <v>1</v>
      </c>
      <c r="N302" s="12">
        <v>14</v>
      </c>
      <c r="O302" s="13">
        <v>15</v>
      </c>
    </row>
    <row r="303" spans="1:15" x14ac:dyDescent="0.35">
      <c r="A303" s="10">
        <v>302</v>
      </c>
      <c r="B303" s="11">
        <v>40557</v>
      </c>
      <c r="C303" s="12" t="s">
        <v>4</v>
      </c>
      <c r="D303" s="12" t="str">
        <f t="shared" si="8"/>
        <v>January</v>
      </c>
      <c r="E303" s="12">
        <v>0</v>
      </c>
      <c r="F303" s="12" t="b">
        <v>0</v>
      </c>
      <c r="G303" s="12" t="str">
        <f t="shared" si="9"/>
        <v>Friday</v>
      </c>
      <c r="H303" s="12" t="s">
        <v>0</v>
      </c>
      <c r="I303" s="18">
        <v>0.12</v>
      </c>
      <c r="J303" s="19">
        <v>0.13639999999999999</v>
      </c>
      <c r="K303" s="18">
        <v>0.5</v>
      </c>
      <c r="L303" s="12">
        <v>0.19400000000000001</v>
      </c>
      <c r="M303" s="12">
        <v>0</v>
      </c>
      <c r="N303" s="12">
        <v>14</v>
      </c>
      <c r="O303" s="13">
        <v>14</v>
      </c>
    </row>
    <row r="304" spans="1:15" x14ac:dyDescent="0.35">
      <c r="A304" s="10">
        <v>303</v>
      </c>
      <c r="B304" s="11">
        <v>40557</v>
      </c>
      <c r="C304" s="12" t="s">
        <v>4</v>
      </c>
      <c r="D304" s="12" t="str">
        <f t="shared" si="8"/>
        <v>January</v>
      </c>
      <c r="E304" s="12">
        <v>1</v>
      </c>
      <c r="F304" s="12" t="b">
        <v>0</v>
      </c>
      <c r="G304" s="12" t="str">
        <f t="shared" si="9"/>
        <v>Friday</v>
      </c>
      <c r="H304" s="12" t="s">
        <v>0</v>
      </c>
      <c r="I304" s="18">
        <v>0.1</v>
      </c>
      <c r="J304" s="19">
        <v>0.1212</v>
      </c>
      <c r="K304" s="18">
        <v>0.54</v>
      </c>
      <c r="L304" s="12">
        <v>0.16420000000000001</v>
      </c>
      <c r="M304" s="12">
        <v>0</v>
      </c>
      <c r="N304" s="12">
        <v>5</v>
      </c>
      <c r="O304" s="13">
        <v>5</v>
      </c>
    </row>
    <row r="305" spans="1:15" x14ac:dyDescent="0.35">
      <c r="A305" s="10">
        <v>304</v>
      </c>
      <c r="B305" s="11">
        <v>40557</v>
      </c>
      <c r="C305" s="12" t="s">
        <v>4</v>
      </c>
      <c r="D305" s="12" t="str">
        <f t="shared" si="8"/>
        <v>January</v>
      </c>
      <c r="E305" s="12">
        <v>2</v>
      </c>
      <c r="F305" s="12" t="b">
        <v>0</v>
      </c>
      <c r="G305" s="12" t="str">
        <f t="shared" si="9"/>
        <v>Friday</v>
      </c>
      <c r="H305" s="12" t="s">
        <v>0</v>
      </c>
      <c r="I305" s="18">
        <v>0.1</v>
      </c>
      <c r="J305" s="19">
        <v>0.1212</v>
      </c>
      <c r="K305" s="18">
        <v>0.54</v>
      </c>
      <c r="L305" s="12">
        <v>0.1343</v>
      </c>
      <c r="M305" s="12">
        <v>0</v>
      </c>
      <c r="N305" s="12">
        <v>1</v>
      </c>
      <c r="O305" s="13">
        <v>1</v>
      </c>
    </row>
    <row r="306" spans="1:15" x14ac:dyDescent="0.35">
      <c r="A306" s="10">
        <v>305</v>
      </c>
      <c r="B306" s="11">
        <v>40557</v>
      </c>
      <c r="C306" s="12" t="s">
        <v>4</v>
      </c>
      <c r="D306" s="12" t="str">
        <f t="shared" si="8"/>
        <v>January</v>
      </c>
      <c r="E306" s="12">
        <v>3</v>
      </c>
      <c r="F306" s="12" t="b">
        <v>0</v>
      </c>
      <c r="G306" s="12" t="str">
        <f t="shared" si="9"/>
        <v>Friday</v>
      </c>
      <c r="H306" s="12" t="s">
        <v>0</v>
      </c>
      <c r="I306" s="18">
        <v>0.1</v>
      </c>
      <c r="J306" s="19">
        <v>0.13639999999999999</v>
      </c>
      <c r="K306" s="18">
        <v>0.54</v>
      </c>
      <c r="L306" s="12">
        <v>0.1045</v>
      </c>
      <c r="M306" s="12">
        <v>0</v>
      </c>
      <c r="N306" s="12">
        <v>1</v>
      </c>
      <c r="O306" s="13">
        <v>1</v>
      </c>
    </row>
    <row r="307" spans="1:15" x14ac:dyDescent="0.35">
      <c r="A307" s="10">
        <v>306</v>
      </c>
      <c r="B307" s="11">
        <v>40557</v>
      </c>
      <c r="C307" s="12" t="s">
        <v>4</v>
      </c>
      <c r="D307" s="12" t="str">
        <f t="shared" si="8"/>
        <v>January</v>
      </c>
      <c r="E307" s="12">
        <v>5</v>
      </c>
      <c r="F307" s="12" t="b">
        <v>0</v>
      </c>
      <c r="G307" s="12" t="str">
        <f t="shared" si="9"/>
        <v>Friday</v>
      </c>
      <c r="H307" s="12" t="s">
        <v>0</v>
      </c>
      <c r="I307" s="18">
        <v>0.1</v>
      </c>
      <c r="J307" s="19">
        <v>0.13639999999999999</v>
      </c>
      <c r="K307" s="18">
        <v>0.54</v>
      </c>
      <c r="L307" s="12">
        <v>8.9599999999999999E-2</v>
      </c>
      <c r="M307" s="12">
        <v>0</v>
      </c>
      <c r="N307" s="12">
        <v>8</v>
      </c>
      <c r="O307" s="13">
        <v>8</v>
      </c>
    </row>
    <row r="308" spans="1:15" x14ac:dyDescent="0.35">
      <c r="A308" s="10">
        <v>307</v>
      </c>
      <c r="B308" s="11">
        <v>40557</v>
      </c>
      <c r="C308" s="12" t="s">
        <v>4</v>
      </c>
      <c r="D308" s="12" t="str">
        <f t="shared" si="8"/>
        <v>January</v>
      </c>
      <c r="E308" s="12">
        <v>6</v>
      </c>
      <c r="F308" s="12" t="b">
        <v>0</v>
      </c>
      <c r="G308" s="12" t="str">
        <f t="shared" si="9"/>
        <v>Friday</v>
      </c>
      <c r="H308" s="12" t="s">
        <v>0</v>
      </c>
      <c r="I308" s="18">
        <v>0.1</v>
      </c>
      <c r="J308" s="19">
        <v>0.18179999999999999</v>
      </c>
      <c r="K308" s="18">
        <v>0.54</v>
      </c>
      <c r="L308" s="12">
        <v>0</v>
      </c>
      <c r="M308" s="12">
        <v>0</v>
      </c>
      <c r="N308" s="12">
        <v>17</v>
      </c>
      <c r="O308" s="13">
        <v>17</v>
      </c>
    </row>
    <row r="309" spans="1:15" x14ac:dyDescent="0.35">
      <c r="A309" s="10">
        <v>308</v>
      </c>
      <c r="B309" s="11">
        <v>40557</v>
      </c>
      <c r="C309" s="12" t="s">
        <v>4</v>
      </c>
      <c r="D309" s="12" t="str">
        <f t="shared" si="8"/>
        <v>January</v>
      </c>
      <c r="E309" s="12">
        <v>7</v>
      </c>
      <c r="F309" s="12" t="b">
        <v>0</v>
      </c>
      <c r="G309" s="12" t="str">
        <f t="shared" si="9"/>
        <v>Friday</v>
      </c>
      <c r="H309" s="12" t="s">
        <v>0</v>
      </c>
      <c r="I309" s="18">
        <v>0.1</v>
      </c>
      <c r="J309" s="19">
        <v>0.1212</v>
      </c>
      <c r="K309" s="18">
        <v>0.74</v>
      </c>
      <c r="L309" s="12">
        <v>0.16420000000000001</v>
      </c>
      <c r="M309" s="12">
        <v>0</v>
      </c>
      <c r="N309" s="12">
        <v>70</v>
      </c>
      <c r="O309" s="13">
        <v>70</v>
      </c>
    </row>
    <row r="310" spans="1:15" x14ac:dyDescent="0.35">
      <c r="A310" s="10">
        <v>309</v>
      </c>
      <c r="B310" s="11">
        <v>40557</v>
      </c>
      <c r="C310" s="12" t="s">
        <v>4</v>
      </c>
      <c r="D310" s="12" t="str">
        <f t="shared" si="8"/>
        <v>January</v>
      </c>
      <c r="E310" s="12">
        <v>8</v>
      </c>
      <c r="F310" s="12" t="b">
        <v>0</v>
      </c>
      <c r="G310" s="12" t="str">
        <f t="shared" si="9"/>
        <v>Friday</v>
      </c>
      <c r="H310" s="12" t="s">
        <v>0</v>
      </c>
      <c r="I310" s="18">
        <v>0.12</v>
      </c>
      <c r="J310" s="19">
        <v>0.16669999999999999</v>
      </c>
      <c r="K310" s="18">
        <v>0.68</v>
      </c>
      <c r="L310" s="12">
        <v>0</v>
      </c>
      <c r="M310" s="12">
        <v>2</v>
      </c>
      <c r="N310" s="12">
        <v>156</v>
      </c>
      <c r="O310" s="13">
        <v>158</v>
      </c>
    </row>
    <row r="311" spans="1:15" x14ac:dyDescent="0.35">
      <c r="A311" s="10">
        <v>310</v>
      </c>
      <c r="B311" s="11">
        <v>40557</v>
      </c>
      <c r="C311" s="12" t="s">
        <v>4</v>
      </c>
      <c r="D311" s="12" t="str">
        <f t="shared" si="8"/>
        <v>January</v>
      </c>
      <c r="E311" s="12">
        <v>9</v>
      </c>
      <c r="F311" s="12" t="b">
        <v>0</v>
      </c>
      <c r="G311" s="12" t="str">
        <f t="shared" si="9"/>
        <v>Friday</v>
      </c>
      <c r="H311" s="12" t="s">
        <v>0</v>
      </c>
      <c r="I311" s="18">
        <v>0.14000000000000001</v>
      </c>
      <c r="J311" s="19">
        <v>0.1515</v>
      </c>
      <c r="K311" s="18">
        <v>0.69</v>
      </c>
      <c r="L311" s="12">
        <v>0.1343</v>
      </c>
      <c r="M311" s="12">
        <v>0</v>
      </c>
      <c r="N311" s="12">
        <v>117</v>
      </c>
      <c r="O311" s="13">
        <v>117</v>
      </c>
    </row>
    <row r="312" spans="1:15" x14ac:dyDescent="0.35">
      <c r="A312" s="10">
        <v>311</v>
      </c>
      <c r="B312" s="11">
        <v>40557</v>
      </c>
      <c r="C312" s="12" t="s">
        <v>4</v>
      </c>
      <c r="D312" s="12" t="str">
        <f t="shared" si="8"/>
        <v>January</v>
      </c>
      <c r="E312" s="12">
        <v>10</v>
      </c>
      <c r="F312" s="12" t="b">
        <v>0</v>
      </c>
      <c r="G312" s="12" t="str">
        <f t="shared" si="9"/>
        <v>Friday</v>
      </c>
      <c r="H312" s="12" t="s">
        <v>0</v>
      </c>
      <c r="I312" s="18">
        <v>0.18</v>
      </c>
      <c r="J312" s="19">
        <v>0.18179999999999999</v>
      </c>
      <c r="K312" s="18">
        <v>0.55000000000000004</v>
      </c>
      <c r="L312" s="12">
        <v>0.19400000000000001</v>
      </c>
      <c r="M312" s="12">
        <v>4</v>
      </c>
      <c r="N312" s="12">
        <v>40</v>
      </c>
      <c r="O312" s="13">
        <v>44</v>
      </c>
    </row>
    <row r="313" spans="1:15" x14ac:dyDescent="0.35">
      <c r="A313" s="10">
        <v>312</v>
      </c>
      <c r="B313" s="11">
        <v>40557</v>
      </c>
      <c r="C313" s="12" t="s">
        <v>4</v>
      </c>
      <c r="D313" s="12" t="str">
        <f t="shared" si="8"/>
        <v>January</v>
      </c>
      <c r="E313" s="12">
        <v>11</v>
      </c>
      <c r="F313" s="12" t="b">
        <v>0</v>
      </c>
      <c r="G313" s="12" t="str">
        <f t="shared" si="9"/>
        <v>Friday</v>
      </c>
      <c r="H313" s="12" t="s">
        <v>0</v>
      </c>
      <c r="I313" s="18">
        <v>0.18</v>
      </c>
      <c r="J313" s="19">
        <v>0.16669999999999999</v>
      </c>
      <c r="K313" s="18">
        <v>0.51</v>
      </c>
      <c r="L313" s="12">
        <v>0.28360000000000002</v>
      </c>
      <c r="M313" s="12">
        <v>6</v>
      </c>
      <c r="N313" s="12">
        <v>47</v>
      </c>
      <c r="O313" s="13">
        <v>53</v>
      </c>
    </row>
    <row r="314" spans="1:15" x14ac:dyDescent="0.35">
      <c r="A314" s="10">
        <v>313</v>
      </c>
      <c r="B314" s="11">
        <v>40557</v>
      </c>
      <c r="C314" s="12" t="s">
        <v>4</v>
      </c>
      <c r="D314" s="12" t="str">
        <f t="shared" si="8"/>
        <v>January</v>
      </c>
      <c r="E314" s="12">
        <v>12</v>
      </c>
      <c r="F314" s="12" t="b">
        <v>0</v>
      </c>
      <c r="G314" s="12" t="str">
        <f t="shared" si="9"/>
        <v>Friday</v>
      </c>
      <c r="H314" s="12" t="s">
        <v>0</v>
      </c>
      <c r="I314" s="18">
        <v>0.2</v>
      </c>
      <c r="J314" s="19">
        <v>0.19700000000000001</v>
      </c>
      <c r="K314" s="18">
        <v>0.44</v>
      </c>
      <c r="L314" s="12">
        <v>0.25369999999999998</v>
      </c>
      <c r="M314" s="12">
        <v>2</v>
      </c>
      <c r="N314" s="12">
        <v>59</v>
      </c>
      <c r="O314" s="13">
        <v>61</v>
      </c>
    </row>
    <row r="315" spans="1:15" x14ac:dyDescent="0.35">
      <c r="A315" s="10">
        <v>314</v>
      </c>
      <c r="B315" s="11">
        <v>40557</v>
      </c>
      <c r="C315" s="12" t="s">
        <v>4</v>
      </c>
      <c r="D315" s="12" t="str">
        <f t="shared" si="8"/>
        <v>January</v>
      </c>
      <c r="E315" s="12">
        <v>13</v>
      </c>
      <c r="F315" s="12" t="b">
        <v>0</v>
      </c>
      <c r="G315" s="12" t="str">
        <f t="shared" si="9"/>
        <v>Friday</v>
      </c>
      <c r="H315" s="12" t="s">
        <v>0</v>
      </c>
      <c r="I315" s="18">
        <v>0.22</v>
      </c>
      <c r="J315" s="19">
        <v>0.19700000000000001</v>
      </c>
      <c r="K315" s="18">
        <v>0.37</v>
      </c>
      <c r="L315" s="12">
        <v>0.3881</v>
      </c>
      <c r="M315" s="12">
        <v>4</v>
      </c>
      <c r="N315" s="12">
        <v>73</v>
      </c>
      <c r="O315" s="13">
        <v>77</v>
      </c>
    </row>
    <row r="316" spans="1:15" x14ac:dyDescent="0.35">
      <c r="A316" s="10">
        <v>315</v>
      </c>
      <c r="B316" s="11">
        <v>40557</v>
      </c>
      <c r="C316" s="12" t="s">
        <v>4</v>
      </c>
      <c r="D316" s="12" t="str">
        <f t="shared" si="8"/>
        <v>January</v>
      </c>
      <c r="E316" s="12">
        <v>14</v>
      </c>
      <c r="F316" s="12" t="b">
        <v>0</v>
      </c>
      <c r="G316" s="12" t="str">
        <f t="shared" si="9"/>
        <v>Friday</v>
      </c>
      <c r="H316" s="12" t="s">
        <v>0</v>
      </c>
      <c r="I316" s="18">
        <v>0.22</v>
      </c>
      <c r="J316" s="19">
        <v>0.21210000000000001</v>
      </c>
      <c r="K316" s="18">
        <v>0.41</v>
      </c>
      <c r="L316" s="12">
        <v>0.28360000000000002</v>
      </c>
      <c r="M316" s="12">
        <v>5</v>
      </c>
      <c r="N316" s="12">
        <v>59</v>
      </c>
      <c r="O316" s="13">
        <v>64</v>
      </c>
    </row>
    <row r="317" spans="1:15" x14ac:dyDescent="0.35">
      <c r="A317" s="10">
        <v>316</v>
      </c>
      <c r="B317" s="11">
        <v>40557</v>
      </c>
      <c r="C317" s="12" t="s">
        <v>4</v>
      </c>
      <c r="D317" s="12" t="str">
        <f t="shared" si="8"/>
        <v>January</v>
      </c>
      <c r="E317" s="12">
        <v>15</v>
      </c>
      <c r="F317" s="12" t="b">
        <v>0</v>
      </c>
      <c r="G317" s="12" t="str">
        <f t="shared" si="9"/>
        <v>Friday</v>
      </c>
      <c r="H317" s="12" t="s">
        <v>0</v>
      </c>
      <c r="I317" s="18">
        <v>0.24</v>
      </c>
      <c r="J317" s="19">
        <v>0.2424</v>
      </c>
      <c r="K317" s="18">
        <v>0.38</v>
      </c>
      <c r="L317" s="12">
        <v>0.16420000000000001</v>
      </c>
      <c r="M317" s="12">
        <v>9</v>
      </c>
      <c r="N317" s="12">
        <v>59</v>
      </c>
      <c r="O317" s="13">
        <v>68</v>
      </c>
    </row>
    <row r="318" spans="1:15" x14ac:dyDescent="0.35">
      <c r="A318" s="10">
        <v>317</v>
      </c>
      <c r="B318" s="11">
        <v>40557</v>
      </c>
      <c r="C318" s="12" t="s">
        <v>4</v>
      </c>
      <c r="D318" s="12" t="str">
        <f t="shared" si="8"/>
        <v>January</v>
      </c>
      <c r="E318" s="12">
        <v>16</v>
      </c>
      <c r="F318" s="12" t="b">
        <v>0</v>
      </c>
      <c r="G318" s="12" t="str">
        <f t="shared" si="9"/>
        <v>Friday</v>
      </c>
      <c r="H318" s="12" t="s">
        <v>0</v>
      </c>
      <c r="I318" s="18">
        <v>0.22</v>
      </c>
      <c r="J318" s="19">
        <v>0.2424</v>
      </c>
      <c r="K318" s="18">
        <v>0.41</v>
      </c>
      <c r="L318" s="12">
        <v>0.1045</v>
      </c>
      <c r="M318" s="12">
        <v>3</v>
      </c>
      <c r="N318" s="12">
        <v>87</v>
      </c>
      <c r="O318" s="13">
        <v>90</v>
      </c>
    </row>
    <row r="319" spans="1:15" x14ac:dyDescent="0.35">
      <c r="A319" s="10">
        <v>318</v>
      </c>
      <c r="B319" s="11">
        <v>40557</v>
      </c>
      <c r="C319" s="12" t="s">
        <v>4</v>
      </c>
      <c r="D319" s="12" t="str">
        <f t="shared" si="8"/>
        <v>January</v>
      </c>
      <c r="E319" s="12">
        <v>17</v>
      </c>
      <c r="F319" s="12" t="b">
        <v>0</v>
      </c>
      <c r="G319" s="12" t="str">
        <f t="shared" si="9"/>
        <v>Friday</v>
      </c>
      <c r="H319" s="12" t="s">
        <v>0</v>
      </c>
      <c r="I319" s="18">
        <v>0.22</v>
      </c>
      <c r="J319" s="19">
        <v>0.2273</v>
      </c>
      <c r="K319" s="18">
        <v>0.41</v>
      </c>
      <c r="L319" s="12">
        <v>0.16420000000000001</v>
      </c>
      <c r="M319" s="12">
        <v>4</v>
      </c>
      <c r="N319" s="12">
        <v>155</v>
      </c>
      <c r="O319" s="13">
        <v>159</v>
      </c>
    </row>
    <row r="320" spans="1:15" x14ac:dyDescent="0.35">
      <c r="A320" s="10">
        <v>319</v>
      </c>
      <c r="B320" s="11">
        <v>40557</v>
      </c>
      <c r="C320" s="12" t="s">
        <v>4</v>
      </c>
      <c r="D320" s="12" t="str">
        <f t="shared" si="8"/>
        <v>January</v>
      </c>
      <c r="E320" s="12">
        <v>18</v>
      </c>
      <c r="F320" s="12" t="b">
        <v>0</v>
      </c>
      <c r="G320" s="12" t="str">
        <f t="shared" si="9"/>
        <v>Friday</v>
      </c>
      <c r="H320" s="12" t="s">
        <v>0</v>
      </c>
      <c r="I320" s="18">
        <v>0.2</v>
      </c>
      <c r="J320" s="19">
        <v>0.2576</v>
      </c>
      <c r="K320" s="18">
        <v>0.47</v>
      </c>
      <c r="L320" s="12">
        <v>0</v>
      </c>
      <c r="M320" s="12">
        <v>5</v>
      </c>
      <c r="N320" s="12">
        <v>134</v>
      </c>
      <c r="O320" s="13">
        <v>139</v>
      </c>
    </row>
    <row r="321" spans="1:15" x14ac:dyDescent="0.35">
      <c r="A321" s="10">
        <v>320</v>
      </c>
      <c r="B321" s="11">
        <v>40557</v>
      </c>
      <c r="C321" s="12" t="s">
        <v>4</v>
      </c>
      <c r="D321" s="12" t="str">
        <f t="shared" si="8"/>
        <v>January</v>
      </c>
      <c r="E321" s="12">
        <v>19</v>
      </c>
      <c r="F321" s="12" t="b">
        <v>0</v>
      </c>
      <c r="G321" s="12" t="str">
        <f t="shared" si="9"/>
        <v>Friday</v>
      </c>
      <c r="H321" s="12" t="s">
        <v>0</v>
      </c>
      <c r="I321" s="18">
        <v>0.16</v>
      </c>
      <c r="J321" s="19">
        <v>0.19700000000000001</v>
      </c>
      <c r="K321" s="18">
        <v>0.59</v>
      </c>
      <c r="L321" s="12">
        <v>8.9599999999999999E-2</v>
      </c>
      <c r="M321" s="12">
        <v>3</v>
      </c>
      <c r="N321" s="12">
        <v>89</v>
      </c>
      <c r="O321" s="13">
        <v>92</v>
      </c>
    </row>
    <row r="322" spans="1:15" x14ac:dyDescent="0.35">
      <c r="A322" s="10">
        <v>321</v>
      </c>
      <c r="B322" s="11">
        <v>40557</v>
      </c>
      <c r="C322" s="12" t="s">
        <v>4</v>
      </c>
      <c r="D322" s="12" t="str">
        <f t="shared" si="8"/>
        <v>January</v>
      </c>
      <c r="E322" s="12">
        <v>20</v>
      </c>
      <c r="F322" s="12" t="b">
        <v>0</v>
      </c>
      <c r="G322" s="12" t="str">
        <f t="shared" si="9"/>
        <v>Friday</v>
      </c>
      <c r="H322" s="12" t="s">
        <v>0</v>
      </c>
      <c r="I322" s="18">
        <v>0.18</v>
      </c>
      <c r="J322" s="19">
        <v>0.2424</v>
      </c>
      <c r="K322" s="18">
        <v>0.59</v>
      </c>
      <c r="L322" s="12">
        <v>0</v>
      </c>
      <c r="M322" s="12">
        <v>0</v>
      </c>
      <c r="N322" s="12">
        <v>68</v>
      </c>
      <c r="O322" s="13">
        <v>68</v>
      </c>
    </row>
    <row r="323" spans="1:15" x14ac:dyDescent="0.35">
      <c r="A323" s="10">
        <v>322</v>
      </c>
      <c r="B323" s="11">
        <v>40557</v>
      </c>
      <c r="C323" s="12" t="s">
        <v>4</v>
      </c>
      <c r="D323" s="12" t="str">
        <f t="shared" ref="D323:D386" si="10">TEXT(B323,"mmmm")</f>
        <v>January</v>
      </c>
      <c r="E323" s="12">
        <v>21</v>
      </c>
      <c r="F323" s="12" t="b">
        <v>0</v>
      </c>
      <c r="G323" s="12" t="str">
        <f t="shared" ref="G323:G386" si="11">TEXT(B323,"dddd")</f>
        <v>Friday</v>
      </c>
      <c r="H323" s="12" t="s">
        <v>0</v>
      </c>
      <c r="I323" s="18">
        <v>0.16</v>
      </c>
      <c r="J323" s="19">
        <v>0.2273</v>
      </c>
      <c r="K323" s="18">
        <v>0.69</v>
      </c>
      <c r="L323" s="12">
        <v>0</v>
      </c>
      <c r="M323" s="12">
        <v>4</v>
      </c>
      <c r="N323" s="12">
        <v>48</v>
      </c>
      <c r="O323" s="13">
        <v>52</v>
      </c>
    </row>
    <row r="324" spans="1:15" x14ac:dyDescent="0.35">
      <c r="A324" s="10">
        <v>323</v>
      </c>
      <c r="B324" s="11">
        <v>40557</v>
      </c>
      <c r="C324" s="12" t="s">
        <v>4</v>
      </c>
      <c r="D324" s="12" t="str">
        <f t="shared" si="10"/>
        <v>January</v>
      </c>
      <c r="E324" s="12">
        <v>22</v>
      </c>
      <c r="F324" s="12" t="b">
        <v>0</v>
      </c>
      <c r="G324" s="12" t="str">
        <f t="shared" si="11"/>
        <v>Friday</v>
      </c>
      <c r="H324" s="12" t="s">
        <v>1</v>
      </c>
      <c r="I324" s="18">
        <v>0.16</v>
      </c>
      <c r="J324" s="19">
        <v>0.2273</v>
      </c>
      <c r="K324" s="18">
        <v>0.69</v>
      </c>
      <c r="L324" s="12">
        <v>0</v>
      </c>
      <c r="M324" s="12">
        <v>2</v>
      </c>
      <c r="N324" s="12">
        <v>34</v>
      </c>
      <c r="O324" s="13">
        <v>36</v>
      </c>
    </row>
    <row r="325" spans="1:15" x14ac:dyDescent="0.35">
      <c r="A325" s="10">
        <v>324</v>
      </c>
      <c r="B325" s="11">
        <v>40557</v>
      </c>
      <c r="C325" s="12" t="s">
        <v>4</v>
      </c>
      <c r="D325" s="12" t="str">
        <f t="shared" si="10"/>
        <v>January</v>
      </c>
      <c r="E325" s="12">
        <v>23</v>
      </c>
      <c r="F325" s="12" t="b">
        <v>0</v>
      </c>
      <c r="G325" s="12" t="str">
        <f t="shared" si="11"/>
        <v>Friday</v>
      </c>
      <c r="H325" s="12" t="s">
        <v>1</v>
      </c>
      <c r="I325" s="18">
        <v>0.18</v>
      </c>
      <c r="J325" s="19">
        <v>0.2424</v>
      </c>
      <c r="K325" s="18">
        <v>0.55000000000000004</v>
      </c>
      <c r="L325" s="12">
        <v>0</v>
      </c>
      <c r="M325" s="12">
        <v>1</v>
      </c>
      <c r="N325" s="12">
        <v>26</v>
      </c>
      <c r="O325" s="13">
        <v>27</v>
      </c>
    </row>
    <row r="326" spans="1:15" x14ac:dyDescent="0.35">
      <c r="A326" s="10">
        <v>325</v>
      </c>
      <c r="B326" s="11">
        <v>40558</v>
      </c>
      <c r="C326" s="12" t="s">
        <v>4</v>
      </c>
      <c r="D326" s="12" t="str">
        <f t="shared" si="10"/>
        <v>January</v>
      </c>
      <c r="E326" s="12">
        <v>0</v>
      </c>
      <c r="F326" s="12" t="b">
        <v>0</v>
      </c>
      <c r="G326" s="12" t="str">
        <f t="shared" si="11"/>
        <v>Saturday</v>
      </c>
      <c r="H326" s="12" t="s">
        <v>0</v>
      </c>
      <c r="I326" s="18">
        <v>0.18</v>
      </c>
      <c r="J326" s="19">
        <v>0.2424</v>
      </c>
      <c r="K326" s="18">
        <v>0.55000000000000004</v>
      </c>
      <c r="L326" s="12">
        <v>0</v>
      </c>
      <c r="M326" s="12">
        <v>3</v>
      </c>
      <c r="N326" s="12">
        <v>25</v>
      </c>
      <c r="O326" s="13">
        <v>28</v>
      </c>
    </row>
    <row r="327" spans="1:15" x14ac:dyDescent="0.35">
      <c r="A327" s="10">
        <v>326</v>
      </c>
      <c r="B327" s="11">
        <v>40558</v>
      </c>
      <c r="C327" s="12" t="s">
        <v>4</v>
      </c>
      <c r="D327" s="12" t="str">
        <f t="shared" si="10"/>
        <v>January</v>
      </c>
      <c r="E327" s="12">
        <v>1</v>
      </c>
      <c r="F327" s="12" t="b">
        <v>0</v>
      </c>
      <c r="G327" s="12" t="str">
        <f t="shared" si="11"/>
        <v>Saturday</v>
      </c>
      <c r="H327" s="12" t="s">
        <v>1</v>
      </c>
      <c r="I327" s="18">
        <v>0.16</v>
      </c>
      <c r="J327" s="19">
        <v>0.19700000000000001</v>
      </c>
      <c r="K327" s="18">
        <v>0.59</v>
      </c>
      <c r="L327" s="12">
        <v>8.9599999999999999E-2</v>
      </c>
      <c r="M327" s="12">
        <v>2</v>
      </c>
      <c r="N327" s="12">
        <v>18</v>
      </c>
      <c r="O327" s="13">
        <v>20</v>
      </c>
    </row>
    <row r="328" spans="1:15" x14ac:dyDescent="0.35">
      <c r="A328" s="10">
        <v>327</v>
      </c>
      <c r="B328" s="11">
        <v>40558</v>
      </c>
      <c r="C328" s="12" t="s">
        <v>4</v>
      </c>
      <c r="D328" s="12" t="str">
        <f t="shared" si="10"/>
        <v>January</v>
      </c>
      <c r="E328" s="12">
        <v>2</v>
      </c>
      <c r="F328" s="12" t="b">
        <v>0</v>
      </c>
      <c r="G328" s="12" t="str">
        <f t="shared" si="11"/>
        <v>Saturday</v>
      </c>
      <c r="H328" s="12" t="s">
        <v>1</v>
      </c>
      <c r="I328" s="18">
        <v>0.16</v>
      </c>
      <c r="J328" s="19">
        <v>0.19700000000000001</v>
      </c>
      <c r="K328" s="18">
        <v>0.59</v>
      </c>
      <c r="L328" s="12">
        <v>8.9599999999999999E-2</v>
      </c>
      <c r="M328" s="12">
        <v>0</v>
      </c>
      <c r="N328" s="12">
        <v>12</v>
      </c>
      <c r="O328" s="13">
        <v>12</v>
      </c>
    </row>
    <row r="329" spans="1:15" x14ac:dyDescent="0.35">
      <c r="A329" s="10">
        <v>328</v>
      </c>
      <c r="B329" s="11">
        <v>40558</v>
      </c>
      <c r="C329" s="12" t="s">
        <v>4</v>
      </c>
      <c r="D329" s="12" t="str">
        <f t="shared" si="10"/>
        <v>January</v>
      </c>
      <c r="E329" s="12">
        <v>3</v>
      </c>
      <c r="F329" s="12" t="b">
        <v>0</v>
      </c>
      <c r="G329" s="12" t="str">
        <f t="shared" si="11"/>
        <v>Saturday</v>
      </c>
      <c r="H329" s="12" t="s">
        <v>1</v>
      </c>
      <c r="I329" s="18">
        <v>0.16</v>
      </c>
      <c r="J329" s="19">
        <v>0.2273</v>
      </c>
      <c r="K329" s="18">
        <v>0.59</v>
      </c>
      <c r="L329" s="12">
        <v>0</v>
      </c>
      <c r="M329" s="12">
        <v>1</v>
      </c>
      <c r="N329" s="12">
        <v>7</v>
      </c>
      <c r="O329" s="13">
        <v>8</v>
      </c>
    </row>
    <row r="330" spans="1:15" x14ac:dyDescent="0.35">
      <c r="A330" s="10">
        <v>329</v>
      </c>
      <c r="B330" s="11">
        <v>40558</v>
      </c>
      <c r="C330" s="12" t="s">
        <v>4</v>
      </c>
      <c r="D330" s="12" t="str">
        <f t="shared" si="10"/>
        <v>January</v>
      </c>
      <c r="E330" s="12">
        <v>4</v>
      </c>
      <c r="F330" s="12" t="b">
        <v>0</v>
      </c>
      <c r="G330" s="12" t="str">
        <f t="shared" si="11"/>
        <v>Saturday</v>
      </c>
      <c r="H330" s="12" t="s">
        <v>1</v>
      </c>
      <c r="I330" s="18">
        <v>0.16</v>
      </c>
      <c r="J330" s="19">
        <v>0.2273</v>
      </c>
      <c r="K330" s="18">
        <v>0.59</v>
      </c>
      <c r="L330" s="12">
        <v>0</v>
      </c>
      <c r="M330" s="12">
        <v>0</v>
      </c>
      <c r="N330" s="12">
        <v>5</v>
      </c>
      <c r="O330" s="13">
        <v>5</v>
      </c>
    </row>
    <row r="331" spans="1:15" x14ac:dyDescent="0.35">
      <c r="A331" s="10">
        <v>330</v>
      </c>
      <c r="B331" s="11">
        <v>40558</v>
      </c>
      <c r="C331" s="12" t="s">
        <v>4</v>
      </c>
      <c r="D331" s="12" t="str">
        <f t="shared" si="10"/>
        <v>January</v>
      </c>
      <c r="E331" s="12">
        <v>5</v>
      </c>
      <c r="F331" s="12" t="b">
        <v>0</v>
      </c>
      <c r="G331" s="12" t="str">
        <f t="shared" si="11"/>
        <v>Saturday</v>
      </c>
      <c r="H331" s="12" t="s">
        <v>0</v>
      </c>
      <c r="I331" s="18">
        <v>0.16</v>
      </c>
      <c r="J331" s="19">
        <v>0.2273</v>
      </c>
      <c r="K331" s="18">
        <v>0.59</v>
      </c>
      <c r="L331" s="12">
        <v>0</v>
      </c>
      <c r="M331" s="12">
        <v>0</v>
      </c>
      <c r="N331" s="12">
        <v>1</v>
      </c>
      <c r="O331" s="13">
        <v>1</v>
      </c>
    </row>
    <row r="332" spans="1:15" x14ac:dyDescent="0.35">
      <c r="A332" s="10">
        <v>331</v>
      </c>
      <c r="B332" s="11">
        <v>40558</v>
      </c>
      <c r="C332" s="12" t="s">
        <v>4</v>
      </c>
      <c r="D332" s="12" t="str">
        <f t="shared" si="10"/>
        <v>January</v>
      </c>
      <c r="E332" s="12">
        <v>6</v>
      </c>
      <c r="F332" s="12" t="b">
        <v>0</v>
      </c>
      <c r="G332" s="12" t="str">
        <f t="shared" si="11"/>
        <v>Saturday</v>
      </c>
      <c r="H332" s="12" t="s">
        <v>0</v>
      </c>
      <c r="I332" s="18">
        <v>0.14000000000000001</v>
      </c>
      <c r="J332" s="19">
        <v>0.16669999999999999</v>
      </c>
      <c r="K332" s="18">
        <v>0.63</v>
      </c>
      <c r="L332" s="12">
        <v>0.1045</v>
      </c>
      <c r="M332" s="12">
        <v>1</v>
      </c>
      <c r="N332" s="12">
        <v>2</v>
      </c>
      <c r="O332" s="13">
        <v>3</v>
      </c>
    </row>
    <row r="333" spans="1:15" x14ac:dyDescent="0.35">
      <c r="A333" s="10">
        <v>332</v>
      </c>
      <c r="B333" s="11">
        <v>40558</v>
      </c>
      <c r="C333" s="12" t="s">
        <v>4</v>
      </c>
      <c r="D333" s="12" t="str">
        <f t="shared" si="10"/>
        <v>January</v>
      </c>
      <c r="E333" s="12">
        <v>7</v>
      </c>
      <c r="F333" s="12" t="b">
        <v>0</v>
      </c>
      <c r="G333" s="12" t="str">
        <f t="shared" si="11"/>
        <v>Saturday</v>
      </c>
      <c r="H333" s="12" t="s">
        <v>0</v>
      </c>
      <c r="I333" s="18">
        <v>0.14000000000000001</v>
      </c>
      <c r="J333" s="19">
        <v>0.21210000000000001</v>
      </c>
      <c r="K333" s="18">
        <v>0.63</v>
      </c>
      <c r="L333" s="12">
        <v>0</v>
      </c>
      <c r="M333" s="12">
        <v>1</v>
      </c>
      <c r="N333" s="12">
        <v>9</v>
      </c>
      <c r="O333" s="13">
        <v>10</v>
      </c>
    </row>
    <row r="334" spans="1:15" x14ac:dyDescent="0.35">
      <c r="A334" s="10">
        <v>333</v>
      </c>
      <c r="B334" s="11">
        <v>40558</v>
      </c>
      <c r="C334" s="12" t="s">
        <v>4</v>
      </c>
      <c r="D334" s="12" t="str">
        <f t="shared" si="10"/>
        <v>January</v>
      </c>
      <c r="E334" s="12">
        <v>8</v>
      </c>
      <c r="F334" s="12" t="b">
        <v>0</v>
      </c>
      <c r="G334" s="12" t="str">
        <f t="shared" si="11"/>
        <v>Saturday</v>
      </c>
      <c r="H334" s="12" t="s">
        <v>0</v>
      </c>
      <c r="I334" s="18">
        <v>0.14000000000000001</v>
      </c>
      <c r="J334" s="19">
        <v>0.1515</v>
      </c>
      <c r="K334" s="18">
        <v>0.63</v>
      </c>
      <c r="L334" s="12">
        <v>0.1343</v>
      </c>
      <c r="M334" s="12">
        <v>1</v>
      </c>
      <c r="N334" s="12">
        <v>22</v>
      </c>
      <c r="O334" s="13">
        <v>23</v>
      </c>
    </row>
    <row r="335" spans="1:15" x14ac:dyDescent="0.35">
      <c r="A335" s="10">
        <v>334</v>
      </c>
      <c r="B335" s="11">
        <v>40558</v>
      </c>
      <c r="C335" s="12" t="s">
        <v>4</v>
      </c>
      <c r="D335" s="12" t="str">
        <f t="shared" si="10"/>
        <v>January</v>
      </c>
      <c r="E335" s="12">
        <v>9</v>
      </c>
      <c r="F335" s="12" t="b">
        <v>0</v>
      </c>
      <c r="G335" s="12" t="str">
        <f t="shared" si="11"/>
        <v>Saturday</v>
      </c>
      <c r="H335" s="12" t="s">
        <v>0</v>
      </c>
      <c r="I335" s="18">
        <v>0.16</v>
      </c>
      <c r="J335" s="19">
        <v>0.18179999999999999</v>
      </c>
      <c r="K335" s="18">
        <v>0.64</v>
      </c>
      <c r="L335" s="12">
        <v>0.1343</v>
      </c>
      <c r="M335" s="12">
        <v>2</v>
      </c>
      <c r="N335" s="12">
        <v>31</v>
      </c>
      <c r="O335" s="13">
        <v>33</v>
      </c>
    </row>
    <row r="336" spans="1:15" x14ac:dyDescent="0.35">
      <c r="A336" s="10">
        <v>335</v>
      </c>
      <c r="B336" s="11">
        <v>40558</v>
      </c>
      <c r="C336" s="12" t="s">
        <v>4</v>
      </c>
      <c r="D336" s="12" t="str">
        <f t="shared" si="10"/>
        <v>January</v>
      </c>
      <c r="E336" s="12">
        <v>10</v>
      </c>
      <c r="F336" s="12" t="b">
        <v>0</v>
      </c>
      <c r="G336" s="12" t="str">
        <f t="shared" si="11"/>
        <v>Saturday</v>
      </c>
      <c r="H336" s="12" t="s">
        <v>0</v>
      </c>
      <c r="I336" s="18">
        <v>0.18</v>
      </c>
      <c r="J336" s="19">
        <v>0.19700000000000001</v>
      </c>
      <c r="K336" s="18">
        <v>0.59</v>
      </c>
      <c r="L336" s="12">
        <v>0.16420000000000001</v>
      </c>
      <c r="M336" s="12">
        <v>2</v>
      </c>
      <c r="N336" s="12">
        <v>57</v>
      </c>
      <c r="O336" s="13">
        <v>59</v>
      </c>
    </row>
    <row r="337" spans="1:15" x14ac:dyDescent="0.35">
      <c r="A337" s="10">
        <v>336</v>
      </c>
      <c r="B337" s="11">
        <v>40558</v>
      </c>
      <c r="C337" s="12" t="s">
        <v>4</v>
      </c>
      <c r="D337" s="12" t="str">
        <f t="shared" si="10"/>
        <v>January</v>
      </c>
      <c r="E337" s="12">
        <v>11</v>
      </c>
      <c r="F337" s="12" t="b">
        <v>0</v>
      </c>
      <c r="G337" s="12" t="str">
        <f t="shared" si="11"/>
        <v>Saturday</v>
      </c>
      <c r="H337" s="12" t="s">
        <v>0</v>
      </c>
      <c r="I337" s="18">
        <v>0.2</v>
      </c>
      <c r="J337" s="19">
        <v>0.19700000000000001</v>
      </c>
      <c r="K337" s="18">
        <v>0.55000000000000004</v>
      </c>
      <c r="L337" s="12">
        <v>0.22389999999999999</v>
      </c>
      <c r="M337" s="12">
        <v>18</v>
      </c>
      <c r="N337" s="12">
        <v>54</v>
      </c>
      <c r="O337" s="13">
        <v>72</v>
      </c>
    </row>
    <row r="338" spans="1:15" x14ac:dyDescent="0.35">
      <c r="A338" s="10">
        <v>337</v>
      </c>
      <c r="B338" s="11">
        <v>40558</v>
      </c>
      <c r="C338" s="12" t="s">
        <v>4</v>
      </c>
      <c r="D338" s="12" t="str">
        <f t="shared" si="10"/>
        <v>January</v>
      </c>
      <c r="E338" s="12">
        <v>12</v>
      </c>
      <c r="F338" s="12" t="b">
        <v>0</v>
      </c>
      <c r="G338" s="12" t="str">
        <f t="shared" si="11"/>
        <v>Saturday</v>
      </c>
      <c r="H338" s="12" t="s">
        <v>0</v>
      </c>
      <c r="I338" s="18">
        <v>0.24</v>
      </c>
      <c r="J338" s="19">
        <v>0.2273</v>
      </c>
      <c r="K338" s="18">
        <v>0.48</v>
      </c>
      <c r="L338" s="12">
        <v>0.22389999999999999</v>
      </c>
      <c r="M338" s="12">
        <v>15</v>
      </c>
      <c r="N338" s="12">
        <v>74</v>
      </c>
      <c r="O338" s="13">
        <v>89</v>
      </c>
    </row>
    <row r="339" spans="1:15" x14ac:dyDescent="0.35">
      <c r="A339" s="10">
        <v>338</v>
      </c>
      <c r="B339" s="11">
        <v>40558</v>
      </c>
      <c r="C339" s="12" t="s">
        <v>4</v>
      </c>
      <c r="D339" s="12" t="str">
        <f t="shared" si="10"/>
        <v>January</v>
      </c>
      <c r="E339" s="12">
        <v>13</v>
      </c>
      <c r="F339" s="12" t="b">
        <v>0</v>
      </c>
      <c r="G339" s="12" t="str">
        <f t="shared" si="11"/>
        <v>Saturday</v>
      </c>
      <c r="H339" s="12" t="s">
        <v>0</v>
      </c>
      <c r="I339" s="18">
        <v>0.28000000000000003</v>
      </c>
      <c r="J339" s="19">
        <v>0.2576</v>
      </c>
      <c r="K339" s="18">
        <v>0.38</v>
      </c>
      <c r="L339" s="12">
        <v>0.29849999999999999</v>
      </c>
      <c r="M339" s="12">
        <v>21</v>
      </c>
      <c r="N339" s="12">
        <v>80</v>
      </c>
      <c r="O339" s="13">
        <v>101</v>
      </c>
    </row>
    <row r="340" spans="1:15" x14ac:dyDescent="0.35">
      <c r="A340" s="10">
        <v>339</v>
      </c>
      <c r="B340" s="11">
        <v>40558</v>
      </c>
      <c r="C340" s="12" t="s">
        <v>4</v>
      </c>
      <c r="D340" s="12" t="str">
        <f t="shared" si="10"/>
        <v>January</v>
      </c>
      <c r="E340" s="12">
        <v>14</v>
      </c>
      <c r="F340" s="12" t="b">
        <v>0</v>
      </c>
      <c r="G340" s="12" t="str">
        <f t="shared" si="11"/>
        <v>Saturday</v>
      </c>
      <c r="H340" s="12" t="s">
        <v>0</v>
      </c>
      <c r="I340" s="18">
        <v>0.3</v>
      </c>
      <c r="J340" s="19">
        <v>0.28789999999999999</v>
      </c>
      <c r="K340" s="18">
        <v>0.39</v>
      </c>
      <c r="L340" s="12">
        <v>0.28360000000000002</v>
      </c>
      <c r="M340" s="12">
        <v>26</v>
      </c>
      <c r="N340" s="12">
        <v>92</v>
      </c>
      <c r="O340" s="13">
        <v>118</v>
      </c>
    </row>
    <row r="341" spans="1:15" x14ac:dyDescent="0.35">
      <c r="A341" s="10">
        <v>340</v>
      </c>
      <c r="B341" s="11">
        <v>40558</v>
      </c>
      <c r="C341" s="12" t="s">
        <v>4</v>
      </c>
      <c r="D341" s="12" t="str">
        <f t="shared" si="10"/>
        <v>January</v>
      </c>
      <c r="E341" s="12">
        <v>15</v>
      </c>
      <c r="F341" s="12" t="b">
        <v>0</v>
      </c>
      <c r="G341" s="12" t="str">
        <f t="shared" si="11"/>
        <v>Saturday</v>
      </c>
      <c r="H341" s="12" t="s">
        <v>1</v>
      </c>
      <c r="I341" s="18">
        <v>0.32</v>
      </c>
      <c r="J341" s="19">
        <v>0.31819999999999998</v>
      </c>
      <c r="K341" s="18">
        <v>0.36</v>
      </c>
      <c r="L341" s="12">
        <v>0.19400000000000001</v>
      </c>
      <c r="M341" s="12">
        <v>21</v>
      </c>
      <c r="N341" s="12">
        <v>108</v>
      </c>
      <c r="O341" s="13">
        <v>129</v>
      </c>
    </row>
    <row r="342" spans="1:15" x14ac:dyDescent="0.35">
      <c r="A342" s="10">
        <v>341</v>
      </c>
      <c r="B342" s="11">
        <v>40558</v>
      </c>
      <c r="C342" s="12" t="s">
        <v>4</v>
      </c>
      <c r="D342" s="12" t="str">
        <f t="shared" si="10"/>
        <v>January</v>
      </c>
      <c r="E342" s="12">
        <v>16</v>
      </c>
      <c r="F342" s="12" t="b">
        <v>0</v>
      </c>
      <c r="G342" s="12" t="str">
        <f t="shared" si="11"/>
        <v>Saturday</v>
      </c>
      <c r="H342" s="12" t="s">
        <v>1</v>
      </c>
      <c r="I342" s="18">
        <v>0.34</v>
      </c>
      <c r="J342" s="19">
        <v>0.33329999999999999</v>
      </c>
      <c r="K342" s="18">
        <v>0.34</v>
      </c>
      <c r="L342" s="12">
        <v>0.19400000000000001</v>
      </c>
      <c r="M342" s="12">
        <v>33</v>
      </c>
      <c r="N342" s="12">
        <v>95</v>
      </c>
      <c r="O342" s="13">
        <v>128</v>
      </c>
    </row>
    <row r="343" spans="1:15" x14ac:dyDescent="0.35">
      <c r="A343" s="10">
        <v>342</v>
      </c>
      <c r="B343" s="11">
        <v>40558</v>
      </c>
      <c r="C343" s="12" t="s">
        <v>4</v>
      </c>
      <c r="D343" s="12" t="str">
        <f t="shared" si="10"/>
        <v>January</v>
      </c>
      <c r="E343" s="12">
        <v>17</v>
      </c>
      <c r="F343" s="12" t="b">
        <v>0</v>
      </c>
      <c r="G343" s="12" t="str">
        <f t="shared" si="11"/>
        <v>Saturday</v>
      </c>
      <c r="H343" s="12" t="s">
        <v>1</v>
      </c>
      <c r="I343" s="18">
        <v>0.32</v>
      </c>
      <c r="J343" s="19">
        <v>0.30299999999999999</v>
      </c>
      <c r="K343" s="18">
        <v>0.36</v>
      </c>
      <c r="L343" s="12">
        <v>0.28360000000000002</v>
      </c>
      <c r="M343" s="12">
        <v>29</v>
      </c>
      <c r="N343" s="12">
        <v>54</v>
      </c>
      <c r="O343" s="13">
        <v>83</v>
      </c>
    </row>
    <row r="344" spans="1:15" x14ac:dyDescent="0.35">
      <c r="A344" s="10">
        <v>343</v>
      </c>
      <c r="B344" s="11">
        <v>40558</v>
      </c>
      <c r="C344" s="12" t="s">
        <v>4</v>
      </c>
      <c r="D344" s="12" t="str">
        <f t="shared" si="10"/>
        <v>January</v>
      </c>
      <c r="E344" s="12">
        <v>18</v>
      </c>
      <c r="F344" s="12" t="b">
        <v>0</v>
      </c>
      <c r="G344" s="12" t="str">
        <f t="shared" si="11"/>
        <v>Saturday</v>
      </c>
      <c r="H344" s="12" t="s">
        <v>1</v>
      </c>
      <c r="I344" s="18">
        <v>0.3</v>
      </c>
      <c r="J344" s="19">
        <v>0.28789999999999999</v>
      </c>
      <c r="K344" s="18">
        <v>0.45</v>
      </c>
      <c r="L344" s="12">
        <v>0.25369999999999998</v>
      </c>
      <c r="M344" s="12">
        <v>15</v>
      </c>
      <c r="N344" s="12">
        <v>69</v>
      </c>
      <c r="O344" s="13">
        <v>84</v>
      </c>
    </row>
    <row r="345" spans="1:15" x14ac:dyDescent="0.35">
      <c r="A345" s="10">
        <v>344</v>
      </c>
      <c r="B345" s="11">
        <v>40558</v>
      </c>
      <c r="C345" s="12" t="s">
        <v>4</v>
      </c>
      <c r="D345" s="12" t="str">
        <f t="shared" si="10"/>
        <v>January</v>
      </c>
      <c r="E345" s="12">
        <v>19</v>
      </c>
      <c r="F345" s="12" t="b">
        <v>0</v>
      </c>
      <c r="G345" s="12" t="str">
        <f t="shared" si="11"/>
        <v>Saturday</v>
      </c>
      <c r="H345" s="12" t="s">
        <v>1</v>
      </c>
      <c r="I345" s="18">
        <v>0.32</v>
      </c>
      <c r="J345" s="19">
        <v>0.30299999999999999</v>
      </c>
      <c r="K345" s="18">
        <v>0.39</v>
      </c>
      <c r="L345" s="12">
        <v>0.25369999999999998</v>
      </c>
      <c r="M345" s="12">
        <v>14</v>
      </c>
      <c r="N345" s="12">
        <v>60</v>
      </c>
      <c r="O345" s="13">
        <v>74</v>
      </c>
    </row>
    <row r="346" spans="1:15" x14ac:dyDescent="0.35">
      <c r="A346" s="10">
        <v>345</v>
      </c>
      <c r="B346" s="11">
        <v>40558</v>
      </c>
      <c r="C346" s="12" t="s">
        <v>4</v>
      </c>
      <c r="D346" s="12" t="str">
        <f t="shared" si="10"/>
        <v>January</v>
      </c>
      <c r="E346" s="12">
        <v>20</v>
      </c>
      <c r="F346" s="12" t="b">
        <v>0</v>
      </c>
      <c r="G346" s="12" t="str">
        <f t="shared" si="11"/>
        <v>Saturday</v>
      </c>
      <c r="H346" s="12" t="s">
        <v>1</v>
      </c>
      <c r="I346" s="18">
        <v>0.32</v>
      </c>
      <c r="J346" s="19">
        <v>0.30299999999999999</v>
      </c>
      <c r="K346" s="18">
        <v>0.39</v>
      </c>
      <c r="L346" s="12">
        <v>0.25369999999999998</v>
      </c>
      <c r="M346" s="12">
        <v>6</v>
      </c>
      <c r="N346" s="12">
        <v>35</v>
      </c>
      <c r="O346" s="13">
        <v>41</v>
      </c>
    </row>
    <row r="347" spans="1:15" x14ac:dyDescent="0.35">
      <c r="A347" s="10">
        <v>346</v>
      </c>
      <c r="B347" s="11">
        <v>40558</v>
      </c>
      <c r="C347" s="12" t="s">
        <v>4</v>
      </c>
      <c r="D347" s="12" t="str">
        <f t="shared" si="10"/>
        <v>January</v>
      </c>
      <c r="E347" s="12">
        <v>21</v>
      </c>
      <c r="F347" s="12" t="b">
        <v>0</v>
      </c>
      <c r="G347" s="12" t="str">
        <f t="shared" si="11"/>
        <v>Saturday</v>
      </c>
      <c r="H347" s="12" t="s">
        <v>1</v>
      </c>
      <c r="I347" s="18">
        <v>0.32</v>
      </c>
      <c r="J347" s="19">
        <v>0.30299999999999999</v>
      </c>
      <c r="K347" s="18">
        <v>0.39</v>
      </c>
      <c r="L347" s="12">
        <v>0.22389999999999999</v>
      </c>
      <c r="M347" s="12">
        <v>6</v>
      </c>
      <c r="N347" s="12">
        <v>51</v>
      </c>
      <c r="O347" s="13">
        <v>57</v>
      </c>
    </row>
    <row r="348" spans="1:15" x14ac:dyDescent="0.35">
      <c r="A348" s="10">
        <v>347</v>
      </c>
      <c r="B348" s="11">
        <v>40558</v>
      </c>
      <c r="C348" s="12" t="s">
        <v>4</v>
      </c>
      <c r="D348" s="12" t="str">
        <f t="shared" si="10"/>
        <v>January</v>
      </c>
      <c r="E348" s="12">
        <v>22</v>
      </c>
      <c r="F348" s="12" t="b">
        <v>0</v>
      </c>
      <c r="G348" s="12" t="str">
        <f t="shared" si="11"/>
        <v>Saturday</v>
      </c>
      <c r="H348" s="12" t="s">
        <v>1</v>
      </c>
      <c r="I348" s="18">
        <v>0.3</v>
      </c>
      <c r="J348" s="19">
        <v>0.31819999999999998</v>
      </c>
      <c r="K348" s="18">
        <v>0.42</v>
      </c>
      <c r="L348" s="12">
        <v>0.1045</v>
      </c>
      <c r="M348" s="12">
        <v>0</v>
      </c>
      <c r="N348" s="12">
        <v>26</v>
      </c>
      <c r="O348" s="13">
        <v>26</v>
      </c>
    </row>
    <row r="349" spans="1:15" x14ac:dyDescent="0.35">
      <c r="A349" s="10">
        <v>348</v>
      </c>
      <c r="B349" s="11">
        <v>40558</v>
      </c>
      <c r="C349" s="12" t="s">
        <v>4</v>
      </c>
      <c r="D349" s="12" t="str">
        <f t="shared" si="10"/>
        <v>January</v>
      </c>
      <c r="E349" s="12">
        <v>23</v>
      </c>
      <c r="F349" s="12" t="b">
        <v>0</v>
      </c>
      <c r="G349" s="12" t="str">
        <f t="shared" si="11"/>
        <v>Saturday</v>
      </c>
      <c r="H349" s="12" t="s">
        <v>0</v>
      </c>
      <c r="I349" s="18">
        <v>0.3</v>
      </c>
      <c r="J349" s="19">
        <v>0.28789999999999999</v>
      </c>
      <c r="K349" s="18">
        <v>0.45</v>
      </c>
      <c r="L349" s="12">
        <v>0.28360000000000002</v>
      </c>
      <c r="M349" s="12">
        <v>5</v>
      </c>
      <c r="N349" s="12">
        <v>39</v>
      </c>
      <c r="O349" s="13">
        <v>44</v>
      </c>
    </row>
    <row r="350" spans="1:15" x14ac:dyDescent="0.35">
      <c r="A350" s="10">
        <v>349</v>
      </c>
      <c r="B350" s="11">
        <v>40559</v>
      </c>
      <c r="C350" s="12" t="s">
        <v>4</v>
      </c>
      <c r="D350" s="12" t="str">
        <f t="shared" si="10"/>
        <v>January</v>
      </c>
      <c r="E350" s="12">
        <v>0</v>
      </c>
      <c r="F350" s="12" t="b">
        <v>0</v>
      </c>
      <c r="G350" s="12" t="str">
        <f t="shared" si="11"/>
        <v>Sunday</v>
      </c>
      <c r="H350" s="12" t="s">
        <v>0</v>
      </c>
      <c r="I350" s="18">
        <v>0.26</v>
      </c>
      <c r="J350" s="19">
        <v>0.30299999999999999</v>
      </c>
      <c r="K350" s="18">
        <v>0.56000000000000005</v>
      </c>
      <c r="L350" s="12">
        <v>0</v>
      </c>
      <c r="M350" s="12">
        <v>6</v>
      </c>
      <c r="N350" s="12">
        <v>33</v>
      </c>
      <c r="O350" s="13">
        <v>39</v>
      </c>
    </row>
    <row r="351" spans="1:15" x14ac:dyDescent="0.35">
      <c r="A351" s="10">
        <v>350</v>
      </c>
      <c r="B351" s="11">
        <v>40559</v>
      </c>
      <c r="C351" s="12" t="s">
        <v>4</v>
      </c>
      <c r="D351" s="12" t="str">
        <f t="shared" si="10"/>
        <v>January</v>
      </c>
      <c r="E351" s="12">
        <v>1</v>
      </c>
      <c r="F351" s="12" t="b">
        <v>0</v>
      </c>
      <c r="G351" s="12" t="str">
        <f t="shared" si="11"/>
        <v>Sunday</v>
      </c>
      <c r="H351" s="12" t="s">
        <v>0</v>
      </c>
      <c r="I351" s="18">
        <v>0.26</v>
      </c>
      <c r="J351" s="19">
        <v>0.2727</v>
      </c>
      <c r="K351" s="18">
        <v>0.56000000000000005</v>
      </c>
      <c r="L351" s="12">
        <v>0.1343</v>
      </c>
      <c r="M351" s="12">
        <v>4</v>
      </c>
      <c r="N351" s="12">
        <v>19</v>
      </c>
      <c r="O351" s="13">
        <v>23</v>
      </c>
    </row>
    <row r="352" spans="1:15" x14ac:dyDescent="0.35">
      <c r="A352" s="10">
        <v>351</v>
      </c>
      <c r="B352" s="11">
        <v>40559</v>
      </c>
      <c r="C352" s="12" t="s">
        <v>4</v>
      </c>
      <c r="D352" s="12" t="str">
        <f t="shared" si="10"/>
        <v>January</v>
      </c>
      <c r="E352" s="12">
        <v>2</v>
      </c>
      <c r="F352" s="12" t="b">
        <v>0</v>
      </c>
      <c r="G352" s="12" t="str">
        <f t="shared" si="11"/>
        <v>Sunday</v>
      </c>
      <c r="H352" s="12" t="s">
        <v>0</v>
      </c>
      <c r="I352" s="18">
        <v>0.26</v>
      </c>
      <c r="J352" s="19">
        <v>0.28789999999999999</v>
      </c>
      <c r="K352" s="18">
        <v>0.56000000000000005</v>
      </c>
      <c r="L352" s="12">
        <v>8.9599999999999999E-2</v>
      </c>
      <c r="M352" s="12">
        <v>3</v>
      </c>
      <c r="N352" s="12">
        <v>13</v>
      </c>
      <c r="O352" s="13">
        <v>16</v>
      </c>
    </row>
    <row r="353" spans="1:15" x14ac:dyDescent="0.35">
      <c r="A353" s="10">
        <v>352</v>
      </c>
      <c r="B353" s="11">
        <v>40559</v>
      </c>
      <c r="C353" s="12" t="s">
        <v>4</v>
      </c>
      <c r="D353" s="12" t="str">
        <f t="shared" si="10"/>
        <v>January</v>
      </c>
      <c r="E353" s="12">
        <v>3</v>
      </c>
      <c r="F353" s="12" t="b">
        <v>0</v>
      </c>
      <c r="G353" s="12" t="str">
        <f t="shared" si="11"/>
        <v>Sunday</v>
      </c>
      <c r="H353" s="12" t="s">
        <v>0</v>
      </c>
      <c r="I353" s="18">
        <v>0.22</v>
      </c>
      <c r="J353" s="19">
        <v>0.2727</v>
      </c>
      <c r="K353" s="18">
        <v>0.69</v>
      </c>
      <c r="L353" s="12">
        <v>0</v>
      </c>
      <c r="M353" s="12">
        <v>9</v>
      </c>
      <c r="N353" s="12">
        <v>6</v>
      </c>
      <c r="O353" s="13">
        <v>15</v>
      </c>
    </row>
    <row r="354" spans="1:15" x14ac:dyDescent="0.35">
      <c r="A354" s="10">
        <v>353</v>
      </c>
      <c r="B354" s="11">
        <v>40559</v>
      </c>
      <c r="C354" s="12" t="s">
        <v>4</v>
      </c>
      <c r="D354" s="12" t="str">
        <f t="shared" si="10"/>
        <v>January</v>
      </c>
      <c r="E354" s="12">
        <v>4</v>
      </c>
      <c r="F354" s="12" t="b">
        <v>0</v>
      </c>
      <c r="G354" s="12" t="str">
        <f t="shared" si="11"/>
        <v>Sunday</v>
      </c>
      <c r="H354" s="12" t="s">
        <v>0</v>
      </c>
      <c r="I354" s="18">
        <v>0.26</v>
      </c>
      <c r="J354" s="19">
        <v>0.2576</v>
      </c>
      <c r="K354" s="18">
        <v>0.56000000000000005</v>
      </c>
      <c r="L354" s="12">
        <v>0.16420000000000001</v>
      </c>
      <c r="M354" s="12">
        <v>0</v>
      </c>
      <c r="N354" s="12">
        <v>1</v>
      </c>
      <c r="O354" s="13">
        <v>1</v>
      </c>
    </row>
    <row r="355" spans="1:15" x14ac:dyDescent="0.35">
      <c r="A355" s="10">
        <v>354</v>
      </c>
      <c r="B355" s="11">
        <v>40559</v>
      </c>
      <c r="C355" s="12" t="s">
        <v>4</v>
      </c>
      <c r="D355" s="12" t="str">
        <f t="shared" si="10"/>
        <v>January</v>
      </c>
      <c r="E355" s="12">
        <v>5</v>
      </c>
      <c r="F355" s="12" t="b">
        <v>0</v>
      </c>
      <c r="G355" s="12" t="str">
        <f t="shared" si="11"/>
        <v>Sunday</v>
      </c>
      <c r="H355" s="12" t="s">
        <v>1</v>
      </c>
      <c r="I355" s="18">
        <v>0.26</v>
      </c>
      <c r="J355" s="19">
        <v>0.2576</v>
      </c>
      <c r="K355" s="18">
        <v>0.56000000000000005</v>
      </c>
      <c r="L355" s="12">
        <v>0.16420000000000001</v>
      </c>
      <c r="M355" s="12">
        <v>1</v>
      </c>
      <c r="N355" s="12">
        <v>1</v>
      </c>
      <c r="O355" s="13">
        <v>2</v>
      </c>
    </row>
    <row r="356" spans="1:15" x14ac:dyDescent="0.35">
      <c r="A356" s="10">
        <v>355</v>
      </c>
      <c r="B356" s="11">
        <v>40559</v>
      </c>
      <c r="C356" s="12" t="s">
        <v>4</v>
      </c>
      <c r="D356" s="12" t="str">
        <f t="shared" si="10"/>
        <v>January</v>
      </c>
      <c r="E356" s="12">
        <v>6</v>
      </c>
      <c r="F356" s="12" t="b">
        <v>0</v>
      </c>
      <c r="G356" s="12" t="str">
        <f t="shared" si="11"/>
        <v>Sunday</v>
      </c>
      <c r="H356" s="12" t="s">
        <v>1</v>
      </c>
      <c r="I356" s="18">
        <v>0.26</v>
      </c>
      <c r="J356" s="19">
        <v>0.2576</v>
      </c>
      <c r="K356" s="18">
        <v>0.56000000000000005</v>
      </c>
      <c r="L356" s="12">
        <v>0.16420000000000001</v>
      </c>
      <c r="M356" s="12">
        <v>0</v>
      </c>
      <c r="N356" s="12">
        <v>1</v>
      </c>
      <c r="O356" s="13">
        <v>1</v>
      </c>
    </row>
    <row r="357" spans="1:15" x14ac:dyDescent="0.35">
      <c r="A357" s="10">
        <v>356</v>
      </c>
      <c r="B357" s="11">
        <v>40559</v>
      </c>
      <c r="C357" s="12" t="s">
        <v>4</v>
      </c>
      <c r="D357" s="12" t="str">
        <f t="shared" si="10"/>
        <v>January</v>
      </c>
      <c r="E357" s="12">
        <v>7</v>
      </c>
      <c r="F357" s="12" t="b">
        <v>0</v>
      </c>
      <c r="G357" s="12" t="str">
        <f t="shared" si="11"/>
        <v>Sunday</v>
      </c>
      <c r="H357" s="12" t="s">
        <v>1</v>
      </c>
      <c r="I357" s="18">
        <v>0.24</v>
      </c>
      <c r="J357" s="19">
        <v>0.21210000000000001</v>
      </c>
      <c r="K357" s="18">
        <v>0.56000000000000005</v>
      </c>
      <c r="L357" s="12">
        <v>0.29849999999999999</v>
      </c>
      <c r="M357" s="12">
        <v>0</v>
      </c>
      <c r="N357" s="12">
        <v>3</v>
      </c>
      <c r="O357" s="13">
        <v>3</v>
      </c>
    </row>
    <row r="358" spans="1:15" x14ac:dyDescent="0.35">
      <c r="A358" s="10">
        <v>357</v>
      </c>
      <c r="B358" s="11">
        <v>40559</v>
      </c>
      <c r="C358" s="12" t="s">
        <v>4</v>
      </c>
      <c r="D358" s="12" t="str">
        <f t="shared" si="10"/>
        <v>January</v>
      </c>
      <c r="E358" s="12">
        <v>8</v>
      </c>
      <c r="F358" s="12" t="b">
        <v>0</v>
      </c>
      <c r="G358" s="12" t="str">
        <f t="shared" si="11"/>
        <v>Sunday</v>
      </c>
      <c r="H358" s="12" t="s">
        <v>0</v>
      </c>
      <c r="I358" s="18">
        <v>0.22</v>
      </c>
      <c r="J358" s="19">
        <v>0.21210000000000001</v>
      </c>
      <c r="K358" s="18">
        <v>0.55000000000000004</v>
      </c>
      <c r="L358" s="12">
        <v>0.28360000000000002</v>
      </c>
      <c r="M358" s="12">
        <v>0</v>
      </c>
      <c r="N358" s="12">
        <v>18</v>
      </c>
      <c r="O358" s="13">
        <v>18</v>
      </c>
    </row>
    <row r="359" spans="1:15" x14ac:dyDescent="0.35">
      <c r="A359" s="10">
        <v>358</v>
      </c>
      <c r="B359" s="11">
        <v>40559</v>
      </c>
      <c r="C359" s="12" t="s">
        <v>4</v>
      </c>
      <c r="D359" s="12" t="str">
        <f t="shared" si="10"/>
        <v>January</v>
      </c>
      <c r="E359" s="12">
        <v>9</v>
      </c>
      <c r="F359" s="12" t="b">
        <v>0</v>
      </c>
      <c r="G359" s="12" t="str">
        <f t="shared" si="11"/>
        <v>Sunday</v>
      </c>
      <c r="H359" s="12" t="s">
        <v>0</v>
      </c>
      <c r="I359" s="18">
        <v>0.22</v>
      </c>
      <c r="J359" s="19">
        <v>0.21210000000000001</v>
      </c>
      <c r="K359" s="18">
        <v>0.51</v>
      </c>
      <c r="L359" s="12">
        <v>0.25369999999999998</v>
      </c>
      <c r="M359" s="12">
        <v>3</v>
      </c>
      <c r="N359" s="12">
        <v>29</v>
      </c>
      <c r="O359" s="13">
        <v>32</v>
      </c>
    </row>
    <row r="360" spans="1:15" x14ac:dyDescent="0.35">
      <c r="A360" s="10">
        <v>359</v>
      </c>
      <c r="B360" s="11">
        <v>40559</v>
      </c>
      <c r="C360" s="12" t="s">
        <v>4</v>
      </c>
      <c r="D360" s="12" t="str">
        <f t="shared" si="10"/>
        <v>January</v>
      </c>
      <c r="E360" s="12">
        <v>10</v>
      </c>
      <c r="F360" s="12" t="b">
        <v>0</v>
      </c>
      <c r="G360" s="12" t="str">
        <f t="shared" si="11"/>
        <v>Sunday</v>
      </c>
      <c r="H360" s="12" t="s">
        <v>0</v>
      </c>
      <c r="I360" s="18">
        <v>0.22</v>
      </c>
      <c r="J360" s="19">
        <v>0.21210000000000001</v>
      </c>
      <c r="K360" s="18">
        <v>0.51</v>
      </c>
      <c r="L360" s="12">
        <v>0.28360000000000002</v>
      </c>
      <c r="M360" s="12">
        <v>8</v>
      </c>
      <c r="N360" s="12">
        <v>71</v>
      </c>
      <c r="O360" s="13">
        <v>79</v>
      </c>
    </row>
    <row r="361" spans="1:15" x14ac:dyDescent="0.35">
      <c r="A361" s="10">
        <v>360</v>
      </c>
      <c r="B361" s="11">
        <v>40559</v>
      </c>
      <c r="C361" s="12" t="s">
        <v>4</v>
      </c>
      <c r="D361" s="12" t="str">
        <f t="shared" si="10"/>
        <v>January</v>
      </c>
      <c r="E361" s="12">
        <v>11</v>
      </c>
      <c r="F361" s="12" t="b">
        <v>0</v>
      </c>
      <c r="G361" s="12" t="str">
        <f t="shared" si="11"/>
        <v>Sunday</v>
      </c>
      <c r="H361" s="12" t="s">
        <v>0</v>
      </c>
      <c r="I361" s="18">
        <v>0.24</v>
      </c>
      <c r="J361" s="19">
        <v>0.2273</v>
      </c>
      <c r="K361" s="18">
        <v>0.44</v>
      </c>
      <c r="L361" s="12">
        <v>0.25369999999999998</v>
      </c>
      <c r="M361" s="12">
        <v>23</v>
      </c>
      <c r="N361" s="12">
        <v>70</v>
      </c>
      <c r="O361" s="13">
        <v>93</v>
      </c>
    </row>
    <row r="362" spans="1:15" x14ac:dyDescent="0.35">
      <c r="A362" s="10">
        <v>361</v>
      </c>
      <c r="B362" s="11">
        <v>40559</v>
      </c>
      <c r="C362" s="12" t="s">
        <v>4</v>
      </c>
      <c r="D362" s="12" t="str">
        <f t="shared" si="10"/>
        <v>January</v>
      </c>
      <c r="E362" s="12">
        <v>12</v>
      </c>
      <c r="F362" s="12" t="b">
        <v>0</v>
      </c>
      <c r="G362" s="12" t="str">
        <f t="shared" si="11"/>
        <v>Sunday</v>
      </c>
      <c r="H362" s="12" t="s">
        <v>0</v>
      </c>
      <c r="I362" s="18">
        <v>0.24</v>
      </c>
      <c r="J362" s="19">
        <v>0.21210000000000001</v>
      </c>
      <c r="K362" s="18">
        <v>0.41</v>
      </c>
      <c r="L362" s="12">
        <v>0.28360000000000002</v>
      </c>
      <c r="M362" s="12">
        <v>29</v>
      </c>
      <c r="N362" s="12">
        <v>75</v>
      </c>
      <c r="O362" s="13">
        <v>104</v>
      </c>
    </row>
    <row r="363" spans="1:15" x14ac:dyDescent="0.35">
      <c r="A363" s="10">
        <v>362</v>
      </c>
      <c r="B363" s="11">
        <v>40559</v>
      </c>
      <c r="C363" s="12" t="s">
        <v>4</v>
      </c>
      <c r="D363" s="12" t="str">
        <f t="shared" si="10"/>
        <v>January</v>
      </c>
      <c r="E363" s="12">
        <v>13</v>
      </c>
      <c r="F363" s="12" t="b">
        <v>0</v>
      </c>
      <c r="G363" s="12" t="str">
        <f t="shared" si="11"/>
        <v>Sunday</v>
      </c>
      <c r="H363" s="12" t="s">
        <v>0</v>
      </c>
      <c r="I363" s="18">
        <v>0.26</v>
      </c>
      <c r="J363" s="19">
        <v>0.2273</v>
      </c>
      <c r="K363" s="18">
        <v>0.35</v>
      </c>
      <c r="L363" s="12">
        <v>0.29849999999999999</v>
      </c>
      <c r="M363" s="12">
        <v>23</v>
      </c>
      <c r="N363" s="12">
        <v>95</v>
      </c>
      <c r="O363" s="13">
        <v>118</v>
      </c>
    </row>
    <row r="364" spans="1:15" x14ac:dyDescent="0.35">
      <c r="A364" s="10">
        <v>363</v>
      </c>
      <c r="B364" s="11">
        <v>40559</v>
      </c>
      <c r="C364" s="12" t="s">
        <v>4</v>
      </c>
      <c r="D364" s="12" t="str">
        <f t="shared" si="10"/>
        <v>January</v>
      </c>
      <c r="E364" s="12">
        <v>14</v>
      </c>
      <c r="F364" s="12" t="b">
        <v>0</v>
      </c>
      <c r="G364" s="12" t="str">
        <f t="shared" si="11"/>
        <v>Sunday</v>
      </c>
      <c r="H364" s="12" t="s">
        <v>0</v>
      </c>
      <c r="I364" s="18">
        <v>0.28000000000000003</v>
      </c>
      <c r="J364" s="19">
        <v>0.2727</v>
      </c>
      <c r="K364" s="18">
        <v>0.36</v>
      </c>
      <c r="L364" s="12">
        <v>0.25369999999999998</v>
      </c>
      <c r="M364" s="12">
        <v>22</v>
      </c>
      <c r="N364" s="12">
        <v>69</v>
      </c>
      <c r="O364" s="13">
        <v>91</v>
      </c>
    </row>
    <row r="365" spans="1:15" x14ac:dyDescent="0.35">
      <c r="A365" s="10">
        <v>364</v>
      </c>
      <c r="B365" s="11">
        <v>40559</v>
      </c>
      <c r="C365" s="12" t="s">
        <v>4</v>
      </c>
      <c r="D365" s="12" t="str">
        <f t="shared" si="10"/>
        <v>January</v>
      </c>
      <c r="E365" s="12">
        <v>15</v>
      </c>
      <c r="F365" s="12" t="b">
        <v>0</v>
      </c>
      <c r="G365" s="12" t="str">
        <f t="shared" si="11"/>
        <v>Sunday</v>
      </c>
      <c r="H365" s="12" t="s">
        <v>0</v>
      </c>
      <c r="I365" s="18">
        <v>0.26</v>
      </c>
      <c r="J365" s="19">
        <v>0.2424</v>
      </c>
      <c r="K365" s="18">
        <v>0.38</v>
      </c>
      <c r="L365" s="12">
        <v>0.25369999999999998</v>
      </c>
      <c r="M365" s="12">
        <v>35</v>
      </c>
      <c r="N365" s="12">
        <v>78</v>
      </c>
      <c r="O365" s="13">
        <v>113</v>
      </c>
    </row>
    <row r="366" spans="1:15" x14ac:dyDescent="0.35">
      <c r="A366" s="10">
        <v>365</v>
      </c>
      <c r="B366" s="11">
        <v>40559</v>
      </c>
      <c r="C366" s="12" t="s">
        <v>4</v>
      </c>
      <c r="D366" s="12" t="str">
        <f t="shared" si="10"/>
        <v>January</v>
      </c>
      <c r="E366" s="12">
        <v>16</v>
      </c>
      <c r="F366" s="12" t="b">
        <v>0</v>
      </c>
      <c r="G366" s="12" t="str">
        <f t="shared" si="11"/>
        <v>Sunday</v>
      </c>
      <c r="H366" s="12" t="s">
        <v>0</v>
      </c>
      <c r="I366" s="18">
        <v>0.24</v>
      </c>
      <c r="J366" s="19">
        <v>0.2273</v>
      </c>
      <c r="K366" s="18">
        <v>0.38</v>
      </c>
      <c r="L366" s="12">
        <v>0.22389999999999999</v>
      </c>
      <c r="M366" s="12">
        <v>22</v>
      </c>
      <c r="N366" s="12">
        <v>77</v>
      </c>
      <c r="O366" s="13">
        <v>99</v>
      </c>
    </row>
    <row r="367" spans="1:15" x14ac:dyDescent="0.35">
      <c r="A367" s="10">
        <v>366</v>
      </c>
      <c r="B367" s="11">
        <v>40559</v>
      </c>
      <c r="C367" s="12" t="s">
        <v>4</v>
      </c>
      <c r="D367" s="12" t="str">
        <f t="shared" si="10"/>
        <v>January</v>
      </c>
      <c r="E367" s="12">
        <v>17</v>
      </c>
      <c r="F367" s="12" t="b">
        <v>0</v>
      </c>
      <c r="G367" s="12" t="str">
        <f t="shared" si="11"/>
        <v>Sunday</v>
      </c>
      <c r="H367" s="12" t="s">
        <v>0</v>
      </c>
      <c r="I367" s="18">
        <v>0.22</v>
      </c>
      <c r="J367" s="19">
        <v>0.21210000000000001</v>
      </c>
      <c r="K367" s="18">
        <v>0.37</v>
      </c>
      <c r="L367" s="12">
        <v>0.25369999999999998</v>
      </c>
      <c r="M367" s="12">
        <v>23</v>
      </c>
      <c r="N367" s="12">
        <v>82</v>
      </c>
      <c r="O367" s="13">
        <v>105</v>
      </c>
    </row>
    <row r="368" spans="1:15" x14ac:dyDescent="0.35">
      <c r="A368" s="10">
        <v>367</v>
      </c>
      <c r="B368" s="11">
        <v>40559</v>
      </c>
      <c r="C368" s="12" t="s">
        <v>4</v>
      </c>
      <c r="D368" s="12" t="str">
        <f t="shared" si="10"/>
        <v>January</v>
      </c>
      <c r="E368" s="12">
        <v>18</v>
      </c>
      <c r="F368" s="12" t="b">
        <v>0</v>
      </c>
      <c r="G368" s="12" t="str">
        <f t="shared" si="11"/>
        <v>Sunday</v>
      </c>
      <c r="H368" s="12" t="s">
        <v>0</v>
      </c>
      <c r="I368" s="18">
        <v>0.2</v>
      </c>
      <c r="J368" s="19">
        <v>0.21210000000000001</v>
      </c>
      <c r="K368" s="18">
        <v>0.4</v>
      </c>
      <c r="L368" s="12">
        <v>0.16420000000000001</v>
      </c>
      <c r="M368" s="12">
        <v>11</v>
      </c>
      <c r="N368" s="12">
        <v>56</v>
      </c>
      <c r="O368" s="13">
        <v>67</v>
      </c>
    </row>
    <row r="369" spans="1:15" x14ac:dyDescent="0.35">
      <c r="A369" s="10">
        <v>368</v>
      </c>
      <c r="B369" s="11">
        <v>40559</v>
      </c>
      <c r="C369" s="12" t="s">
        <v>4</v>
      </c>
      <c r="D369" s="12" t="str">
        <f t="shared" si="10"/>
        <v>January</v>
      </c>
      <c r="E369" s="12">
        <v>19</v>
      </c>
      <c r="F369" s="12" t="b">
        <v>0</v>
      </c>
      <c r="G369" s="12" t="str">
        <f t="shared" si="11"/>
        <v>Sunday</v>
      </c>
      <c r="H369" s="12" t="s">
        <v>0</v>
      </c>
      <c r="I369" s="18">
        <v>0.18</v>
      </c>
      <c r="J369" s="19">
        <v>0.19700000000000001</v>
      </c>
      <c r="K369" s="18">
        <v>0.47</v>
      </c>
      <c r="L369" s="12">
        <v>0.1343</v>
      </c>
      <c r="M369" s="12">
        <v>14</v>
      </c>
      <c r="N369" s="12">
        <v>47</v>
      </c>
      <c r="O369" s="13">
        <v>61</v>
      </c>
    </row>
    <row r="370" spans="1:15" x14ac:dyDescent="0.35">
      <c r="A370" s="10">
        <v>369</v>
      </c>
      <c r="B370" s="11">
        <v>40559</v>
      </c>
      <c r="C370" s="12" t="s">
        <v>4</v>
      </c>
      <c r="D370" s="12" t="str">
        <f t="shared" si="10"/>
        <v>January</v>
      </c>
      <c r="E370" s="12">
        <v>20</v>
      </c>
      <c r="F370" s="12" t="b">
        <v>0</v>
      </c>
      <c r="G370" s="12" t="str">
        <f t="shared" si="11"/>
        <v>Sunday</v>
      </c>
      <c r="H370" s="12" t="s">
        <v>0</v>
      </c>
      <c r="I370" s="18">
        <v>0.18</v>
      </c>
      <c r="J370" s="19">
        <v>0.19700000000000001</v>
      </c>
      <c r="K370" s="18">
        <v>0.47</v>
      </c>
      <c r="L370" s="12">
        <v>0.16420000000000001</v>
      </c>
      <c r="M370" s="12">
        <v>7</v>
      </c>
      <c r="N370" s="12">
        <v>50</v>
      </c>
      <c r="O370" s="13">
        <v>57</v>
      </c>
    </row>
    <row r="371" spans="1:15" x14ac:dyDescent="0.35">
      <c r="A371" s="10">
        <v>370</v>
      </c>
      <c r="B371" s="11">
        <v>40559</v>
      </c>
      <c r="C371" s="12" t="s">
        <v>4</v>
      </c>
      <c r="D371" s="12" t="str">
        <f t="shared" si="10"/>
        <v>January</v>
      </c>
      <c r="E371" s="12">
        <v>21</v>
      </c>
      <c r="F371" s="12" t="b">
        <v>0</v>
      </c>
      <c r="G371" s="12" t="str">
        <f t="shared" si="11"/>
        <v>Sunday</v>
      </c>
      <c r="H371" s="12" t="s">
        <v>0</v>
      </c>
      <c r="I371" s="18">
        <v>0.18</v>
      </c>
      <c r="J371" s="19">
        <v>0.19700000000000001</v>
      </c>
      <c r="K371" s="18">
        <v>0.51</v>
      </c>
      <c r="L371" s="12">
        <v>0.16420000000000001</v>
      </c>
      <c r="M371" s="12">
        <v>6</v>
      </c>
      <c r="N371" s="12">
        <v>22</v>
      </c>
      <c r="O371" s="13">
        <v>28</v>
      </c>
    </row>
    <row r="372" spans="1:15" x14ac:dyDescent="0.35">
      <c r="A372" s="10">
        <v>371</v>
      </c>
      <c r="B372" s="11">
        <v>40559</v>
      </c>
      <c r="C372" s="12" t="s">
        <v>4</v>
      </c>
      <c r="D372" s="12" t="str">
        <f t="shared" si="10"/>
        <v>January</v>
      </c>
      <c r="E372" s="12">
        <v>22</v>
      </c>
      <c r="F372" s="12" t="b">
        <v>0</v>
      </c>
      <c r="G372" s="12" t="str">
        <f t="shared" si="11"/>
        <v>Sunday</v>
      </c>
      <c r="H372" s="12" t="s">
        <v>1</v>
      </c>
      <c r="I372" s="18">
        <v>0.2</v>
      </c>
      <c r="J372" s="19">
        <v>0.21210000000000001</v>
      </c>
      <c r="K372" s="18">
        <v>0.49</v>
      </c>
      <c r="L372" s="12">
        <v>0.1343</v>
      </c>
      <c r="M372" s="12">
        <v>2</v>
      </c>
      <c r="N372" s="12">
        <v>19</v>
      </c>
      <c r="O372" s="13">
        <v>21</v>
      </c>
    </row>
    <row r="373" spans="1:15" x14ac:dyDescent="0.35">
      <c r="A373" s="10">
        <v>372</v>
      </c>
      <c r="B373" s="11">
        <v>40559</v>
      </c>
      <c r="C373" s="12" t="s">
        <v>4</v>
      </c>
      <c r="D373" s="12" t="str">
        <f t="shared" si="10"/>
        <v>January</v>
      </c>
      <c r="E373" s="12">
        <v>23</v>
      </c>
      <c r="F373" s="12" t="b">
        <v>0</v>
      </c>
      <c r="G373" s="12" t="str">
        <f t="shared" si="11"/>
        <v>Sunday</v>
      </c>
      <c r="H373" s="12" t="s">
        <v>1</v>
      </c>
      <c r="I373" s="18">
        <v>0.2</v>
      </c>
      <c r="J373" s="19">
        <v>0.2273</v>
      </c>
      <c r="K373" s="18">
        <v>0.4</v>
      </c>
      <c r="L373" s="12">
        <v>0.1045</v>
      </c>
      <c r="M373" s="12">
        <v>0</v>
      </c>
      <c r="N373" s="12">
        <v>18</v>
      </c>
      <c r="O373" s="13">
        <v>18</v>
      </c>
    </row>
    <row r="374" spans="1:15" x14ac:dyDescent="0.35">
      <c r="A374" s="10">
        <v>373</v>
      </c>
      <c r="B374" s="11">
        <v>40560</v>
      </c>
      <c r="C374" s="12" t="s">
        <v>4</v>
      </c>
      <c r="D374" s="12" t="str">
        <f t="shared" si="10"/>
        <v>January</v>
      </c>
      <c r="E374" s="12">
        <v>0</v>
      </c>
      <c r="F374" s="12" t="b">
        <v>1</v>
      </c>
      <c r="G374" s="12" t="str">
        <f t="shared" si="11"/>
        <v>Monday</v>
      </c>
      <c r="H374" s="12" t="s">
        <v>1</v>
      </c>
      <c r="I374" s="18">
        <v>0.2</v>
      </c>
      <c r="J374" s="19">
        <v>0.19700000000000001</v>
      </c>
      <c r="K374" s="18">
        <v>0.47</v>
      </c>
      <c r="L374" s="12">
        <v>0.22389999999999999</v>
      </c>
      <c r="M374" s="12">
        <v>1</v>
      </c>
      <c r="N374" s="12">
        <v>16</v>
      </c>
      <c r="O374" s="13">
        <v>17</v>
      </c>
    </row>
    <row r="375" spans="1:15" x14ac:dyDescent="0.35">
      <c r="A375" s="10">
        <v>374</v>
      </c>
      <c r="B375" s="11">
        <v>40560</v>
      </c>
      <c r="C375" s="12" t="s">
        <v>4</v>
      </c>
      <c r="D375" s="12" t="str">
        <f t="shared" si="10"/>
        <v>January</v>
      </c>
      <c r="E375" s="12">
        <v>1</v>
      </c>
      <c r="F375" s="12" t="b">
        <v>1</v>
      </c>
      <c r="G375" s="12" t="str">
        <f t="shared" si="11"/>
        <v>Monday</v>
      </c>
      <c r="H375" s="12" t="s">
        <v>1</v>
      </c>
      <c r="I375" s="18">
        <v>0.2</v>
      </c>
      <c r="J375" s="19">
        <v>0.19700000000000001</v>
      </c>
      <c r="K375" s="18">
        <v>0.44</v>
      </c>
      <c r="L375" s="12">
        <v>0.19400000000000001</v>
      </c>
      <c r="M375" s="12">
        <v>1</v>
      </c>
      <c r="N375" s="12">
        <v>15</v>
      </c>
      <c r="O375" s="13">
        <v>16</v>
      </c>
    </row>
    <row r="376" spans="1:15" x14ac:dyDescent="0.35">
      <c r="A376" s="10">
        <v>375</v>
      </c>
      <c r="B376" s="11">
        <v>40560</v>
      </c>
      <c r="C376" s="12" t="s">
        <v>4</v>
      </c>
      <c r="D376" s="12" t="str">
        <f t="shared" si="10"/>
        <v>January</v>
      </c>
      <c r="E376" s="12">
        <v>2</v>
      </c>
      <c r="F376" s="12" t="b">
        <v>1</v>
      </c>
      <c r="G376" s="12" t="str">
        <f t="shared" si="11"/>
        <v>Monday</v>
      </c>
      <c r="H376" s="12" t="s">
        <v>1</v>
      </c>
      <c r="I376" s="18">
        <v>0.18</v>
      </c>
      <c r="J376" s="19">
        <v>0.16669999999999999</v>
      </c>
      <c r="K376" s="18">
        <v>0.43</v>
      </c>
      <c r="L376" s="12">
        <v>0.25369999999999998</v>
      </c>
      <c r="M376" s="12">
        <v>0</v>
      </c>
      <c r="N376" s="12">
        <v>8</v>
      </c>
      <c r="O376" s="13">
        <v>8</v>
      </c>
    </row>
    <row r="377" spans="1:15" x14ac:dyDescent="0.35">
      <c r="A377" s="10">
        <v>376</v>
      </c>
      <c r="B377" s="11">
        <v>40560</v>
      </c>
      <c r="C377" s="12" t="s">
        <v>4</v>
      </c>
      <c r="D377" s="12" t="str">
        <f t="shared" si="10"/>
        <v>January</v>
      </c>
      <c r="E377" s="12">
        <v>3</v>
      </c>
      <c r="F377" s="12" t="b">
        <v>1</v>
      </c>
      <c r="G377" s="12" t="str">
        <f t="shared" si="11"/>
        <v>Monday</v>
      </c>
      <c r="H377" s="12" t="s">
        <v>1</v>
      </c>
      <c r="I377" s="18">
        <v>0.18</v>
      </c>
      <c r="J377" s="19">
        <v>0.18179999999999999</v>
      </c>
      <c r="K377" s="18">
        <v>0.43</v>
      </c>
      <c r="L377" s="12">
        <v>0.19400000000000001</v>
      </c>
      <c r="M377" s="12">
        <v>0</v>
      </c>
      <c r="N377" s="12">
        <v>2</v>
      </c>
      <c r="O377" s="13">
        <v>2</v>
      </c>
    </row>
    <row r="378" spans="1:15" x14ac:dyDescent="0.35">
      <c r="A378" s="10">
        <v>377</v>
      </c>
      <c r="B378" s="11">
        <v>40560</v>
      </c>
      <c r="C378" s="12" t="s">
        <v>4</v>
      </c>
      <c r="D378" s="12" t="str">
        <f t="shared" si="10"/>
        <v>January</v>
      </c>
      <c r="E378" s="12">
        <v>4</v>
      </c>
      <c r="F378" s="12" t="b">
        <v>1</v>
      </c>
      <c r="G378" s="12" t="str">
        <f t="shared" si="11"/>
        <v>Monday</v>
      </c>
      <c r="H378" s="12" t="s">
        <v>1</v>
      </c>
      <c r="I378" s="18">
        <v>0.18</v>
      </c>
      <c r="J378" s="19">
        <v>0.19700000000000001</v>
      </c>
      <c r="K378" s="18">
        <v>0.43</v>
      </c>
      <c r="L378" s="12">
        <v>0.1343</v>
      </c>
      <c r="M378" s="12">
        <v>1</v>
      </c>
      <c r="N378" s="12">
        <v>2</v>
      </c>
      <c r="O378" s="13">
        <v>3</v>
      </c>
    </row>
    <row r="379" spans="1:15" x14ac:dyDescent="0.35">
      <c r="A379" s="10">
        <v>378</v>
      </c>
      <c r="B379" s="11">
        <v>40560</v>
      </c>
      <c r="C379" s="12" t="s">
        <v>4</v>
      </c>
      <c r="D379" s="12" t="str">
        <f t="shared" si="10"/>
        <v>January</v>
      </c>
      <c r="E379" s="12">
        <v>5</v>
      </c>
      <c r="F379" s="12" t="b">
        <v>1</v>
      </c>
      <c r="G379" s="12" t="str">
        <f t="shared" si="11"/>
        <v>Monday</v>
      </c>
      <c r="H379" s="12" t="s">
        <v>1</v>
      </c>
      <c r="I379" s="18">
        <v>0.18</v>
      </c>
      <c r="J379" s="19">
        <v>0.19700000000000001</v>
      </c>
      <c r="K379" s="18">
        <v>0.43</v>
      </c>
      <c r="L379" s="12">
        <v>0.16420000000000001</v>
      </c>
      <c r="M379" s="12">
        <v>0</v>
      </c>
      <c r="N379" s="12">
        <v>1</v>
      </c>
      <c r="O379" s="13">
        <v>1</v>
      </c>
    </row>
    <row r="380" spans="1:15" x14ac:dyDescent="0.35">
      <c r="A380" s="10">
        <v>379</v>
      </c>
      <c r="B380" s="11">
        <v>40560</v>
      </c>
      <c r="C380" s="12" t="s">
        <v>4</v>
      </c>
      <c r="D380" s="12" t="str">
        <f t="shared" si="10"/>
        <v>January</v>
      </c>
      <c r="E380" s="12">
        <v>6</v>
      </c>
      <c r="F380" s="12" t="b">
        <v>1</v>
      </c>
      <c r="G380" s="12" t="str">
        <f t="shared" si="11"/>
        <v>Monday</v>
      </c>
      <c r="H380" s="12" t="s">
        <v>1</v>
      </c>
      <c r="I380" s="18">
        <v>0.18</v>
      </c>
      <c r="J380" s="19">
        <v>0.18179999999999999</v>
      </c>
      <c r="K380" s="18">
        <v>0.43</v>
      </c>
      <c r="L380" s="12">
        <v>0.19400000000000001</v>
      </c>
      <c r="M380" s="12">
        <v>0</v>
      </c>
      <c r="N380" s="12">
        <v>5</v>
      </c>
      <c r="O380" s="13">
        <v>5</v>
      </c>
    </row>
    <row r="381" spans="1:15" x14ac:dyDescent="0.35">
      <c r="A381" s="10">
        <v>380</v>
      </c>
      <c r="B381" s="11">
        <v>40560</v>
      </c>
      <c r="C381" s="12" t="s">
        <v>4</v>
      </c>
      <c r="D381" s="12" t="str">
        <f t="shared" si="10"/>
        <v>January</v>
      </c>
      <c r="E381" s="12">
        <v>7</v>
      </c>
      <c r="F381" s="12" t="b">
        <v>1</v>
      </c>
      <c r="G381" s="12" t="str">
        <f t="shared" si="11"/>
        <v>Monday</v>
      </c>
      <c r="H381" s="12" t="s">
        <v>1</v>
      </c>
      <c r="I381" s="18">
        <v>0.16</v>
      </c>
      <c r="J381" s="19">
        <v>0.18179999999999999</v>
      </c>
      <c r="K381" s="18">
        <v>0.5</v>
      </c>
      <c r="L381" s="12">
        <v>0.1343</v>
      </c>
      <c r="M381" s="12">
        <v>4</v>
      </c>
      <c r="N381" s="12">
        <v>9</v>
      </c>
      <c r="O381" s="13">
        <v>13</v>
      </c>
    </row>
    <row r="382" spans="1:15" x14ac:dyDescent="0.35">
      <c r="A382" s="10">
        <v>381</v>
      </c>
      <c r="B382" s="11">
        <v>40560</v>
      </c>
      <c r="C382" s="12" t="s">
        <v>4</v>
      </c>
      <c r="D382" s="12" t="str">
        <f t="shared" si="10"/>
        <v>January</v>
      </c>
      <c r="E382" s="12">
        <v>8</v>
      </c>
      <c r="F382" s="12" t="b">
        <v>1</v>
      </c>
      <c r="G382" s="12" t="str">
        <f t="shared" si="11"/>
        <v>Monday</v>
      </c>
      <c r="H382" s="12" t="s">
        <v>1</v>
      </c>
      <c r="I382" s="18">
        <v>0.16</v>
      </c>
      <c r="J382" s="19">
        <v>0.1515</v>
      </c>
      <c r="K382" s="18">
        <v>0.47</v>
      </c>
      <c r="L382" s="12">
        <v>0.22389999999999999</v>
      </c>
      <c r="M382" s="12">
        <v>3</v>
      </c>
      <c r="N382" s="12">
        <v>30</v>
      </c>
      <c r="O382" s="13">
        <v>33</v>
      </c>
    </row>
    <row r="383" spans="1:15" x14ac:dyDescent="0.35">
      <c r="A383" s="10">
        <v>382</v>
      </c>
      <c r="B383" s="11">
        <v>40560</v>
      </c>
      <c r="C383" s="12" t="s">
        <v>4</v>
      </c>
      <c r="D383" s="12" t="str">
        <f t="shared" si="10"/>
        <v>January</v>
      </c>
      <c r="E383" s="12">
        <v>9</v>
      </c>
      <c r="F383" s="12" t="b">
        <v>1</v>
      </c>
      <c r="G383" s="12" t="str">
        <f t="shared" si="11"/>
        <v>Monday</v>
      </c>
      <c r="H383" s="12" t="s">
        <v>1</v>
      </c>
      <c r="I383" s="18">
        <v>0.16</v>
      </c>
      <c r="J383" s="19">
        <v>0.1515</v>
      </c>
      <c r="K383" s="18">
        <v>0.47</v>
      </c>
      <c r="L383" s="12">
        <v>0.22389999999999999</v>
      </c>
      <c r="M383" s="12">
        <v>8</v>
      </c>
      <c r="N383" s="12">
        <v>39</v>
      </c>
      <c r="O383" s="13">
        <v>47</v>
      </c>
    </row>
    <row r="384" spans="1:15" x14ac:dyDescent="0.35">
      <c r="A384" s="10">
        <v>383</v>
      </c>
      <c r="B384" s="11">
        <v>40560</v>
      </c>
      <c r="C384" s="12" t="s">
        <v>4</v>
      </c>
      <c r="D384" s="12" t="str">
        <f t="shared" si="10"/>
        <v>January</v>
      </c>
      <c r="E384" s="12">
        <v>10</v>
      </c>
      <c r="F384" s="12" t="b">
        <v>1</v>
      </c>
      <c r="G384" s="12" t="str">
        <f t="shared" si="11"/>
        <v>Monday</v>
      </c>
      <c r="H384" s="12" t="s">
        <v>1</v>
      </c>
      <c r="I384" s="18">
        <v>0.16</v>
      </c>
      <c r="J384" s="19">
        <v>0.1515</v>
      </c>
      <c r="K384" s="18">
        <v>0.5</v>
      </c>
      <c r="L384" s="12">
        <v>0.25369999999999998</v>
      </c>
      <c r="M384" s="12">
        <v>7</v>
      </c>
      <c r="N384" s="12">
        <v>50</v>
      </c>
      <c r="O384" s="13">
        <v>57</v>
      </c>
    </row>
    <row r="385" spans="1:15" x14ac:dyDescent="0.35">
      <c r="A385" s="10">
        <v>384</v>
      </c>
      <c r="B385" s="11">
        <v>40560</v>
      </c>
      <c r="C385" s="12" t="s">
        <v>4</v>
      </c>
      <c r="D385" s="12" t="str">
        <f t="shared" si="10"/>
        <v>January</v>
      </c>
      <c r="E385" s="12">
        <v>11</v>
      </c>
      <c r="F385" s="12" t="b">
        <v>1</v>
      </c>
      <c r="G385" s="12" t="str">
        <f t="shared" si="11"/>
        <v>Monday</v>
      </c>
      <c r="H385" s="12" t="s">
        <v>1</v>
      </c>
      <c r="I385" s="18">
        <v>0.16</v>
      </c>
      <c r="J385" s="19">
        <v>0.1515</v>
      </c>
      <c r="K385" s="18">
        <v>0.55000000000000004</v>
      </c>
      <c r="L385" s="12">
        <v>0.19400000000000001</v>
      </c>
      <c r="M385" s="12">
        <v>9</v>
      </c>
      <c r="N385" s="12">
        <v>55</v>
      </c>
      <c r="O385" s="13">
        <v>64</v>
      </c>
    </row>
    <row r="386" spans="1:15" x14ac:dyDescent="0.35">
      <c r="A386" s="10">
        <v>385</v>
      </c>
      <c r="B386" s="11">
        <v>40560</v>
      </c>
      <c r="C386" s="12" t="s">
        <v>4</v>
      </c>
      <c r="D386" s="12" t="str">
        <f t="shared" si="10"/>
        <v>January</v>
      </c>
      <c r="E386" s="12">
        <v>12</v>
      </c>
      <c r="F386" s="12" t="b">
        <v>1</v>
      </c>
      <c r="G386" s="12" t="str">
        <f t="shared" si="11"/>
        <v>Monday</v>
      </c>
      <c r="H386" s="12" t="s">
        <v>1</v>
      </c>
      <c r="I386" s="18">
        <v>0.18</v>
      </c>
      <c r="J386" s="19">
        <v>0.19700000000000001</v>
      </c>
      <c r="K386" s="18">
        <v>0.47</v>
      </c>
      <c r="L386" s="12">
        <v>0.1343</v>
      </c>
      <c r="M386" s="12">
        <v>10</v>
      </c>
      <c r="N386" s="12">
        <v>70</v>
      </c>
      <c r="O386" s="13">
        <v>80</v>
      </c>
    </row>
    <row r="387" spans="1:15" x14ac:dyDescent="0.35">
      <c r="A387" s="10">
        <v>386</v>
      </c>
      <c r="B387" s="11">
        <v>40560</v>
      </c>
      <c r="C387" s="12" t="s">
        <v>4</v>
      </c>
      <c r="D387" s="12" t="str">
        <f t="shared" ref="D387:D450" si="12">TEXT(B387,"mmmm")</f>
        <v>January</v>
      </c>
      <c r="E387" s="12">
        <v>13</v>
      </c>
      <c r="F387" s="12" t="b">
        <v>1</v>
      </c>
      <c r="G387" s="12" t="str">
        <f t="shared" ref="G387:G450" si="13">TEXT(B387,"dddd")</f>
        <v>Monday</v>
      </c>
      <c r="H387" s="12" t="s">
        <v>1</v>
      </c>
      <c r="I387" s="18">
        <v>0.18</v>
      </c>
      <c r="J387" s="19">
        <v>0.19700000000000001</v>
      </c>
      <c r="K387" s="18">
        <v>0.47</v>
      </c>
      <c r="L387" s="12">
        <v>0.1343</v>
      </c>
      <c r="M387" s="12">
        <v>13</v>
      </c>
      <c r="N387" s="12">
        <v>80</v>
      </c>
      <c r="O387" s="13">
        <v>93</v>
      </c>
    </row>
    <row r="388" spans="1:15" x14ac:dyDescent="0.35">
      <c r="A388" s="10">
        <v>387</v>
      </c>
      <c r="B388" s="11">
        <v>40560</v>
      </c>
      <c r="C388" s="12" t="s">
        <v>4</v>
      </c>
      <c r="D388" s="12" t="str">
        <f t="shared" si="12"/>
        <v>January</v>
      </c>
      <c r="E388" s="12">
        <v>14</v>
      </c>
      <c r="F388" s="12" t="b">
        <v>1</v>
      </c>
      <c r="G388" s="12" t="str">
        <f t="shared" si="13"/>
        <v>Monday</v>
      </c>
      <c r="H388" s="12" t="s">
        <v>1</v>
      </c>
      <c r="I388" s="18">
        <v>0.18</v>
      </c>
      <c r="J388" s="19">
        <v>0.21210000000000001</v>
      </c>
      <c r="K388" s="18">
        <v>0.43</v>
      </c>
      <c r="L388" s="12">
        <v>0.1045</v>
      </c>
      <c r="M388" s="12">
        <v>12</v>
      </c>
      <c r="N388" s="12">
        <v>74</v>
      </c>
      <c r="O388" s="13">
        <v>86</v>
      </c>
    </row>
    <row r="389" spans="1:15" x14ac:dyDescent="0.35">
      <c r="A389" s="10">
        <v>388</v>
      </c>
      <c r="B389" s="11">
        <v>40560</v>
      </c>
      <c r="C389" s="12" t="s">
        <v>4</v>
      </c>
      <c r="D389" s="12" t="str">
        <f t="shared" si="12"/>
        <v>January</v>
      </c>
      <c r="E389" s="12">
        <v>15</v>
      </c>
      <c r="F389" s="12" t="b">
        <v>1</v>
      </c>
      <c r="G389" s="12" t="str">
        <f t="shared" si="13"/>
        <v>Monday</v>
      </c>
      <c r="H389" s="12" t="s">
        <v>1</v>
      </c>
      <c r="I389" s="18">
        <v>0.2</v>
      </c>
      <c r="J389" s="19">
        <v>0.21210000000000001</v>
      </c>
      <c r="K389" s="18">
        <v>0.47</v>
      </c>
      <c r="L389" s="12">
        <v>0.16420000000000001</v>
      </c>
      <c r="M389" s="12">
        <v>21</v>
      </c>
      <c r="N389" s="12">
        <v>72</v>
      </c>
      <c r="O389" s="13">
        <v>93</v>
      </c>
    </row>
    <row r="390" spans="1:15" x14ac:dyDescent="0.35">
      <c r="A390" s="10">
        <v>389</v>
      </c>
      <c r="B390" s="11">
        <v>40560</v>
      </c>
      <c r="C390" s="12" t="s">
        <v>4</v>
      </c>
      <c r="D390" s="12" t="str">
        <f t="shared" si="12"/>
        <v>January</v>
      </c>
      <c r="E390" s="12">
        <v>16</v>
      </c>
      <c r="F390" s="12" t="b">
        <v>1</v>
      </c>
      <c r="G390" s="12" t="str">
        <f t="shared" si="13"/>
        <v>Monday</v>
      </c>
      <c r="H390" s="12" t="s">
        <v>1</v>
      </c>
      <c r="I390" s="18">
        <v>0.2</v>
      </c>
      <c r="J390" s="19">
        <v>0.21210000000000001</v>
      </c>
      <c r="K390" s="18">
        <v>0.47</v>
      </c>
      <c r="L390" s="12">
        <v>0.16420000000000001</v>
      </c>
      <c r="M390" s="12">
        <v>6</v>
      </c>
      <c r="N390" s="12">
        <v>76</v>
      </c>
      <c r="O390" s="13">
        <v>82</v>
      </c>
    </row>
    <row r="391" spans="1:15" x14ac:dyDescent="0.35">
      <c r="A391" s="10">
        <v>390</v>
      </c>
      <c r="B391" s="11">
        <v>40560</v>
      </c>
      <c r="C391" s="12" t="s">
        <v>4</v>
      </c>
      <c r="D391" s="12" t="str">
        <f t="shared" si="12"/>
        <v>January</v>
      </c>
      <c r="E391" s="12">
        <v>17</v>
      </c>
      <c r="F391" s="12" t="b">
        <v>1</v>
      </c>
      <c r="G391" s="12" t="str">
        <f t="shared" si="13"/>
        <v>Monday</v>
      </c>
      <c r="H391" s="12" t="s">
        <v>0</v>
      </c>
      <c r="I391" s="18">
        <v>0.2</v>
      </c>
      <c r="J391" s="19">
        <v>0.19700000000000001</v>
      </c>
      <c r="K391" s="18">
        <v>0.51</v>
      </c>
      <c r="L391" s="12">
        <v>0.19400000000000001</v>
      </c>
      <c r="M391" s="12">
        <v>4</v>
      </c>
      <c r="N391" s="12">
        <v>67</v>
      </c>
      <c r="O391" s="13">
        <v>71</v>
      </c>
    </row>
    <row r="392" spans="1:15" x14ac:dyDescent="0.35">
      <c r="A392" s="10">
        <v>391</v>
      </c>
      <c r="B392" s="11">
        <v>40560</v>
      </c>
      <c r="C392" s="12" t="s">
        <v>4</v>
      </c>
      <c r="D392" s="12" t="str">
        <f t="shared" si="12"/>
        <v>January</v>
      </c>
      <c r="E392" s="12">
        <v>18</v>
      </c>
      <c r="F392" s="12" t="b">
        <v>1</v>
      </c>
      <c r="G392" s="12" t="str">
        <f t="shared" si="13"/>
        <v>Monday</v>
      </c>
      <c r="H392" s="12" t="s">
        <v>1</v>
      </c>
      <c r="I392" s="18">
        <v>0.18</v>
      </c>
      <c r="J392" s="19">
        <v>0.16669999999999999</v>
      </c>
      <c r="K392" s="18">
        <v>0.55000000000000004</v>
      </c>
      <c r="L392" s="12">
        <v>0.25369999999999998</v>
      </c>
      <c r="M392" s="12">
        <v>7</v>
      </c>
      <c r="N392" s="12">
        <v>85</v>
      </c>
      <c r="O392" s="13">
        <v>92</v>
      </c>
    </row>
    <row r="393" spans="1:15" x14ac:dyDescent="0.35">
      <c r="A393" s="10">
        <v>392</v>
      </c>
      <c r="B393" s="11">
        <v>40560</v>
      </c>
      <c r="C393" s="12" t="s">
        <v>4</v>
      </c>
      <c r="D393" s="12" t="str">
        <f t="shared" si="12"/>
        <v>January</v>
      </c>
      <c r="E393" s="12">
        <v>19</v>
      </c>
      <c r="F393" s="12" t="b">
        <v>1</v>
      </c>
      <c r="G393" s="12" t="str">
        <f t="shared" si="13"/>
        <v>Monday</v>
      </c>
      <c r="H393" s="12" t="s">
        <v>2</v>
      </c>
      <c r="I393" s="18">
        <v>0.18</v>
      </c>
      <c r="J393" s="19">
        <v>0.18179999999999999</v>
      </c>
      <c r="K393" s="18">
        <v>0.59</v>
      </c>
      <c r="L393" s="12">
        <v>0.19400000000000001</v>
      </c>
      <c r="M393" s="12">
        <v>2</v>
      </c>
      <c r="N393" s="12">
        <v>58</v>
      </c>
      <c r="O393" s="13">
        <v>60</v>
      </c>
    </row>
    <row r="394" spans="1:15" x14ac:dyDescent="0.35">
      <c r="A394" s="10">
        <v>393</v>
      </c>
      <c r="B394" s="11">
        <v>40560</v>
      </c>
      <c r="C394" s="12" t="s">
        <v>4</v>
      </c>
      <c r="D394" s="12" t="str">
        <f t="shared" si="12"/>
        <v>January</v>
      </c>
      <c r="E394" s="12">
        <v>20</v>
      </c>
      <c r="F394" s="12" t="b">
        <v>1</v>
      </c>
      <c r="G394" s="12" t="str">
        <f t="shared" si="13"/>
        <v>Monday</v>
      </c>
      <c r="H394" s="12" t="s">
        <v>2</v>
      </c>
      <c r="I394" s="18">
        <v>0.16</v>
      </c>
      <c r="J394" s="19">
        <v>0.1515</v>
      </c>
      <c r="K394" s="18">
        <v>0.8</v>
      </c>
      <c r="L394" s="12">
        <v>0.19400000000000001</v>
      </c>
      <c r="M394" s="12">
        <v>4</v>
      </c>
      <c r="N394" s="12">
        <v>29</v>
      </c>
      <c r="O394" s="13">
        <v>33</v>
      </c>
    </row>
    <row r="395" spans="1:15" x14ac:dyDescent="0.35">
      <c r="A395" s="10">
        <v>394</v>
      </c>
      <c r="B395" s="11">
        <v>40560</v>
      </c>
      <c r="C395" s="12" t="s">
        <v>4</v>
      </c>
      <c r="D395" s="12" t="str">
        <f t="shared" si="12"/>
        <v>January</v>
      </c>
      <c r="E395" s="12">
        <v>21</v>
      </c>
      <c r="F395" s="12" t="b">
        <v>1</v>
      </c>
      <c r="G395" s="12" t="str">
        <f t="shared" si="13"/>
        <v>Monday</v>
      </c>
      <c r="H395" s="12" t="s">
        <v>2</v>
      </c>
      <c r="I395" s="18">
        <v>0.16</v>
      </c>
      <c r="J395" s="19">
        <v>0.1515</v>
      </c>
      <c r="K395" s="18">
        <v>0.8</v>
      </c>
      <c r="L395" s="12">
        <v>0.19400000000000001</v>
      </c>
      <c r="M395" s="12">
        <v>3</v>
      </c>
      <c r="N395" s="12">
        <v>24</v>
      </c>
      <c r="O395" s="13">
        <v>27</v>
      </c>
    </row>
    <row r="396" spans="1:15" x14ac:dyDescent="0.35">
      <c r="A396" s="10">
        <v>395</v>
      </c>
      <c r="B396" s="11">
        <v>40560</v>
      </c>
      <c r="C396" s="12" t="s">
        <v>4</v>
      </c>
      <c r="D396" s="12" t="str">
        <f t="shared" si="12"/>
        <v>January</v>
      </c>
      <c r="E396" s="12">
        <v>22</v>
      </c>
      <c r="F396" s="12" t="b">
        <v>1</v>
      </c>
      <c r="G396" s="12" t="str">
        <f t="shared" si="13"/>
        <v>Monday</v>
      </c>
      <c r="H396" s="12" t="s">
        <v>2</v>
      </c>
      <c r="I396" s="18">
        <v>0.14000000000000001</v>
      </c>
      <c r="J396" s="19">
        <v>0.1212</v>
      </c>
      <c r="K396" s="18">
        <v>0.93</v>
      </c>
      <c r="L396" s="12">
        <v>0.25369999999999998</v>
      </c>
      <c r="M396" s="12">
        <v>0</v>
      </c>
      <c r="N396" s="12">
        <v>13</v>
      </c>
      <c r="O396" s="13">
        <v>13</v>
      </c>
    </row>
    <row r="397" spans="1:15" x14ac:dyDescent="0.35">
      <c r="A397" s="10">
        <v>396</v>
      </c>
      <c r="B397" s="11">
        <v>40560</v>
      </c>
      <c r="C397" s="12" t="s">
        <v>4</v>
      </c>
      <c r="D397" s="12" t="str">
        <f t="shared" si="12"/>
        <v>January</v>
      </c>
      <c r="E397" s="12">
        <v>23</v>
      </c>
      <c r="F397" s="12" t="b">
        <v>1</v>
      </c>
      <c r="G397" s="12" t="str">
        <f t="shared" si="13"/>
        <v>Monday</v>
      </c>
      <c r="H397" s="12" t="s">
        <v>2</v>
      </c>
      <c r="I397" s="18">
        <v>0.16</v>
      </c>
      <c r="J397" s="19">
        <v>0.13639999999999999</v>
      </c>
      <c r="K397" s="18">
        <v>0.86</v>
      </c>
      <c r="L397" s="12">
        <v>0.28360000000000002</v>
      </c>
      <c r="M397" s="12">
        <v>1</v>
      </c>
      <c r="N397" s="12">
        <v>3</v>
      </c>
      <c r="O397" s="13">
        <v>4</v>
      </c>
    </row>
    <row r="398" spans="1:15" x14ac:dyDescent="0.35">
      <c r="A398" s="10">
        <v>397</v>
      </c>
      <c r="B398" s="11">
        <v>40561</v>
      </c>
      <c r="C398" s="12" t="s">
        <v>4</v>
      </c>
      <c r="D398" s="12" t="str">
        <f t="shared" si="12"/>
        <v>January</v>
      </c>
      <c r="E398" s="12">
        <v>12</v>
      </c>
      <c r="F398" s="12" t="b">
        <v>0</v>
      </c>
      <c r="G398" s="12" t="str">
        <f t="shared" si="13"/>
        <v>Tuesday</v>
      </c>
      <c r="H398" s="12" t="s">
        <v>1</v>
      </c>
      <c r="I398" s="18">
        <v>0.2</v>
      </c>
      <c r="J398" s="19">
        <v>0.18179999999999999</v>
      </c>
      <c r="K398" s="18">
        <v>0.86</v>
      </c>
      <c r="L398" s="12">
        <v>0.32840000000000003</v>
      </c>
      <c r="M398" s="12">
        <v>0</v>
      </c>
      <c r="N398" s="12">
        <v>3</v>
      </c>
      <c r="O398" s="13">
        <v>3</v>
      </c>
    </row>
    <row r="399" spans="1:15" x14ac:dyDescent="0.35">
      <c r="A399" s="10">
        <v>398</v>
      </c>
      <c r="B399" s="11">
        <v>40561</v>
      </c>
      <c r="C399" s="12" t="s">
        <v>4</v>
      </c>
      <c r="D399" s="12" t="str">
        <f t="shared" si="12"/>
        <v>January</v>
      </c>
      <c r="E399" s="12">
        <v>13</v>
      </c>
      <c r="F399" s="12" t="b">
        <v>0</v>
      </c>
      <c r="G399" s="12" t="str">
        <f t="shared" si="13"/>
        <v>Tuesday</v>
      </c>
      <c r="H399" s="12" t="s">
        <v>1</v>
      </c>
      <c r="I399" s="18">
        <v>0.2</v>
      </c>
      <c r="J399" s="19">
        <v>0.19700000000000001</v>
      </c>
      <c r="K399" s="18">
        <v>0.86</v>
      </c>
      <c r="L399" s="12">
        <v>0.22389999999999999</v>
      </c>
      <c r="M399" s="12">
        <v>0</v>
      </c>
      <c r="N399" s="12">
        <v>22</v>
      </c>
      <c r="O399" s="13">
        <v>22</v>
      </c>
    </row>
    <row r="400" spans="1:15" x14ac:dyDescent="0.35">
      <c r="A400" s="10">
        <v>399</v>
      </c>
      <c r="B400" s="11">
        <v>40561</v>
      </c>
      <c r="C400" s="12" t="s">
        <v>4</v>
      </c>
      <c r="D400" s="12" t="str">
        <f t="shared" si="12"/>
        <v>January</v>
      </c>
      <c r="E400" s="12">
        <v>14</v>
      </c>
      <c r="F400" s="12" t="b">
        <v>0</v>
      </c>
      <c r="G400" s="12" t="str">
        <f t="shared" si="13"/>
        <v>Tuesday</v>
      </c>
      <c r="H400" s="12" t="s">
        <v>1</v>
      </c>
      <c r="I400" s="18">
        <v>0.22</v>
      </c>
      <c r="J400" s="19">
        <v>0.2273</v>
      </c>
      <c r="K400" s="18">
        <v>0.8</v>
      </c>
      <c r="L400" s="12">
        <v>0.16420000000000001</v>
      </c>
      <c r="M400" s="12">
        <v>2</v>
      </c>
      <c r="N400" s="12">
        <v>26</v>
      </c>
      <c r="O400" s="13">
        <v>28</v>
      </c>
    </row>
    <row r="401" spans="1:15" x14ac:dyDescent="0.35">
      <c r="A401" s="10">
        <v>400</v>
      </c>
      <c r="B401" s="11">
        <v>40561</v>
      </c>
      <c r="C401" s="12" t="s">
        <v>4</v>
      </c>
      <c r="D401" s="12" t="str">
        <f t="shared" si="12"/>
        <v>January</v>
      </c>
      <c r="E401" s="12">
        <v>15</v>
      </c>
      <c r="F401" s="12" t="b">
        <v>0</v>
      </c>
      <c r="G401" s="12" t="str">
        <f t="shared" si="13"/>
        <v>Tuesday</v>
      </c>
      <c r="H401" s="12" t="s">
        <v>1</v>
      </c>
      <c r="I401" s="18">
        <v>0.22</v>
      </c>
      <c r="J401" s="19">
        <v>0.2273</v>
      </c>
      <c r="K401" s="18">
        <v>0.87</v>
      </c>
      <c r="L401" s="12">
        <v>0.16420000000000001</v>
      </c>
      <c r="M401" s="12">
        <v>3</v>
      </c>
      <c r="N401" s="12">
        <v>32</v>
      </c>
      <c r="O401" s="13">
        <v>35</v>
      </c>
    </row>
    <row r="402" spans="1:15" x14ac:dyDescent="0.35">
      <c r="A402" s="10">
        <v>401</v>
      </c>
      <c r="B402" s="11">
        <v>40561</v>
      </c>
      <c r="C402" s="12" t="s">
        <v>4</v>
      </c>
      <c r="D402" s="12" t="str">
        <f t="shared" si="12"/>
        <v>January</v>
      </c>
      <c r="E402" s="12">
        <v>16</v>
      </c>
      <c r="F402" s="12" t="b">
        <v>0</v>
      </c>
      <c r="G402" s="12" t="str">
        <f t="shared" si="13"/>
        <v>Tuesday</v>
      </c>
      <c r="H402" s="12" t="s">
        <v>1</v>
      </c>
      <c r="I402" s="18">
        <v>0.22</v>
      </c>
      <c r="J402" s="19">
        <v>0.2273</v>
      </c>
      <c r="K402" s="18">
        <v>0.87</v>
      </c>
      <c r="L402" s="12">
        <v>0.19400000000000001</v>
      </c>
      <c r="M402" s="12">
        <v>0</v>
      </c>
      <c r="N402" s="12">
        <v>61</v>
      </c>
      <c r="O402" s="13">
        <v>61</v>
      </c>
    </row>
    <row r="403" spans="1:15" x14ac:dyDescent="0.35">
      <c r="A403" s="10">
        <v>402</v>
      </c>
      <c r="B403" s="11">
        <v>40561</v>
      </c>
      <c r="C403" s="12" t="s">
        <v>4</v>
      </c>
      <c r="D403" s="12" t="str">
        <f t="shared" si="12"/>
        <v>January</v>
      </c>
      <c r="E403" s="12">
        <v>17</v>
      </c>
      <c r="F403" s="12" t="b">
        <v>0</v>
      </c>
      <c r="G403" s="12" t="str">
        <f t="shared" si="13"/>
        <v>Tuesday</v>
      </c>
      <c r="H403" s="12" t="s">
        <v>1</v>
      </c>
      <c r="I403" s="18">
        <v>0.22</v>
      </c>
      <c r="J403" s="19">
        <v>0.2273</v>
      </c>
      <c r="K403" s="18">
        <v>0.82</v>
      </c>
      <c r="L403" s="12">
        <v>0.19400000000000001</v>
      </c>
      <c r="M403" s="12">
        <v>1</v>
      </c>
      <c r="N403" s="12">
        <v>124</v>
      </c>
      <c r="O403" s="13">
        <v>125</v>
      </c>
    </row>
    <row r="404" spans="1:15" x14ac:dyDescent="0.35">
      <c r="A404" s="10">
        <v>403</v>
      </c>
      <c r="B404" s="11">
        <v>40561</v>
      </c>
      <c r="C404" s="12" t="s">
        <v>4</v>
      </c>
      <c r="D404" s="12" t="str">
        <f t="shared" si="12"/>
        <v>January</v>
      </c>
      <c r="E404" s="12">
        <v>18</v>
      </c>
      <c r="F404" s="12" t="b">
        <v>0</v>
      </c>
      <c r="G404" s="12" t="str">
        <f t="shared" si="13"/>
        <v>Tuesday</v>
      </c>
      <c r="H404" s="12" t="s">
        <v>1</v>
      </c>
      <c r="I404" s="18">
        <v>0.22</v>
      </c>
      <c r="J404" s="19">
        <v>0.2273</v>
      </c>
      <c r="K404" s="18">
        <v>0.8</v>
      </c>
      <c r="L404" s="12">
        <v>0.16420000000000001</v>
      </c>
      <c r="M404" s="12">
        <v>1</v>
      </c>
      <c r="N404" s="12">
        <v>132</v>
      </c>
      <c r="O404" s="13">
        <v>133</v>
      </c>
    </row>
    <row r="405" spans="1:15" x14ac:dyDescent="0.35">
      <c r="A405" s="10">
        <v>404</v>
      </c>
      <c r="B405" s="11">
        <v>40561</v>
      </c>
      <c r="C405" s="12" t="s">
        <v>4</v>
      </c>
      <c r="D405" s="12" t="str">
        <f t="shared" si="12"/>
        <v>January</v>
      </c>
      <c r="E405" s="12">
        <v>19</v>
      </c>
      <c r="F405" s="12" t="b">
        <v>0</v>
      </c>
      <c r="G405" s="12" t="str">
        <f t="shared" si="13"/>
        <v>Tuesday</v>
      </c>
      <c r="H405" s="12" t="s">
        <v>1</v>
      </c>
      <c r="I405" s="18">
        <v>0.22</v>
      </c>
      <c r="J405" s="19">
        <v>0.2273</v>
      </c>
      <c r="K405" s="18">
        <v>0.8</v>
      </c>
      <c r="L405" s="12">
        <v>0.1343</v>
      </c>
      <c r="M405" s="12">
        <v>1</v>
      </c>
      <c r="N405" s="12">
        <v>98</v>
      </c>
      <c r="O405" s="13">
        <v>99</v>
      </c>
    </row>
    <row r="406" spans="1:15" x14ac:dyDescent="0.35">
      <c r="A406" s="10">
        <v>405</v>
      </c>
      <c r="B406" s="11">
        <v>40561</v>
      </c>
      <c r="C406" s="12" t="s">
        <v>4</v>
      </c>
      <c r="D406" s="12" t="str">
        <f t="shared" si="12"/>
        <v>January</v>
      </c>
      <c r="E406" s="12">
        <v>20</v>
      </c>
      <c r="F406" s="12" t="b">
        <v>0</v>
      </c>
      <c r="G406" s="12" t="str">
        <f t="shared" si="13"/>
        <v>Tuesday</v>
      </c>
      <c r="H406" s="12" t="s">
        <v>1</v>
      </c>
      <c r="I406" s="18">
        <v>0.22</v>
      </c>
      <c r="J406" s="19">
        <v>0.2727</v>
      </c>
      <c r="K406" s="18">
        <v>0.87</v>
      </c>
      <c r="L406" s="12">
        <v>0</v>
      </c>
      <c r="M406" s="12">
        <v>0</v>
      </c>
      <c r="N406" s="12">
        <v>83</v>
      </c>
      <c r="O406" s="13">
        <v>83</v>
      </c>
    </row>
    <row r="407" spans="1:15" x14ac:dyDescent="0.35">
      <c r="A407" s="10">
        <v>406</v>
      </c>
      <c r="B407" s="11">
        <v>40561</v>
      </c>
      <c r="C407" s="12" t="s">
        <v>4</v>
      </c>
      <c r="D407" s="12" t="str">
        <f t="shared" si="12"/>
        <v>January</v>
      </c>
      <c r="E407" s="12">
        <v>21</v>
      </c>
      <c r="F407" s="12" t="b">
        <v>0</v>
      </c>
      <c r="G407" s="12" t="str">
        <f t="shared" si="13"/>
        <v>Tuesday</v>
      </c>
      <c r="H407" s="12" t="s">
        <v>1</v>
      </c>
      <c r="I407" s="18">
        <v>0.22</v>
      </c>
      <c r="J407" s="19">
        <v>0.2424</v>
      </c>
      <c r="K407" s="18">
        <v>0.93</v>
      </c>
      <c r="L407" s="12">
        <v>0.1045</v>
      </c>
      <c r="M407" s="12">
        <v>0</v>
      </c>
      <c r="N407" s="12">
        <v>41</v>
      </c>
      <c r="O407" s="13">
        <v>41</v>
      </c>
    </row>
    <row r="408" spans="1:15" x14ac:dyDescent="0.35">
      <c r="A408" s="10">
        <v>407</v>
      </c>
      <c r="B408" s="11">
        <v>40561</v>
      </c>
      <c r="C408" s="12" t="s">
        <v>4</v>
      </c>
      <c r="D408" s="12" t="str">
        <f t="shared" si="12"/>
        <v>January</v>
      </c>
      <c r="E408" s="12">
        <v>22</v>
      </c>
      <c r="F408" s="12" t="b">
        <v>0</v>
      </c>
      <c r="G408" s="12" t="str">
        <f t="shared" si="13"/>
        <v>Tuesday</v>
      </c>
      <c r="H408" s="12" t="s">
        <v>1</v>
      </c>
      <c r="I408" s="18">
        <v>0.22</v>
      </c>
      <c r="J408" s="19">
        <v>0.2576</v>
      </c>
      <c r="K408" s="18">
        <v>0.93</v>
      </c>
      <c r="L408" s="12">
        <v>8.9599999999999999E-2</v>
      </c>
      <c r="M408" s="12">
        <v>0</v>
      </c>
      <c r="N408" s="12">
        <v>33</v>
      </c>
      <c r="O408" s="13">
        <v>33</v>
      </c>
    </row>
    <row r="409" spans="1:15" x14ac:dyDescent="0.35">
      <c r="A409" s="10">
        <v>408</v>
      </c>
      <c r="B409" s="11">
        <v>40561</v>
      </c>
      <c r="C409" s="12" t="s">
        <v>4</v>
      </c>
      <c r="D409" s="12" t="str">
        <f t="shared" si="12"/>
        <v>January</v>
      </c>
      <c r="E409" s="12">
        <v>23</v>
      </c>
      <c r="F409" s="12" t="b">
        <v>0</v>
      </c>
      <c r="G409" s="12" t="str">
        <f t="shared" si="13"/>
        <v>Tuesday</v>
      </c>
      <c r="H409" s="12" t="s">
        <v>1</v>
      </c>
      <c r="I409" s="18">
        <v>0.22</v>
      </c>
      <c r="J409" s="19">
        <v>0.2727</v>
      </c>
      <c r="K409" s="18">
        <v>0.93</v>
      </c>
      <c r="L409" s="12">
        <v>0</v>
      </c>
      <c r="M409" s="12">
        <v>1</v>
      </c>
      <c r="N409" s="12">
        <v>19</v>
      </c>
      <c r="O409" s="13">
        <v>20</v>
      </c>
    </row>
    <row r="410" spans="1:15" x14ac:dyDescent="0.35">
      <c r="A410" s="10">
        <v>409</v>
      </c>
      <c r="B410" s="11">
        <v>40562</v>
      </c>
      <c r="C410" s="12" t="s">
        <v>4</v>
      </c>
      <c r="D410" s="12" t="str">
        <f t="shared" si="12"/>
        <v>January</v>
      </c>
      <c r="E410" s="12">
        <v>0</v>
      </c>
      <c r="F410" s="12" t="b">
        <v>0</v>
      </c>
      <c r="G410" s="12" t="str">
        <f t="shared" si="13"/>
        <v>Wednesday</v>
      </c>
      <c r="H410" s="12" t="s">
        <v>1</v>
      </c>
      <c r="I410" s="18">
        <v>0.22</v>
      </c>
      <c r="J410" s="19">
        <v>0.2727</v>
      </c>
      <c r="K410" s="18">
        <v>0.93</v>
      </c>
      <c r="L410" s="12">
        <v>0</v>
      </c>
      <c r="M410" s="12">
        <v>0</v>
      </c>
      <c r="N410" s="12">
        <v>3</v>
      </c>
      <c r="O410" s="13">
        <v>3</v>
      </c>
    </row>
    <row r="411" spans="1:15" x14ac:dyDescent="0.35">
      <c r="A411" s="10">
        <v>410</v>
      </c>
      <c r="B411" s="11">
        <v>40562</v>
      </c>
      <c r="C411" s="12" t="s">
        <v>4</v>
      </c>
      <c r="D411" s="12" t="str">
        <f t="shared" si="12"/>
        <v>January</v>
      </c>
      <c r="E411" s="12">
        <v>1</v>
      </c>
      <c r="F411" s="12" t="b">
        <v>0</v>
      </c>
      <c r="G411" s="12" t="str">
        <f t="shared" si="13"/>
        <v>Wednesday</v>
      </c>
      <c r="H411" s="12" t="s">
        <v>2</v>
      </c>
      <c r="I411" s="18">
        <v>0.22</v>
      </c>
      <c r="J411" s="19">
        <v>0.2273</v>
      </c>
      <c r="K411" s="18">
        <v>0.93</v>
      </c>
      <c r="L411" s="12">
        <v>0.1343</v>
      </c>
      <c r="M411" s="12">
        <v>1</v>
      </c>
      <c r="N411" s="12">
        <v>6</v>
      </c>
      <c r="O411" s="13">
        <v>7</v>
      </c>
    </row>
    <row r="412" spans="1:15" x14ac:dyDescent="0.35">
      <c r="A412" s="10">
        <v>411</v>
      </c>
      <c r="B412" s="11">
        <v>40562</v>
      </c>
      <c r="C412" s="12" t="s">
        <v>4</v>
      </c>
      <c r="D412" s="12" t="str">
        <f t="shared" si="12"/>
        <v>January</v>
      </c>
      <c r="E412" s="12">
        <v>2</v>
      </c>
      <c r="F412" s="12" t="b">
        <v>0</v>
      </c>
      <c r="G412" s="12" t="str">
        <f t="shared" si="13"/>
        <v>Wednesday</v>
      </c>
      <c r="H412" s="12" t="s">
        <v>2</v>
      </c>
      <c r="I412" s="18">
        <v>0.22</v>
      </c>
      <c r="J412" s="19">
        <v>0.2273</v>
      </c>
      <c r="K412" s="18">
        <v>0.93</v>
      </c>
      <c r="L412" s="12">
        <v>0.1343</v>
      </c>
      <c r="M412" s="12">
        <v>0</v>
      </c>
      <c r="N412" s="12">
        <v>3</v>
      </c>
      <c r="O412" s="13">
        <v>3</v>
      </c>
    </row>
    <row r="413" spans="1:15" x14ac:dyDescent="0.35">
      <c r="A413" s="10">
        <v>412</v>
      </c>
      <c r="B413" s="11">
        <v>40562</v>
      </c>
      <c r="C413" s="12" t="s">
        <v>4</v>
      </c>
      <c r="D413" s="12" t="str">
        <f t="shared" si="12"/>
        <v>January</v>
      </c>
      <c r="E413" s="12">
        <v>4</v>
      </c>
      <c r="F413" s="12" t="b">
        <v>0</v>
      </c>
      <c r="G413" s="12" t="str">
        <f t="shared" si="13"/>
        <v>Wednesday</v>
      </c>
      <c r="H413" s="12" t="s">
        <v>2</v>
      </c>
      <c r="I413" s="18">
        <v>0.22</v>
      </c>
      <c r="J413" s="19">
        <v>0.2273</v>
      </c>
      <c r="K413" s="18">
        <v>0.93</v>
      </c>
      <c r="L413" s="12">
        <v>0.1343</v>
      </c>
      <c r="M413" s="12">
        <v>1</v>
      </c>
      <c r="N413" s="12">
        <v>1</v>
      </c>
      <c r="O413" s="13">
        <v>2</v>
      </c>
    </row>
    <row r="414" spans="1:15" x14ac:dyDescent="0.35">
      <c r="A414" s="10">
        <v>413</v>
      </c>
      <c r="B414" s="11">
        <v>40562</v>
      </c>
      <c r="C414" s="12" t="s">
        <v>4</v>
      </c>
      <c r="D414" s="12" t="str">
        <f t="shared" si="12"/>
        <v>January</v>
      </c>
      <c r="E414" s="12">
        <v>5</v>
      </c>
      <c r="F414" s="12" t="b">
        <v>0</v>
      </c>
      <c r="G414" s="12" t="str">
        <f t="shared" si="13"/>
        <v>Wednesday</v>
      </c>
      <c r="H414" s="12" t="s">
        <v>1</v>
      </c>
      <c r="I414" s="18">
        <v>0.22</v>
      </c>
      <c r="J414" s="19">
        <v>0.2576</v>
      </c>
      <c r="K414" s="18">
        <v>0.93</v>
      </c>
      <c r="L414" s="12">
        <v>8.9599999999999999E-2</v>
      </c>
      <c r="M414" s="12">
        <v>0</v>
      </c>
      <c r="N414" s="12">
        <v>7</v>
      </c>
      <c r="O414" s="13">
        <v>7</v>
      </c>
    </row>
    <row r="415" spans="1:15" x14ac:dyDescent="0.35">
      <c r="A415" s="10">
        <v>414</v>
      </c>
      <c r="B415" s="11">
        <v>40562</v>
      </c>
      <c r="C415" s="12" t="s">
        <v>4</v>
      </c>
      <c r="D415" s="12" t="str">
        <f t="shared" si="12"/>
        <v>January</v>
      </c>
      <c r="E415" s="12">
        <v>6</v>
      </c>
      <c r="F415" s="12" t="b">
        <v>0</v>
      </c>
      <c r="G415" s="12" t="str">
        <f t="shared" si="13"/>
        <v>Wednesday</v>
      </c>
      <c r="H415" s="12" t="s">
        <v>1</v>
      </c>
      <c r="I415" s="18">
        <v>0.22</v>
      </c>
      <c r="J415" s="19">
        <v>0.2576</v>
      </c>
      <c r="K415" s="18">
        <v>0.93</v>
      </c>
      <c r="L415" s="12">
        <v>8.9599999999999999E-2</v>
      </c>
      <c r="M415" s="12">
        <v>0</v>
      </c>
      <c r="N415" s="12">
        <v>32</v>
      </c>
      <c r="O415" s="13">
        <v>32</v>
      </c>
    </row>
    <row r="416" spans="1:15" x14ac:dyDescent="0.35">
      <c r="A416" s="10">
        <v>415</v>
      </c>
      <c r="B416" s="11">
        <v>40562</v>
      </c>
      <c r="C416" s="12" t="s">
        <v>4</v>
      </c>
      <c r="D416" s="12" t="str">
        <f t="shared" si="12"/>
        <v>January</v>
      </c>
      <c r="E416" s="12">
        <v>7</v>
      </c>
      <c r="F416" s="12" t="b">
        <v>0</v>
      </c>
      <c r="G416" s="12" t="str">
        <f t="shared" si="13"/>
        <v>Wednesday</v>
      </c>
      <c r="H416" s="12" t="s">
        <v>1</v>
      </c>
      <c r="I416" s="18">
        <v>0.24</v>
      </c>
      <c r="J416" s="19">
        <v>0.2576</v>
      </c>
      <c r="K416" s="18">
        <v>0.92</v>
      </c>
      <c r="L416" s="12">
        <v>0.1045</v>
      </c>
      <c r="M416" s="12">
        <v>1</v>
      </c>
      <c r="N416" s="12">
        <v>89</v>
      </c>
      <c r="O416" s="13">
        <v>90</v>
      </c>
    </row>
    <row r="417" spans="1:15" x14ac:dyDescent="0.35">
      <c r="A417" s="10">
        <v>416</v>
      </c>
      <c r="B417" s="11">
        <v>40562</v>
      </c>
      <c r="C417" s="12" t="s">
        <v>4</v>
      </c>
      <c r="D417" s="12" t="str">
        <f t="shared" si="12"/>
        <v>January</v>
      </c>
      <c r="E417" s="12">
        <v>8</v>
      </c>
      <c r="F417" s="12" t="b">
        <v>0</v>
      </c>
      <c r="G417" s="12" t="str">
        <f t="shared" si="13"/>
        <v>Wednesday</v>
      </c>
      <c r="H417" s="12" t="s">
        <v>1</v>
      </c>
      <c r="I417" s="18">
        <v>0.24</v>
      </c>
      <c r="J417" s="19">
        <v>0.2576</v>
      </c>
      <c r="K417" s="18">
        <v>0.93</v>
      </c>
      <c r="L417" s="12">
        <v>0.1045</v>
      </c>
      <c r="M417" s="12">
        <v>1</v>
      </c>
      <c r="N417" s="12">
        <v>196</v>
      </c>
      <c r="O417" s="13">
        <v>197</v>
      </c>
    </row>
    <row r="418" spans="1:15" x14ac:dyDescent="0.35">
      <c r="A418" s="10">
        <v>417</v>
      </c>
      <c r="B418" s="11">
        <v>40562</v>
      </c>
      <c r="C418" s="12" t="s">
        <v>4</v>
      </c>
      <c r="D418" s="12" t="str">
        <f t="shared" si="12"/>
        <v>January</v>
      </c>
      <c r="E418" s="12">
        <v>9</v>
      </c>
      <c r="F418" s="12" t="b">
        <v>0</v>
      </c>
      <c r="G418" s="12" t="str">
        <f t="shared" si="13"/>
        <v>Wednesday</v>
      </c>
      <c r="H418" s="12" t="s">
        <v>1</v>
      </c>
      <c r="I418" s="18">
        <v>0.24</v>
      </c>
      <c r="J418" s="19">
        <v>0.2576</v>
      </c>
      <c r="K418" s="18">
        <v>0.93</v>
      </c>
      <c r="L418" s="12">
        <v>0.1045</v>
      </c>
      <c r="M418" s="12">
        <v>2</v>
      </c>
      <c r="N418" s="12">
        <v>107</v>
      </c>
      <c r="O418" s="13">
        <v>109</v>
      </c>
    </row>
    <row r="419" spans="1:15" x14ac:dyDescent="0.35">
      <c r="A419" s="10">
        <v>418</v>
      </c>
      <c r="B419" s="11">
        <v>40562</v>
      </c>
      <c r="C419" s="12" t="s">
        <v>4</v>
      </c>
      <c r="D419" s="12" t="str">
        <f t="shared" si="12"/>
        <v>January</v>
      </c>
      <c r="E419" s="12">
        <v>10</v>
      </c>
      <c r="F419" s="12" t="b">
        <v>0</v>
      </c>
      <c r="G419" s="12" t="str">
        <f t="shared" si="13"/>
        <v>Wednesday</v>
      </c>
      <c r="H419" s="12" t="s">
        <v>1</v>
      </c>
      <c r="I419" s="18">
        <v>0.26</v>
      </c>
      <c r="J419" s="19">
        <v>0.2727</v>
      </c>
      <c r="K419" s="18">
        <v>0.93</v>
      </c>
      <c r="L419" s="12">
        <v>0.1343</v>
      </c>
      <c r="M419" s="12">
        <v>1</v>
      </c>
      <c r="N419" s="12">
        <v>46</v>
      </c>
      <c r="O419" s="13">
        <v>47</v>
      </c>
    </row>
    <row r="420" spans="1:15" x14ac:dyDescent="0.35">
      <c r="A420" s="10">
        <v>419</v>
      </c>
      <c r="B420" s="11">
        <v>40562</v>
      </c>
      <c r="C420" s="12" t="s">
        <v>4</v>
      </c>
      <c r="D420" s="12" t="str">
        <f t="shared" si="12"/>
        <v>January</v>
      </c>
      <c r="E420" s="12">
        <v>11</v>
      </c>
      <c r="F420" s="12" t="b">
        <v>0</v>
      </c>
      <c r="G420" s="12" t="str">
        <f t="shared" si="13"/>
        <v>Wednesday</v>
      </c>
      <c r="H420" s="12" t="s">
        <v>1</v>
      </c>
      <c r="I420" s="18">
        <v>0.28000000000000003</v>
      </c>
      <c r="J420" s="19">
        <v>0.30299999999999999</v>
      </c>
      <c r="K420" s="18">
        <v>0.87</v>
      </c>
      <c r="L420" s="12">
        <v>8.9599999999999999E-2</v>
      </c>
      <c r="M420" s="12">
        <v>5</v>
      </c>
      <c r="N420" s="12">
        <v>47</v>
      </c>
      <c r="O420" s="13">
        <v>52</v>
      </c>
    </row>
    <row r="421" spans="1:15" x14ac:dyDescent="0.35">
      <c r="A421" s="10">
        <v>420</v>
      </c>
      <c r="B421" s="11">
        <v>40562</v>
      </c>
      <c r="C421" s="12" t="s">
        <v>4</v>
      </c>
      <c r="D421" s="12" t="str">
        <f t="shared" si="12"/>
        <v>January</v>
      </c>
      <c r="E421" s="12">
        <v>12</v>
      </c>
      <c r="F421" s="12" t="b">
        <v>0</v>
      </c>
      <c r="G421" s="12" t="str">
        <f t="shared" si="13"/>
        <v>Wednesday</v>
      </c>
      <c r="H421" s="12" t="s">
        <v>1</v>
      </c>
      <c r="I421" s="18">
        <v>0.3</v>
      </c>
      <c r="J421" s="19">
        <v>0.31819999999999998</v>
      </c>
      <c r="K421" s="18">
        <v>0.81</v>
      </c>
      <c r="L421" s="12">
        <v>8.9599999999999999E-2</v>
      </c>
      <c r="M421" s="12">
        <v>5</v>
      </c>
      <c r="N421" s="12">
        <v>65</v>
      </c>
      <c r="O421" s="13">
        <v>70</v>
      </c>
    </row>
    <row r="422" spans="1:15" x14ac:dyDescent="0.35">
      <c r="A422" s="10">
        <v>421</v>
      </c>
      <c r="B422" s="11">
        <v>40562</v>
      </c>
      <c r="C422" s="12" t="s">
        <v>4</v>
      </c>
      <c r="D422" s="12" t="str">
        <f t="shared" si="12"/>
        <v>January</v>
      </c>
      <c r="E422" s="12">
        <v>13</v>
      </c>
      <c r="F422" s="12" t="b">
        <v>0</v>
      </c>
      <c r="G422" s="12" t="str">
        <f t="shared" si="13"/>
        <v>Wednesday</v>
      </c>
      <c r="H422" s="12" t="s">
        <v>0</v>
      </c>
      <c r="I422" s="18">
        <v>0.4</v>
      </c>
      <c r="J422" s="19">
        <v>0.40910000000000002</v>
      </c>
      <c r="K422" s="18">
        <v>0.62</v>
      </c>
      <c r="L422" s="12">
        <v>0.28360000000000002</v>
      </c>
      <c r="M422" s="12">
        <v>11</v>
      </c>
      <c r="N422" s="12">
        <v>67</v>
      </c>
      <c r="O422" s="13">
        <v>78</v>
      </c>
    </row>
    <row r="423" spans="1:15" x14ac:dyDescent="0.35">
      <c r="A423" s="10">
        <v>422</v>
      </c>
      <c r="B423" s="11">
        <v>40562</v>
      </c>
      <c r="C423" s="12" t="s">
        <v>4</v>
      </c>
      <c r="D423" s="12" t="str">
        <f t="shared" si="12"/>
        <v>January</v>
      </c>
      <c r="E423" s="12">
        <v>14</v>
      </c>
      <c r="F423" s="12" t="b">
        <v>0</v>
      </c>
      <c r="G423" s="12" t="str">
        <f t="shared" si="13"/>
        <v>Wednesday</v>
      </c>
      <c r="H423" s="12" t="s">
        <v>0</v>
      </c>
      <c r="I423" s="18">
        <v>0.4</v>
      </c>
      <c r="J423" s="19">
        <v>0.40910000000000002</v>
      </c>
      <c r="K423" s="18">
        <v>0.57999999999999996</v>
      </c>
      <c r="L423" s="12">
        <v>0.25369999999999998</v>
      </c>
      <c r="M423" s="12">
        <v>7</v>
      </c>
      <c r="N423" s="12">
        <v>68</v>
      </c>
      <c r="O423" s="13">
        <v>75</v>
      </c>
    </row>
    <row r="424" spans="1:15" x14ac:dyDescent="0.35">
      <c r="A424" s="10">
        <v>423</v>
      </c>
      <c r="B424" s="11">
        <v>40562</v>
      </c>
      <c r="C424" s="12" t="s">
        <v>4</v>
      </c>
      <c r="D424" s="12" t="str">
        <f t="shared" si="12"/>
        <v>January</v>
      </c>
      <c r="E424" s="12">
        <v>15</v>
      </c>
      <c r="F424" s="12" t="b">
        <v>0</v>
      </c>
      <c r="G424" s="12" t="str">
        <f t="shared" si="13"/>
        <v>Wednesday</v>
      </c>
      <c r="H424" s="12" t="s">
        <v>0</v>
      </c>
      <c r="I424" s="18">
        <v>0.4</v>
      </c>
      <c r="J424" s="19">
        <v>0.40910000000000002</v>
      </c>
      <c r="K424" s="18">
        <v>0.54</v>
      </c>
      <c r="L424" s="12">
        <v>0.28360000000000002</v>
      </c>
      <c r="M424" s="12">
        <v>4</v>
      </c>
      <c r="N424" s="12">
        <v>78</v>
      </c>
      <c r="O424" s="13">
        <v>82</v>
      </c>
    </row>
    <row r="425" spans="1:15" x14ac:dyDescent="0.35">
      <c r="A425" s="10">
        <v>424</v>
      </c>
      <c r="B425" s="11">
        <v>40562</v>
      </c>
      <c r="C425" s="12" t="s">
        <v>4</v>
      </c>
      <c r="D425" s="12" t="str">
        <f t="shared" si="12"/>
        <v>January</v>
      </c>
      <c r="E425" s="12">
        <v>16</v>
      </c>
      <c r="F425" s="12" t="b">
        <v>0</v>
      </c>
      <c r="G425" s="12" t="str">
        <f t="shared" si="13"/>
        <v>Wednesday</v>
      </c>
      <c r="H425" s="12" t="s">
        <v>0</v>
      </c>
      <c r="I425" s="18">
        <v>0.38</v>
      </c>
      <c r="J425" s="19">
        <v>0.39389999999999997</v>
      </c>
      <c r="K425" s="18">
        <v>0.57999999999999996</v>
      </c>
      <c r="L425" s="12">
        <v>0.3881</v>
      </c>
      <c r="M425" s="12">
        <v>10</v>
      </c>
      <c r="N425" s="12">
        <v>94</v>
      </c>
      <c r="O425" s="13">
        <v>104</v>
      </c>
    </row>
    <row r="426" spans="1:15" x14ac:dyDescent="0.35">
      <c r="A426" s="10">
        <v>425</v>
      </c>
      <c r="B426" s="11">
        <v>40562</v>
      </c>
      <c r="C426" s="12" t="s">
        <v>4</v>
      </c>
      <c r="D426" s="12" t="str">
        <f t="shared" si="12"/>
        <v>January</v>
      </c>
      <c r="E426" s="12">
        <v>17</v>
      </c>
      <c r="F426" s="12" t="b">
        <v>0</v>
      </c>
      <c r="G426" s="12" t="str">
        <f t="shared" si="13"/>
        <v>Wednesday</v>
      </c>
      <c r="H426" s="12" t="s">
        <v>0</v>
      </c>
      <c r="I426" s="18">
        <v>0.36</v>
      </c>
      <c r="J426" s="19">
        <v>0.33329999999999999</v>
      </c>
      <c r="K426" s="18">
        <v>0.56999999999999995</v>
      </c>
      <c r="L426" s="12">
        <v>0.32840000000000003</v>
      </c>
      <c r="M426" s="12">
        <v>7</v>
      </c>
      <c r="N426" s="12">
        <v>190</v>
      </c>
      <c r="O426" s="13">
        <v>197</v>
      </c>
    </row>
    <row r="427" spans="1:15" x14ac:dyDescent="0.35">
      <c r="A427" s="10">
        <v>426</v>
      </c>
      <c r="B427" s="11">
        <v>40562</v>
      </c>
      <c r="C427" s="12" t="s">
        <v>4</v>
      </c>
      <c r="D427" s="12" t="str">
        <f t="shared" si="12"/>
        <v>January</v>
      </c>
      <c r="E427" s="12">
        <v>18</v>
      </c>
      <c r="F427" s="12" t="b">
        <v>0</v>
      </c>
      <c r="G427" s="12" t="str">
        <f t="shared" si="13"/>
        <v>Wednesday</v>
      </c>
      <c r="H427" s="12" t="s">
        <v>0</v>
      </c>
      <c r="I427" s="18">
        <v>0.34</v>
      </c>
      <c r="J427" s="19">
        <v>0.31819999999999998</v>
      </c>
      <c r="K427" s="18">
        <v>0.61</v>
      </c>
      <c r="L427" s="12">
        <v>0.28360000000000002</v>
      </c>
      <c r="M427" s="12">
        <v>5</v>
      </c>
      <c r="N427" s="12">
        <v>156</v>
      </c>
      <c r="O427" s="13">
        <v>161</v>
      </c>
    </row>
    <row r="428" spans="1:15" x14ac:dyDescent="0.35">
      <c r="A428" s="10">
        <v>427</v>
      </c>
      <c r="B428" s="11">
        <v>40562</v>
      </c>
      <c r="C428" s="12" t="s">
        <v>4</v>
      </c>
      <c r="D428" s="12" t="str">
        <f t="shared" si="12"/>
        <v>January</v>
      </c>
      <c r="E428" s="12">
        <v>19</v>
      </c>
      <c r="F428" s="12" t="b">
        <v>0</v>
      </c>
      <c r="G428" s="12" t="str">
        <f t="shared" si="13"/>
        <v>Wednesday</v>
      </c>
      <c r="H428" s="12" t="s">
        <v>0</v>
      </c>
      <c r="I428" s="18">
        <v>0.32</v>
      </c>
      <c r="J428" s="19">
        <v>0.28789999999999999</v>
      </c>
      <c r="K428" s="18">
        <v>0.56999999999999995</v>
      </c>
      <c r="L428" s="12">
        <v>0.41789999999999999</v>
      </c>
      <c r="M428" s="12">
        <v>4</v>
      </c>
      <c r="N428" s="12">
        <v>108</v>
      </c>
      <c r="O428" s="13">
        <v>112</v>
      </c>
    </row>
    <row r="429" spans="1:15" x14ac:dyDescent="0.35">
      <c r="A429" s="10">
        <v>428</v>
      </c>
      <c r="B429" s="11">
        <v>40562</v>
      </c>
      <c r="C429" s="12" t="s">
        <v>4</v>
      </c>
      <c r="D429" s="12" t="str">
        <f t="shared" si="12"/>
        <v>January</v>
      </c>
      <c r="E429" s="12">
        <v>20</v>
      </c>
      <c r="F429" s="12" t="b">
        <v>0</v>
      </c>
      <c r="G429" s="12" t="str">
        <f t="shared" si="13"/>
        <v>Wednesday</v>
      </c>
      <c r="H429" s="12" t="s">
        <v>0</v>
      </c>
      <c r="I429" s="18">
        <v>0.32</v>
      </c>
      <c r="J429" s="19">
        <v>0.30299999999999999</v>
      </c>
      <c r="K429" s="18">
        <v>0.49</v>
      </c>
      <c r="L429" s="12">
        <v>0.29849999999999999</v>
      </c>
      <c r="M429" s="12">
        <v>2</v>
      </c>
      <c r="N429" s="12">
        <v>74</v>
      </c>
      <c r="O429" s="13">
        <v>76</v>
      </c>
    </row>
    <row r="430" spans="1:15" x14ac:dyDescent="0.35">
      <c r="A430" s="10">
        <v>429</v>
      </c>
      <c r="B430" s="11">
        <v>40562</v>
      </c>
      <c r="C430" s="12" t="s">
        <v>4</v>
      </c>
      <c r="D430" s="12" t="str">
        <f t="shared" si="12"/>
        <v>January</v>
      </c>
      <c r="E430" s="12">
        <v>21</v>
      </c>
      <c r="F430" s="12" t="b">
        <v>0</v>
      </c>
      <c r="G430" s="12" t="str">
        <f t="shared" si="13"/>
        <v>Wednesday</v>
      </c>
      <c r="H430" s="12" t="s">
        <v>0</v>
      </c>
      <c r="I430" s="18">
        <v>0.32</v>
      </c>
      <c r="J430" s="19">
        <v>0.28789999999999999</v>
      </c>
      <c r="K430" s="18">
        <v>0.49</v>
      </c>
      <c r="L430" s="12">
        <v>0.41789999999999999</v>
      </c>
      <c r="M430" s="12">
        <v>4</v>
      </c>
      <c r="N430" s="12">
        <v>55</v>
      </c>
      <c r="O430" s="13">
        <v>59</v>
      </c>
    </row>
    <row r="431" spans="1:15" x14ac:dyDescent="0.35">
      <c r="A431" s="10">
        <v>430</v>
      </c>
      <c r="B431" s="11">
        <v>40562</v>
      </c>
      <c r="C431" s="12" t="s">
        <v>4</v>
      </c>
      <c r="D431" s="12" t="str">
        <f t="shared" si="12"/>
        <v>January</v>
      </c>
      <c r="E431" s="12">
        <v>22</v>
      </c>
      <c r="F431" s="12" t="b">
        <v>0</v>
      </c>
      <c r="G431" s="12" t="str">
        <f t="shared" si="13"/>
        <v>Wednesday</v>
      </c>
      <c r="H431" s="12" t="s">
        <v>0</v>
      </c>
      <c r="I431" s="18">
        <v>0.3</v>
      </c>
      <c r="J431" s="19">
        <v>0.30299999999999999</v>
      </c>
      <c r="K431" s="18">
        <v>0.52</v>
      </c>
      <c r="L431" s="12">
        <v>0.16420000000000001</v>
      </c>
      <c r="M431" s="12">
        <v>6</v>
      </c>
      <c r="N431" s="12">
        <v>53</v>
      </c>
      <c r="O431" s="13">
        <v>59</v>
      </c>
    </row>
    <row r="432" spans="1:15" x14ac:dyDescent="0.35">
      <c r="A432" s="10">
        <v>431</v>
      </c>
      <c r="B432" s="11">
        <v>40562</v>
      </c>
      <c r="C432" s="12" t="s">
        <v>4</v>
      </c>
      <c r="D432" s="12" t="str">
        <f t="shared" si="12"/>
        <v>January</v>
      </c>
      <c r="E432" s="12">
        <v>23</v>
      </c>
      <c r="F432" s="12" t="b">
        <v>0</v>
      </c>
      <c r="G432" s="12" t="str">
        <f t="shared" si="13"/>
        <v>Wednesday</v>
      </c>
      <c r="H432" s="12" t="s">
        <v>0</v>
      </c>
      <c r="I432" s="18">
        <v>0.3</v>
      </c>
      <c r="J432" s="19">
        <v>0.2727</v>
      </c>
      <c r="K432" s="18">
        <v>0.52</v>
      </c>
      <c r="L432" s="12">
        <v>0.4627</v>
      </c>
      <c r="M432" s="12">
        <v>1</v>
      </c>
      <c r="N432" s="12">
        <v>27</v>
      </c>
      <c r="O432" s="13">
        <v>28</v>
      </c>
    </row>
    <row r="433" spans="1:15" x14ac:dyDescent="0.35">
      <c r="A433" s="10">
        <v>432</v>
      </c>
      <c r="B433" s="11">
        <v>40563</v>
      </c>
      <c r="C433" s="12" t="s">
        <v>4</v>
      </c>
      <c r="D433" s="12" t="str">
        <f t="shared" si="12"/>
        <v>January</v>
      </c>
      <c r="E433" s="12">
        <v>0</v>
      </c>
      <c r="F433" s="12" t="b">
        <v>0</v>
      </c>
      <c r="G433" s="12" t="str">
        <f t="shared" si="13"/>
        <v>Thursday</v>
      </c>
      <c r="H433" s="12" t="s">
        <v>0</v>
      </c>
      <c r="I433" s="18">
        <v>0.26</v>
      </c>
      <c r="J433" s="19">
        <v>0.2273</v>
      </c>
      <c r="K433" s="18">
        <v>0.56000000000000005</v>
      </c>
      <c r="L433" s="12">
        <v>0.3881</v>
      </c>
      <c r="M433" s="12">
        <v>5</v>
      </c>
      <c r="N433" s="12">
        <v>8</v>
      </c>
      <c r="O433" s="13">
        <v>13</v>
      </c>
    </row>
    <row r="434" spans="1:15" x14ac:dyDescent="0.35">
      <c r="A434" s="10">
        <v>433</v>
      </c>
      <c r="B434" s="11">
        <v>40563</v>
      </c>
      <c r="C434" s="12" t="s">
        <v>4</v>
      </c>
      <c r="D434" s="12" t="str">
        <f t="shared" si="12"/>
        <v>January</v>
      </c>
      <c r="E434" s="12">
        <v>1</v>
      </c>
      <c r="F434" s="12" t="b">
        <v>0</v>
      </c>
      <c r="G434" s="12" t="str">
        <f t="shared" si="13"/>
        <v>Thursday</v>
      </c>
      <c r="H434" s="12" t="s">
        <v>0</v>
      </c>
      <c r="I434" s="18">
        <v>0.26</v>
      </c>
      <c r="J434" s="19">
        <v>0.2727</v>
      </c>
      <c r="K434" s="18">
        <v>0.56000000000000005</v>
      </c>
      <c r="L434" s="12">
        <v>0</v>
      </c>
      <c r="M434" s="12">
        <v>2</v>
      </c>
      <c r="N434" s="12">
        <v>3</v>
      </c>
      <c r="O434" s="13">
        <v>5</v>
      </c>
    </row>
    <row r="435" spans="1:15" x14ac:dyDescent="0.35">
      <c r="A435" s="10">
        <v>434</v>
      </c>
      <c r="B435" s="11">
        <v>40563</v>
      </c>
      <c r="C435" s="12" t="s">
        <v>4</v>
      </c>
      <c r="D435" s="12" t="str">
        <f t="shared" si="12"/>
        <v>January</v>
      </c>
      <c r="E435" s="12">
        <v>2</v>
      </c>
      <c r="F435" s="12" t="b">
        <v>0</v>
      </c>
      <c r="G435" s="12" t="str">
        <f t="shared" si="13"/>
        <v>Thursday</v>
      </c>
      <c r="H435" s="12" t="s">
        <v>0</v>
      </c>
      <c r="I435" s="18">
        <v>0.26</v>
      </c>
      <c r="J435" s="19">
        <v>0.2727</v>
      </c>
      <c r="K435" s="18">
        <v>0.56000000000000005</v>
      </c>
      <c r="L435" s="12">
        <v>0</v>
      </c>
      <c r="M435" s="12">
        <v>0</v>
      </c>
      <c r="N435" s="12">
        <v>2</v>
      </c>
      <c r="O435" s="13">
        <v>2</v>
      </c>
    </row>
    <row r="436" spans="1:15" x14ac:dyDescent="0.35">
      <c r="A436" s="10">
        <v>435</v>
      </c>
      <c r="B436" s="11">
        <v>40563</v>
      </c>
      <c r="C436" s="12" t="s">
        <v>4</v>
      </c>
      <c r="D436" s="12" t="str">
        <f t="shared" si="12"/>
        <v>January</v>
      </c>
      <c r="E436" s="12">
        <v>3</v>
      </c>
      <c r="F436" s="12" t="b">
        <v>0</v>
      </c>
      <c r="G436" s="12" t="str">
        <f t="shared" si="13"/>
        <v>Thursday</v>
      </c>
      <c r="H436" s="12" t="s">
        <v>0</v>
      </c>
      <c r="I436" s="18">
        <v>0.26</v>
      </c>
      <c r="J436" s="19">
        <v>0.2576</v>
      </c>
      <c r="K436" s="18">
        <v>0.56000000000000005</v>
      </c>
      <c r="L436" s="12">
        <v>0.16420000000000001</v>
      </c>
      <c r="M436" s="12">
        <v>0</v>
      </c>
      <c r="N436" s="12">
        <v>1</v>
      </c>
      <c r="O436" s="13">
        <v>1</v>
      </c>
    </row>
    <row r="437" spans="1:15" x14ac:dyDescent="0.35">
      <c r="A437" s="10">
        <v>436</v>
      </c>
      <c r="B437" s="11">
        <v>40563</v>
      </c>
      <c r="C437" s="12" t="s">
        <v>4</v>
      </c>
      <c r="D437" s="12" t="str">
        <f t="shared" si="12"/>
        <v>January</v>
      </c>
      <c r="E437" s="12">
        <v>4</v>
      </c>
      <c r="F437" s="12" t="b">
        <v>0</v>
      </c>
      <c r="G437" s="12" t="str">
        <f t="shared" si="13"/>
        <v>Thursday</v>
      </c>
      <c r="H437" s="12" t="s">
        <v>0</v>
      </c>
      <c r="I437" s="18">
        <v>0.26</v>
      </c>
      <c r="J437" s="19">
        <v>0.2576</v>
      </c>
      <c r="K437" s="18">
        <v>0.56000000000000005</v>
      </c>
      <c r="L437" s="12">
        <v>0.16420000000000001</v>
      </c>
      <c r="M437" s="12">
        <v>0</v>
      </c>
      <c r="N437" s="12">
        <v>1</v>
      </c>
      <c r="O437" s="13">
        <v>1</v>
      </c>
    </row>
    <row r="438" spans="1:15" x14ac:dyDescent="0.35">
      <c r="A438" s="10">
        <v>437</v>
      </c>
      <c r="B438" s="11">
        <v>40563</v>
      </c>
      <c r="C438" s="12" t="s">
        <v>4</v>
      </c>
      <c r="D438" s="12" t="str">
        <f t="shared" si="12"/>
        <v>January</v>
      </c>
      <c r="E438" s="12">
        <v>5</v>
      </c>
      <c r="F438" s="12" t="b">
        <v>0</v>
      </c>
      <c r="G438" s="12" t="str">
        <f t="shared" si="13"/>
        <v>Thursday</v>
      </c>
      <c r="H438" s="12" t="s">
        <v>0</v>
      </c>
      <c r="I438" s="18">
        <v>0.24</v>
      </c>
      <c r="J438" s="19">
        <v>0.2273</v>
      </c>
      <c r="K438" s="18">
        <v>0.6</v>
      </c>
      <c r="L438" s="12">
        <v>0.22389999999999999</v>
      </c>
      <c r="M438" s="12">
        <v>0</v>
      </c>
      <c r="N438" s="12">
        <v>6</v>
      </c>
      <c r="O438" s="13">
        <v>6</v>
      </c>
    </row>
    <row r="439" spans="1:15" x14ac:dyDescent="0.35">
      <c r="A439" s="10">
        <v>438</v>
      </c>
      <c r="B439" s="11">
        <v>40563</v>
      </c>
      <c r="C439" s="12" t="s">
        <v>4</v>
      </c>
      <c r="D439" s="12" t="str">
        <f t="shared" si="12"/>
        <v>January</v>
      </c>
      <c r="E439" s="12">
        <v>6</v>
      </c>
      <c r="F439" s="12" t="b">
        <v>0</v>
      </c>
      <c r="G439" s="12" t="str">
        <f t="shared" si="13"/>
        <v>Thursday</v>
      </c>
      <c r="H439" s="12" t="s">
        <v>0</v>
      </c>
      <c r="I439" s="18">
        <v>0.22</v>
      </c>
      <c r="J439" s="19">
        <v>0.21210000000000001</v>
      </c>
      <c r="K439" s="18">
        <v>0.6</v>
      </c>
      <c r="L439" s="12">
        <v>0.22389999999999999</v>
      </c>
      <c r="M439" s="12">
        <v>0</v>
      </c>
      <c r="N439" s="12">
        <v>35</v>
      </c>
      <c r="O439" s="13">
        <v>35</v>
      </c>
    </row>
    <row r="440" spans="1:15" x14ac:dyDescent="0.35">
      <c r="A440" s="10">
        <v>439</v>
      </c>
      <c r="B440" s="11">
        <v>40563</v>
      </c>
      <c r="C440" s="12" t="s">
        <v>4</v>
      </c>
      <c r="D440" s="12" t="str">
        <f t="shared" si="12"/>
        <v>January</v>
      </c>
      <c r="E440" s="12">
        <v>7</v>
      </c>
      <c r="F440" s="12" t="b">
        <v>0</v>
      </c>
      <c r="G440" s="12" t="str">
        <f t="shared" si="13"/>
        <v>Thursday</v>
      </c>
      <c r="H440" s="12" t="s">
        <v>0</v>
      </c>
      <c r="I440" s="18">
        <v>0.22</v>
      </c>
      <c r="J440" s="19">
        <v>0.21210000000000001</v>
      </c>
      <c r="K440" s="18">
        <v>0.55000000000000004</v>
      </c>
      <c r="L440" s="12">
        <v>0.22389999999999999</v>
      </c>
      <c r="M440" s="12">
        <v>1</v>
      </c>
      <c r="N440" s="12">
        <v>100</v>
      </c>
      <c r="O440" s="13">
        <v>101</v>
      </c>
    </row>
    <row r="441" spans="1:15" x14ac:dyDescent="0.35">
      <c r="A441" s="10">
        <v>440</v>
      </c>
      <c r="B441" s="11">
        <v>40563</v>
      </c>
      <c r="C441" s="12" t="s">
        <v>4</v>
      </c>
      <c r="D441" s="12" t="str">
        <f t="shared" si="12"/>
        <v>January</v>
      </c>
      <c r="E441" s="12">
        <v>8</v>
      </c>
      <c r="F441" s="12" t="b">
        <v>0</v>
      </c>
      <c r="G441" s="12" t="str">
        <f t="shared" si="13"/>
        <v>Thursday</v>
      </c>
      <c r="H441" s="12" t="s">
        <v>0</v>
      </c>
      <c r="I441" s="18">
        <v>0.22</v>
      </c>
      <c r="J441" s="19">
        <v>0.21210000000000001</v>
      </c>
      <c r="K441" s="18">
        <v>0.55000000000000004</v>
      </c>
      <c r="L441" s="12">
        <v>0.28360000000000002</v>
      </c>
      <c r="M441" s="12">
        <v>2</v>
      </c>
      <c r="N441" s="12">
        <v>247</v>
      </c>
      <c r="O441" s="13">
        <v>249</v>
      </c>
    </row>
    <row r="442" spans="1:15" x14ac:dyDescent="0.35">
      <c r="A442" s="10">
        <v>441</v>
      </c>
      <c r="B442" s="11">
        <v>40563</v>
      </c>
      <c r="C442" s="12" t="s">
        <v>4</v>
      </c>
      <c r="D442" s="12" t="str">
        <f t="shared" si="12"/>
        <v>January</v>
      </c>
      <c r="E442" s="12">
        <v>9</v>
      </c>
      <c r="F442" s="12" t="b">
        <v>0</v>
      </c>
      <c r="G442" s="12" t="str">
        <f t="shared" si="13"/>
        <v>Thursday</v>
      </c>
      <c r="H442" s="12" t="s">
        <v>1</v>
      </c>
      <c r="I442" s="18">
        <v>0.24</v>
      </c>
      <c r="J442" s="19">
        <v>0.2273</v>
      </c>
      <c r="K442" s="18">
        <v>0.52</v>
      </c>
      <c r="L442" s="12">
        <v>0.22389999999999999</v>
      </c>
      <c r="M442" s="12">
        <v>3</v>
      </c>
      <c r="N442" s="12">
        <v>140</v>
      </c>
      <c r="O442" s="13">
        <v>143</v>
      </c>
    </row>
    <row r="443" spans="1:15" x14ac:dyDescent="0.35">
      <c r="A443" s="10">
        <v>442</v>
      </c>
      <c r="B443" s="11">
        <v>40563</v>
      </c>
      <c r="C443" s="12" t="s">
        <v>4</v>
      </c>
      <c r="D443" s="12" t="str">
        <f t="shared" si="12"/>
        <v>January</v>
      </c>
      <c r="E443" s="12">
        <v>10</v>
      </c>
      <c r="F443" s="12" t="b">
        <v>0</v>
      </c>
      <c r="G443" s="12" t="str">
        <f t="shared" si="13"/>
        <v>Thursday</v>
      </c>
      <c r="H443" s="12" t="s">
        <v>0</v>
      </c>
      <c r="I443" s="18">
        <v>0.26</v>
      </c>
      <c r="J443" s="19">
        <v>0.2273</v>
      </c>
      <c r="K443" s="18">
        <v>0.48</v>
      </c>
      <c r="L443" s="12">
        <v>0.29849999999999999</v>
      </c>
      <c r="M443" s="12">
        <v>1</v>
      </c>
      <c r="N443" s="12">
        <v>56</v>
      </c>
      <c r="O443" s="13">
        <v>57</v>
      </c>
    </row>
    <row r="444" spans="1:15" x14ac:dyDescent="0.35">
      <c r="A444" s="10">
        <v>443</v>
      </c>
      <c r="B444" s="11">
        <v>40563</v>
      </c>
      <c r="C444" s="12" t="s">
        <v>4</v>
      </c>
      <c r="D444" s="12" t="str">
        <f t="shared" si="12"/>
        <v>January</v>
      </c>
      <c r="E444" s="12">
        <v>11</v>
      </c>
      <c r="F444" s="12" t="b">
        <v>0</v>
      </c>
      <c r="G444" s="12" t="str">
        <f t="shared" si="13"/>
        <v>Thursday</v>
      </c>
      <c r="H444" s="12" t="s">
        <v>1</v>
      </c>
      <c r="I444" s="18">
        <v>0.28000000000000003</v>
      </c>
      <c r="J444" s="19">
        <v>0.2727</v>
      </c>
      <c r="K444" s="18">
        <v>0.45</v>
      </c>
      <c r="L444" s="12">
        <v>0.16420000000000001</v>
      </c>
      <c r="M444" s="12">
        <v>5</v>
      </c>
      <c r="N444" s="12">
        <v>63</v>
      </c>
      <c r="O444" s="13">
        <v>68</v>
      </c>
    </row>
    <row r="445" spans="1:15" x14ac:dyDescent="0.35">
      <c r="A445" s="10">
        <v>444</v>
      </c>
      <c r="B445" s="11">
        <v>40563</v>
      </c>
      <c r="C445" s="12" t="s">
        <v>4</v>
      </c>
      <c r="D445" s="12" t="str">
        <f t="shared" si="12"/>
        <v>January</v>
      </c>
      <c r="E445" s="12">
        <v>12</v>
      </c>
      <c r="F445" s="12" t="b">
        <v>0</v>
      </c>
      <c r="G445" s="12" t="str">
        <f t="shared" si="13"/>
        <v>Thursday</v>
      </c>
      <c r="H445" s="12" t="s">
        <v>1</v>
      </c>
      <c r="I445" s="18">
        <v>0.3</v>
      </c>
      <c r="J445" s="19">
        <v>0.33329999999999999</v>
      </c>
      <c r="K445" s="18">
        <v>0.42</v>
      </c>
      <c r="L445" s="12">
        <v>0</v>
      </c>
      <c r="M445" s="12">
        <v>7</v>
      </c>
      <c r="N445" s="12">
        <v>77</v>
      </c>
      <c r="O445" s="13">
        <v>84</v>
      </c>
    </row>
    <row r="446" spans="1:15" x14ac:dyDescent="0.35">
      <c r="A446" s="10">
        <v>445</v>
      </c>
      <c r="B446" s="11">
        <v>40563</v>
      </c>
      <c r="C446" s="12" t="s">
        <v>4</v>
      </c>
      <c r="D446" s="12" t="str">
        <f t="shared" si="12"/>
        <v>January</v>
      </c>
      <c r="E446" s="12">
        <v>13</v>
      </c>
      <c r="F446" s="12" t="b">
        <v>0</v>
      </c>
      <c r="G446" s="12" t="str">
        <f t="shared" si="13"/>
        <v>Thursday</v>
      </c>
      <c r="H446" s="12" t="s">
        <v>1</v>
      </c>
      <c r="I446" s="18">
        <v>0.28000000000000003</v>
      </c>
      <c r="J446" s="19">
        <v>0.28789999999999999</v>
      </c>
      <c r="K446" s="18">
        <v>0.45</v>
      </c>
      <c r="L446" s="12">
        <v>0.1045</v>
      </c>
      <c r="M446" s="12">
        <v>12</v>
      </c>
      <c r="N446" s="12">
        <v>86</v>
      </c>
      <c r="O446" s="13">
        <v>98</v>
      </c>
    </row>
    <row r="447" spans="1:15" x14ac:dyDescent="0.35">
      <c r="A447" s="10">
        <v>446</v>
      </c>
      <c r="B447" s="11">
        <v>40563</v>
      </c>
      <c r="C447" s="12" t="s">
        <v>4</v>
      </c>
      <c r="D447" s="12" t="str">
        <f t="shared" si="12"/>
        <v>January</v>
      </c>
      <c r="E447" s="12">
        <v>14</v>
      </c>
      <c r="F447" s="12" t="b">
        <v>0</v>
      </c>
      <c r="G447" s="12" t="str">
        <f t="shared" si="13"/>
        <v>Thursday</v>
      </c>
      <c r="H447" s="12" t="s">
        <v>1</v>
      </c>
      <c r="I447" s="18">
        <v>0.3</v>
      </c>
      <c r="J447" s="19">
        <v>0.30299999999999999</v>
      </c>
      <c r="K447" s="18">
        <v>0.45</v>
      </c>
      <c r="L447" s="12">
        <v>0.1343</v>
      </c>
      <c r="M447" s="12">
        <v>6</v>
      </c>
      <c r="N447" s="12">
        <v>75</v>
      </c>
      <c r="O447" s="13">
        <v>81</v>
      </c>
    </row>
    <row r="448" spans="1:15" x14ac:dyDescent="0.35">
      <c r="A448" s="10">
        <v>447</v>
      </c>
      <c r="B448" s="11">
        <v>40563</v>
      </c>
      <c r="C448" s="12" t="s">
        <v>4</v>
      </c>
      <c r="D448" s="12" t="str">
        <f t="shared" si="12"/>
        <v>January</v>
      </c>
      <c r="E448" s="12">
        <v>15</v>
      </c>
      <c r="F448" s="12" t="b">
        <v>0</v>
      </c>
      <c r="G448" s="12" t="str">
        <f t="shared" si="13"/>
        <v>Thursday</v>
      </c>
      <c r="H448" s="12" t="s">
        <v>1</v>
      </c>
      <c r="I448" s="18">
        <v>0.32</v>
      </c>
      <c r="J448" s="19">
        <v>0.31819999999999998</v>
      </c>
      <c r="K448" s="18">
        <v>0.45</v>
      </c>
      <c r="L448" s="12">
        <v>0.19400000000000001</v>
      </c>
      <c r="M448" s="12">
        <v>8</v>
      </c>
      <c r="N448" s="12">
        <v>62</v>
      </c>
      <c r="O448" s="13">
        <v>70</v>
      </c>
    </row>
    <row r="449" spans="1:15" x14ac:dyDescent="0.35">
      <c r="A449" s="10">
        <v>448</v>
      </c>
      <c r="B449" s="11">
        <v>40563</v>
      </c>
      <c r="C449" s="12" t="s">
        <v>4</v>
      </c>
      <c r="D449" s="12" t="str">
        <f t="shared" si="12"/>
        <v>January</v>
      </c>
      <c r="E449" s="12">
        <v>16</v>
      </c>
      <c r="F449" s="12" t="b">
        <v>0</v>
      </c>
      <c r="G449" s="12" t="str">
        <f t="shared" si="13"/>
        <v>Thursday</v>
      </c>
      <c r="H449" s="12" t="s">
        <v>1</v>
      </c>
      <c r="I449" s="18">
        <v>0.3</v>
      </c>
      <c r="J449" s="19">
        <v>0.30299999999999999</v>
      </c>
      <c r="K449" s="18">
        <v>0.49</v>
      </c>
      <c r="L449" s="12">
        <v>0.1343</v>
      </c>
      <c r="M449" s="12">
        <v>8</v>
      </c>
      <c r="N449" s="12">
        <v>83</v>
      </c>
      <c r="O449" s="13">
        <v>91</v>
      </c>
    </row>
    <row r="450" spans="1:15" x14ac:dyDescent="0.35">
      <c r="A450" s="10">
        <v>449</v>
      </c>
      <c r="B450" s="11">
        <v>40563</v>
      </c>
      <c r="C450" s="12" t="s">
        <v>4</v>
      </c>
      <c r="D450" s="12" t="str">
        <f t="shared" si="12"/>
        <v>January</v>
      </c>
      <c r="E450" s="12">
        <v>17</v>
      </c>
      <c r="F450" s="12" t="b">
        <v>0</v>
      </c>
      <c r="G450" s="12" t="str">
        <f t="shared" si="13"/>
        <v>Thursday</v>
      </c>
      <c r="H450" s="12" t="s">
        <v>1</v>
      </c>
      <c r="I450" s="18">
        <v>0.3</v>
      </c>
      <c r="J450" s="19">
        <v>0.31819999999999998</v>
      </c>
      <c r="K450" s="18">
        <v>0.49</v>
      </c>
      <c r="L450" s="12">
        <v>0.1045</v>
      </c>
      <c r="M450" s="12">
        <v>8</v>
      </c>
      <c r="N450" s="12">
        <v>207</v>
      </c>
      <c r="O450" s="13">
        <v>215</v>
      </c>
    </row>
    <row r="451" spans="1:15" x14ac:dyDescent="0.35">
      <c r="A451" s="10">
        <v>450</v>
      </c>
      <c r="B451" s="11">
        <v>40563</v>
      </c>
      <c r="C451" s="12" t="s">
        <v>4</v>
      </c>
      <c r="D451" s="12" t="str">
        <f t="shared" ref="D451:D514" si="14">TEXT(B451,"mmmm")</f>
        <v>January</v>
      </c>
      <c r="E451" s="12">
        <v>18</v>
      </c>
      <c r="F451" s="12" t="b">
        <v>0</v>
      </c>
      <c r="G451" s="12" t="str">
        <f t="shared" ref="G451:G514" si="15">TEXT(B451,"dddd")</f>
        <v>Thursday</v>
      </c>
      <c r="H451" s="12" t="s">
        <v>1</v>
      </c>
      <c r="I451" s="18">
        <v>0.26</v>
      </c>
      <c r="J451" s="19">
        <v>0.2576</v>
      </c>
      <c r="K451" s="18">
        <v>0.56000000000000005</v>
      </c>
      <c r="L451" s="12">
        <v>0.19400000000000001</v>
      </c>
      <c r="M451" s="12">
        <v>1</v>
      </c>
      <c r="N451" s="12">
        <v>184</v>
      </c>
      <c r="O451" s="13">
        <v>185</v>
      </c>
    </row>
    <row r="452" spans="1:15" x14ac:dyDescent="0.35">
      <c r="A452" s="10">
        <v>451</v>
      </c>
      <c r="B452" s="11">
        <v>40563</v>
      </c>
      <c r="C452" s="12" t="s">
        <v>4</v>
      </c>
      <c r="D452" s="12" t="str">
        <f t="shared" si="14"/>
        <v>January</v>
      </c>
      <c r="E452" s="12">
        <v>19</v>
      </c>
      <c r="F452" s="12" t="b">
        <v>0</v>
      </c>
      <c r="G452" s="12" t="str">
        <f t="shared" si="15"/>
        <v>Thursday</v>
      </c>
      <c r="H452" s="12" t="s">
        <v>0</v>
      </c>
      <c r="I452" s="18">
        <v>0.26</v>
      </c>
      <c r="J452" s="19">
        <v>0.2273</v>
      </c>
      <c r="K452" s="18">
        <v>0.56000000000000005</v>
      </c>
      <c r="L452" s="12">
        <v>0.32840000000000003</v>
      </c>
      <c r="M452" s="12">
        <v>6</v>
      </c>
      <c r="N452" s="12">
        <v>146</v>
      </c>
      <c r="O452" s="13">
        <v>152</v>
      </c>
    </row>
    <row r="453" spans="1:15" x14ac:dyDescent="0.35">
      <c r="A453" s="10">
        <v>452</v>
      </c>
      <c r="B453" s="11">
        <v>40563</v>
      </c>
      <c r="C453" s="12" t="s">
        <v>4</v>
      </c>
      <c r="D453" s="12" t="str">
        <f t="shared" si="14"/>
        <v>January</v>
      </c>
      <c r="E453" s="12">
        <v>20</v>
      </c>
      <c r="F453" s="12" t="b">
        <v>0</v>
      </c>
      <c r="G453" s="12" t="str">
        <f t="shared" si="15"/>
        <v>Thursday</v>
      </c>
      <c r="H453" s="12" t="s">
        <v>1</v>
      </c>
      <c r="I453" s="18">
        <v>0.26</v>
      </c>
      <c r="J453" s="19">
        <v>0.2424</v>
      </c>
      <c r="K453" s="18">
        <v>0.6</v>
      </c>
      <c r="L453" s="12">
        <v>0.28360000000000002</v>
      </c>
      <c r="M453" s="12">
        <v>2</v>
      </c>
      <c r="N453" s="12">
        <v>124</v>
      </c>
      <c r="O453" s="13">
        <v>126</v>
      </c>
    </row>
    <row r="454" spans="1:15" x14ac:dyDescent="0.35">
      <c r="A454" s="10">
        <v>453</v>
      </c>
      <c r="B454" s="11">
        <v>40563</v>
      </c>
      <c r="C454" s="12" t="s">
        <v>4</v>
      </c>
      <c r="D454" s="12" t="str">
        <f t="shared" si="14"/>
        <v>January</v>
      </c>
      <c r="E454" s="12">
        <v>21</v>
      </c>
      <c r="F454" s="12" t="b">
        <v>0</v>
      </c>
      <c r="G454" s="12" t="str">
        <f t="shared" si="15"/>
        <v>Thursday</v>
      </c>
      <c r="H454" s="12" t="s">
        <v>1</v>
      </c>
      <c r="I454" s="18">
        <v>0.24</v>
      </c>
      <c r="J454" s="19">
        <v>0.2273</v>
      </c>
      <c r="K454" s="18">
        <v>0.6</v>
      </c>
      <c r="L454" s="12">
        <v>0.25369999999999998</v>
      </c>
      <c r="M454" s="12">
        <v>3</v>
      </c>
      <c r="N454" s="12">
        <v>54</v>
      </c>
      <c r="O454" s="13">
        <v>57</v>
      </c>
    </row>
    <row r="455" spans="1:15" x14ac:dyDescent="0.35">
      <c r="A455" s="10">
        <v>454</v>
      </c>
      <c r="B455" s="11">
        <v>40563</v>
      </c>
      <c r="C455" s="12" t="s">
        <v>4</v>
      </c>
      <c r="D455" s="12" t="str">
        <f t="shared" si="14"/>
        <v>January</v>
      </c>
      <c r="E455" s="12">
        <v>22</v>
      </c>
      <c r="F455" s="12" t="b">
        <v>0</v>
      </c>
      <c r="G455" s="12" t="str">
        <f t="shared" si="15"/>
        <v>Thursday</v>
      </c>
      <c r="H455" s="12" t="s">
        <v>1</v>
      </c>
      <c r="I455" s="18">
        <v>0.24</v>
      </c>
      <c r="J455" s="19">
        <v>0.21210000000000001</v>
      </c>
      <c r="K455" s="18">
        <v>0.65</v>
      </c>
      <c r="L455" s="12">
        <v>0.28360000000000002</v>
      </c>
      <c r="M455" s="12">
        <v>0</v>
      </c>
      <c r="N455" s="12">
        <v>56</v>
      </c>
      <c r="O455" s="13">
        <v>56</v>
      </c>
    </row>
    <row r="456" spans="1:15" x14ac:dyDescent="0.35">
      <c r="A456" s="10">
        <v>455</v>
      </c>
      <c r="B456" s="11">
        <v>40563</v>
      </c>
      <c r="C456" s="12" t="s">
        <v>4</v>
      </c>
      <c r="D456" s="12" t="str">
        <f t="shared" si="14"/>
        <v>January</v>
      </c>
      <c r="E456" s="12">
        <v>23</v>
      </c>
      <c r="F456" s="12" t="b">
        <v>0</v>
      </c>
      <c r="G456" s="12" t="str">
        <f t="shared" si="15"/>
        <v>Thursday</v>
      </c>
      <c r="H456" s="12" t="s">
        <v>1</v>
      </c>
      <c r="I456" s="18">
        <v>0.24</v>
      </c>
      <c r="J456" s="19">
        <v>0.21210000000000001</v>
      </c>
      <c r="K456" s="18">
        <v>0.65</v>
      </c>
      <c r="L456" s="12">
        <v>0.32840000000000003</v>
      </c>
      <c r="M456" s="12">
        <v>3</v>
      </c>
      <c r="N456" s="12">
        <v>28</v>
      </c>
      <c r="O456" s="13">
        <v>31</v>
      </c>
    </row>
    <row r="457" spans="1:15" x14ac:dyDescent="0.35">
      <c r="A457" s="10">
        <v>456</v>
      </c>
      <c r="B457" s="11">
        <v>40564</v>
      </c>
      <c r="C457" s="12" t="s">
        <v>4</v>
      </c>
      <c r="D457" s="12" t="str">
        <f t="shared" si="14"/>
        <v>January</v>
      </c>
      <c r="E457" s="12">
        <v>0</v>
      </c>
      <c r="F457" s="12" t="b">
        <v>0</v>
      </c>
      <c r="G457" s="12" t="str">
        <f t="shared" si="15"/>
        <v>Friday</v>
      </c>
      <c r="H457" s="12" t="s">
        <v>1</v>
      </c>
      <c r="I457" s="18">
        <v>0.24</v>
      </c>
      <c r="J457" s="19">
        <v>0.2273</v>
      </c>
      <c r="K457" s="18">
        <v>0.7</v>
      </c>
      <c r="L457" s="12">
        <v>0.25369999999999998</v>
      </c>
      <c r="M457" s="12">
        <v>1</v>
      </c>
      <c r="N457" s="12">
        <v>20</v>
      </c>
      <c r="O457" s="13">
        <v>21</v>
      </c>
    </row>
    <row r="458" spans="1:15" x14ac:dyDescent="0.35">
      <c r="A458" s="10">
        <v>457</v>
      </c>
      <c r="B458" s="11">
        <v>40564</v>
      </c>
      <c r="C458" s="12" t="s">
        <v>4</v>
      </c>
      <c r="D458" s="12" t="str">
        <f t="shared" si="14"/>
        <v>January</v>
      </c>
      <c r="E458" s="12">
        <v>1</v>
      </c>
      <c r="F458" s="12" t="b">
        <v>0</v>
      </c>
      <c r="G458" s="12" t="str">
        <f t="shared" si="15"/>
        <v>Friday</v>
      </c>
      <c r="H458" s="12" t="s">
        <v>1</v>
      </c>
      <c r="I458" s="18">
        <v>0.24</v>
      </c>
      <c r="J458" s="19">
        <v>0.2273</v>
      </c>
      <c r="K458" s="18">
        <v>0.7</v>
      </c>
      <c r="L458" s="12">
        <v>0.25369999999999998</v>
      </c>
      <c r="M458" s="12">
        <v>0</v>
      </c>
      <c r="N458" s="12">
        <v>6</v>
      </c>
      <c r="O458" s="13">
        <v>6</v>
      </c>
    </row>
    <row r="459" spans="1:15" x14ac:dyDescent="0.35">
      <c r="A459" s="10">
        <v>458</v>
      </c>
      <c r="B459" s="11">
        <v>40564</v>
      </c>
      <c r="C459" s="12" t="s">
        <v>4</v>
      </c>
      <c r="D459" s="12" t="str">
        <f t="shared" si="14"/>
        <v>January</v>
      </c>
      <c r="E459" s="12">
        <v>2</v>
      </c>
      <c r="F459" s="12" t="b">
        <v>0</v>
      </c>
      <c r="G459" s="12" t="str">
        <f t="shared" si="15"/>
        <v>Friday</v>
      </c>
      <c r="H459" s="12" t="s">
        <v>2</v>
      </c>
      <c r="I459" s="18">
        <v>0.24</v>
      </c>
      <c r="J459" s="19">
        <v>0.2424</v>
      </c>
      <c r="K459" s="18">
        <v>0.75</v>
      </c>
      <c r="L459" s="12">
        <v>0.16420000000000001</v>
      </c>
      <c r="M459" s="12">
        <v>0</v>
      </c>
      <c r="N459" s="12">
        <v>2</v>
      </c>
      <c r="O459" s="13">
        <v>2</v>
      </c>
    </row>
    <row r="460" spans="1:15" x14ac:dyDescent="0.35">
      <c r="A460" s="10">
        <v>459</v>
      </c>
      <c r="B460" s="11">
        <v>40564</v>
      </c>
      <c r="C460" s="12" t="s">
        <v>4</v>
      </c>
      <c r="D460" s="12" t="str">
        <f t="shared" si="14"/>
        <v>January</v>
      </c>
      <c r="E460" s="12">
        <v>3</v>
      </c>
      <c r="F460" s="12" t="b">
        <v>0</v>
      </c>
      <c r="G460" s="12" t="str">
        <f t="shared" si="15"/>
        <v>Friday</v>
      </c>
      <c r="H460" s="12" t="s">
        <v>2</v>
      </c>
      <c r="I460" s="18">
        <v>0.22</v>
      </c>
      <c r="J460" s="19">
        <v>0.21210000000000001</v>
      </c>
      <c r="K460" s="18">
        <v>0.8</v>
      </c>
      <c r="L460" s="12">
        <v>0.29849999999999999</v>
      </c>
      <c r="M460" s="12">
        <v>0</v>
      </c>
      <c r="N460" s="12">
        <v>1</v>
      </c>
      <c r="O460" s="13">
        <v>1</v>
      </c>
    </row>
    <row r="461" spans="1:15" x14ac:dyDescent="0.35">
      <c r="A461" s="10">
        <v>460</v>
      </c>
      <c r="B461" s="11">
        <v>40564</v>
      </c>
      <c r="C461" s="12" t="s">
        <v>4</v>
      </c>
      <c r="D461" s="12" t="str">
        <f t="shared" si="14"/>
        <v>January</v>
      </c>
      <c r="E461" s="12">
        <v>4</v>
      </c>
      <c r="F461" s="12" t="b">
        <v>0</v>
      </c>
      <c r="G461" s="12" t="str">
        <f t="shared" si="15"/>
        <v>Friday</v>
      </c>
      <c r="H461" s="12" t="s">
        <v>1</v>
      </c>
      <c r="I461" s="18">
        <v>0.22</v>
      </c>
      <c r="J461" s="19">
        <v>0.2576</v>
      </c>
      <c r="K461" s="18">
        <v>0.87</v>
      </c>
      <c r="L461" s="12">
        <v>8.9599999999999999E-2</v>
      </c>
      <c r="M461" s="12">
        <v>0</v>
      </c>
      <c r="N461" s="12">
        <v>1</v>
      </c>
      <c r="O461" s="13">
        <v>1</v>
      </c>
    </row>
    <row r="462" spans="1:15" x14ac:dyDescent="0.35">
      <c r="A462" s="10">
        <v>461</v>
      </c>
      <c r="B462" s="11">
        <v>40564</v>
      </c>
      <c r="C462" s="12" t="s">
        <v>4</v>
      </c>
      <c r="D462" s="12" t="str">
        <f t="shared" si="14"/>
        <v>January</v>
      </c>
      <c r="E462" s="12">
        <v>5</v>
      </c>
      <c r="F462" s="12" t="b">
        <v>0</v>
      </c>
      <c r="G462" s="12" t="str">
        <f t="shared" si="15"/>
        <v>Friday</v>
      </c>
      <c r="H462" s="12" t="s">
        <v>0</v>
      </c>
      <c r="I462" s="18">
        <v>0.24</v>
      </c>
      <c r="J462" s="19">
        <v>0.19700000000000001</v>
      </c>
      <c r="K462" s="18">
        <v>0.6</v>
      </c>
      <c r="L462" s="12">
        <v>0.41789999999999999</v>
      </c>
      <c r="M462" s="12">
        <v>1</v>
      </c>
      <c r="N462" s="12">
        <v>4</v>
      </c>
      <c r="O462" s="13">
        <v>5</v>
      </c>
    </row>
    <row r="463" spans="1:15" x14ac:dyDescent="0.35">
      <c r="A463" s="10">
        <v>462</v>
      </c>
      <c r="B463" s="11">
        <v>40564</v>
      </c>
      <c r="C463" s="12" t="s">
        <v>4</v>
      </c>
      <c r="D463" s="12" t="str">
        <f t="shared" si="14"/>
        <v>January</v>
      </c>
      <c r="E463" s="12">
        <v>6</v>
      </c>
      <c r="F463" s="12" t="b">
        <v>0</v>
      </c>
      <c r="G463" s="12" t="str">
        <f t="shared" si="15"/>
        <v>Friday</v>
      </c>
      <c r="H463" s="12" t="s">
        <v>0</v>
      </c>
      <c r="I463" s="18">
        <v>0.22</v>
      </c>
      <c r="J463" s="19">
        <v>0.21210000000000001</v>
      </c>
      <c r="K463" s="18">
        <v>0.55000000000000004</v>
      </c>
      <c r="L463" s="12">
        <v>0.25369999999999998</v>
      </c>
      <c r="M463" s="12">
        <v>0</v>
      </c>
      <c r="N463" s="12">
        <v>27</v>
      </c>
      <c r="O463" s="13">
        <v>27</v>
      </c>
    </row>
    <row r="464" spans="1:15" x14ac:dyDescent="0.35">
      <c r="A464" s="10">
        <v>463</v>
      </c>
      <c r="B464" s="11">
        <v>40564</v>
      </c>
      <c r="C464" s="12" t="s">
        <v>4</v>
      </c>
      <c r="D464" s="12" t="str">
        <f t="shared" si="14"/>
        <v>January</v>
      </c>
      <c r="E464" s="12">
        <v>7</v>
      </c>
      <c r="F464" s="12" t="b">
        <v>0</v>
      </c>
      <c r="G464" s="12" t="str">
        <f t="shared" si="15"/>
        <v>Friday</v>
      </c>
      <c r="H464" s="12" t="s">
        <v>0</v>
      </c>
      <c r="I464" s="18">
        <v>0.2</v>
      </c>
      <c r="J464" s="19">
        <v>0.18179999999999999</v>
      </c>
      <c r="K464" s="18">
        <v>0.51</v>
      </c>
      <c r="L464" s="12">
        <v>0.28360000000000002</v>
      </c>
      <c r="M464" s="12">
        <v>2</v>
      </c>
      <c r="N464" s="12">
        <v>66</v>
      </c>
      <c r="O464" s="13">
        <v>68</v>
      </c>
    </row>
    <row r="465" spans="1:15" x14ac:dyDescent="0.35">
      <c r="A465" s="10">
        <v>464</v>
      </c>
      <c r="B465" s="11">
        <v>40564</v>
      </c>
      <c r="C465" s="12" t="s">
        <v>4</v>
      </c>
      <c r="D465" s="12" t="str">
        <f t="shared" si="14"/>
        <v>January</v>
      </c>
      <c r="E465" s="12">
        <v>8</v>
      </c>
      <c r="F465" s="12" t="b">
        <v>0</v>
      </c>
      <c r="G465" s="12" t="str">
        <f t="shared" si="15"/>
        <v>Friday</v>
      </c>
      <c r="H465" s="12" t="s">
        <v>0</v>
      </c>
      <c r="I465" s="18">
        <v>0.2</v>
      </c>
      <c r="J465" s="19">
        <v>0.18179999999999999</v>
      </c>
      <c r="K465" s="18">
        <v>0.47</v>
      </c>
      <c r="L465" s="12">
        <v>0.32840000000000003</v>
      </c>
      <c r="M465" s="12">
        <v>7</v>
      </c>
      <c r="N465" s="12">
        <v>210</v>
      </c>
      <c r="O465" s="13">
        <v>217</v>
      </c>
    </row>
    <row r="466" spans="1:15" x14ac:dyDescent="0.35">
      <c r="A466" s="10">
        <v>465</v>
      </c>
      <c r="B466" s="11">
        <v>40564</v>
      </c>
      <c r="C466" s="12" t="s">
        <v>4</v>
      </c>
      <c r="D466" s="12" t="str">
        <f t="shared" si="14"/>
        <v>January</v>
      </c>
      <c r="E466" s="12">
        <v>9</v>
      </c>
      <c r="F466" s="12" t="b">
        <v>0</v>
      </c>
      <c r="G466" s="12" t="str">
        <f t="shared" si="15"/>
        <v>Friday</v>
      </c>
      <c r="H466" s="12" t="s">
        <v>0</v>
      </c>
      <c r="I466" s="18">
        <v>0.2</v>
      </c>
      <c r="J466" s="19">
        <v>0.18179999999999999</v>
      </c>
      <c r="K466" s="18">
        <v>0.51</v>
      </c>
      <c r="L466" s="12">
        <v>0.35820000000000002</v>
      </c>
      <c r="M466" s="12">
        <v>7</v>
      </c>
      <c r="N466" s="12">
        <v>159</v>
      </c>
      <c r="O466" s="13">
        <v>166</v>
      </c>
    </row>
    <row r="467" spans="1:15" x14ac:dyDescent="0.35">
      <c r="A467" s="10">
        <v>466</v>
      </c>
      <c r="B467" s="11">
        <v>40564</v>
      </c>
      <c r="C467" s="12" t="s">
        <v>4</v>
      </c>
      <c r="D467" s="12" t="str">
        <f t="shared" si="14"/>
        <v>January</v>
      </c>
      <c r="E467" s="12">
        <v>10</v>
      </c>
      <c r="F467" s="12" t="b">
        <v>0</v>
      </c>
      <c r="G467" s="12" t="str">
        <f t="shared" si="15"/>
        <v>Friday</v>
      </c>
      <c r="H467" s="12" t="s">
        <v>0</v>
      </c>
      <c r="I467" s="18">
        <v>0.2</v>
      </c>
      <c r="J467" s="19">
        <v>0.16669999999999999</v>
      </c>
      <c r="K467" s="18">
        <v>0.47</v>
      </c>
      <c r="L467" s="12">
        <v>0.4627</v>
      </c>
      <c r="M467" s="12">
        <v>6</v>
      </c>
      <c r="N467" s="12">
        <v>57</v>
      </c>
      <c r="O467" s="13">
        <v>63</v>
      </c>
    </row>
    <row r="468" spans="1:15" x14ac:dyDescent="0.35">
      <c r="A468" s="10">
        <v>467</v>
      </c>
      <c r="B468" s="11">
        <v>40564</v>
      </c>
      <c r="C468" s="12" t="s">
        <v>4</v>
      </c>
      <c r="D468" s="12" t="str">
        <f t="shared" si="14"/>
        <v>January</v>
      </c>
      <c r="E468" s="12">
        <v>11</v>
      </c>
      <c r="F468" s="12" t="b">
        <v>0</v>
      </c>
      <c r="G468" s="12" t="str">
        <f t="shared" si="15"/>
        <v>Friday</v>
      </c>
      <c r="H468" s="12" t="s">
        <v>0</v>
      </c>
      <c r="I468" s="18">
        <v>0.22</v>
      </c>
      <c r="J468" s="19">
        <v>0.18179999999999999</v>
      </c>
      <c r="K468" s="18">
        <v>0.41</v>
      </c>
      <c r="L468" s="12">
        <v>0.4627</v>
      </c>
      <c r="M468" s="12">
        <v>6</v>
      </c>
      <c r="N468" s="12">
        <v>53</v>
      </c>
      <c r="O468" s="13">
        <v>59</v>
      </c>
    </row>
    <row r="469" spans="1:15" x14ac:dyDescent="0.35">
      <c r="A469" s="10">
        <v>468</v>
      </c>
      <c r="B469" s="11">
        <v>40564</v>
      </c>
      <c r="C469" s="12" t="s">
        <v>4</v>
      </c>
      <c r="D469" s="12" t="str">
        <f t="shared" si="14"/>
        <v>January</v>
      </c>
      <c r="E469" s="12">
        <v>12</v>
      </c>
      <c r="F469" s="12" t="b">
        <v>0</v>
      </c>
      <c r="G469" s="12" t="str">
        <f t="shared" si="15"/>
        <v>Friday</v>
      </c>
      <c r="H469" s="12" t="s">
        <v>0</v>
      </c>
      <c r="I469" s="18">
        <v>0.22</v>
      </c>
      <c r="J469" s="19">
        <v>0.18179999999999999</v>
      </c>
      <c r="K469" s="18">
        <v>0.27</v>
      </c>
      <c r="L469" s="12">
        <v>0.58209999999999995</v>
      </c>
      <c r="M469" s="12">
        <v>11</v>
      </c>
      <c r="N469" s="12">
        <v>67</v>
      </c>
      <c r="O469" s="13">
        <v>78</v>
      </c>
    </row>
    <row r="470" spans="1:15" x14ac:dyDescent="0.35">
      <c r="A470" s="10">
        <v>469</v>
      </c>
      <c r="B470" s="11">
        <v>40564</v>
      </c>
      <c r="C470" s="12" t="s">
        <v>4</v>
      </c>
      <c r="D470" s="12" t="str">
        <f t="shared" si="14"/>
        <v>January</v>
      </c>
      <c r="E470" s="12">
        <v>13</v>
      </c>
      <c r="F470" s="12" t="b">
        <v>0</v>
      </c>
      <c r="G470" s="12" t="str">
        <f t="shared" si="15"/>
        <v>Friday</v>
      </c>
      <c r="H470" s="12" t="s">
        <v>0</v>
      </c>
      <c r="I470" s="18">
        <v>0.2</v>
      </c>
      <c r="J470" s="19">
        <v>0.1515</v>
      </c>
      <c r="K470" s="18">
        <v>0.21</v>
      </c>
      <c r="L470" s="12">
        <v>0.58209999999999995</v>
      </c>
      <c r="M470" s="12">
        <v>8</v>
      </c>
      <c r="N470" s="12">
        <v>65</v>
      </c>
      <c r="O470" s="13">
        <v>73</v>
      </c>
    </row>
    <row r="471" spans="1:15" x14ac:dyDescent="0.35">
      <c r="A471" s="10">
        <v>470</v>
      </c>
      <c r="B471" s="11">
        <v>40564</v>
      </c>
      <c r="C471" s="12" t="s">
        <v>4</v>
      </c>
      <c r="D471" s="12" t="str">
        <f t="shared" si="14"/>
        <v>January</v>
      </c>
      <c r="E471" s="12">
        <v>14</v>
      </c>
      <c r="F471" s="12" t="b">
        <v>0</v>
      </c>
      <c r="G471" s="12" t="str">
        <f t="shared" si="15"/>
        <v>Friday</v>
      </c>
      <c r="H471" s="12" t="s">
        <v>0</v>
      </c>
      <c r="I471" s="18">
        <v>0.2</v>
      </c>
      <c r="J471" s="19">
        <v>0.1515</v>
      </c>
      <c r="K471" s="18">
        <v>0.25</v>
      </c>
      <c r="L471" s="12">
        <v>0.52239999999999998</v>
      </c>
      <c r="M471" s="12">
        <v>6</v>
      </c>
      <c r="N471" s="12">
        <v>56</v>
      </c>
      <c r="O471" s="13">
        <v>62</v>
      </c>
    </row>
    <row r="472" spans="1:15" x14ac:dyDescent="0.35">
      <c r="A472" s="10">
        <v>471</v>
      </c>
      <c r="B472" s="11">
        <v>40564</v>
      </c>
      <c r="C472" s="12" t="s">
        <v>4</v>
      </c>
      <c r="D472" s="12" t="str">
        <f t="shared" si="14"/>
        <v>January</v>
      </c>
      <c r="E472" s="12">
        <v>15</v>
      </c>
      <c r="F472" s="12" t="b">
        <v>0</v>
      </c>
      <c r="G472" s="12" t="str">
        <f t="shared" si="15"/>
        <v>Friday</v>
      </c>
      <c r="H472" s="12" t="s">
        <v>0</v>
      </c>
      <c r="I472" s="18">
        <v>0.16</v>
      </c>
      <c r="J472" s="19">
        <v>0.1212</v>
      </c>
      <c r="K472" s="18">
        <v>0.26</v>
      </c>
      <c r="L472" s="12">
        <v>0.44779999999999998</v>
      </c>
      <c r="M472" s="12">
        <v>4</v>
      </c>
      <c r="N472" s="12">
        <v>61</v>
      </c>
      <c r="O472" s="13">
        <v>65</v>
      </c>
    </row>
    <row r="473" spans="1:15" x14ac:dyDescent="0.35">
      <c r="A473" s="10">
        <v>472</v>
      </c>
      <c r="B473" s="11">
        <v>40564</v>
      </c>
      <c r="C473" s="12" t="s">
        <v>4</v>
      </c>
      <c r="D473" s="12" t="str">
        <f t="shared" si="14"/>
        <v>January</v>
      </c>
      <c r="E473" s="12">
        <v>16</v>
      </c>
      <c r="F473" s="12" t="b">
        <v>0</v>
      </c>
      <c r="G473" s="12" t="str">
        <f t="shared" si="15"/>
        <v>Friday</v>
      </c>
      <c r="H473" s="12" t="s">
        <v>0</v>
      </c>
      <c r="I473" s="18">
        <v>0.16</v>
      </c>
      <c r="J473" s="19">
        <v>0.13639999999999999</v>
      </c>
      <c r="K473" s="18">
        <v>0.26</v>
      </c>
      <c r="L473" s="12">
        <v>0.35820000000000002</v>
      </c>
      <c r="M473" s="12">
        <v>0</v>
      </c>
      <c r="N473" s="12">
        <v>97</v>
      </c>
      <c r="O473" s="13">
        <v>97</v>
      </c>
    </row>
    <row r="474" spans="1:15" x14ac:dyDescent="0.35">
      <c r="A474" s="10">
        <v>473</v>
      </c>
      <c r="B474" s="11">
        <v>40564</v>
      </c>
      <c r="C474" s="12" t="s">
        <v>4</v>
      </c>
      <c r="D474" s="12" t="str">
        <f t="shared" si="14"/>
        <v>January</v>
      </c>
      <c r="E474" s="12">
        <v>17</v>
      </c>
      <c r="F474" s="12" t="b">
        <v>0</v>
      </c>
      <c r="G474" s="12" t="str">
        <f t="shared" si="15"/>
        <v>Friday</v>
      </c>
      <c r="H474" s="12" t="s">
        <v>0</v>
      </c>
      <c r="I474" s="18">
        <v>0.14000000000000001</v>
      </c>
      <c r="J474" s="19">
        <v>0.1212</v>
      </c>
      <c r="K474" s="18">
        <v>0.28000000000000003</v>
      </c>
      <c r="L474" s="12">
        <v>0.35820000000000002</v>
      </c>
      <c r="M474" s="12">
        <v>10</v>
      </c>
      <c r="N474" s="12">
        <v>151</v>
      </c>
      <c r="O474" s="13">
        <v>161</v>
      </c>
    </row>
    <row r="475" spans="1:15" x14ac:dyDescent="0.35">
      <c r="A475" s="10">
        <v>474</v>
      </c>
      <c r="B475" s="11">
        <v>40564</v>
      </c>
      <c r="C475" s="12" t="s">
        <v>4</v>
      </c>
      <c r="D475" s="12" t="str">
        <f t="shared" si="14"/>
        <v>January</v>
      </c>
      <c r="E475" s="12">
        <v>18</v>
      </c>
      <c r="F475" s="12" t="b">
        <v>0</v>
      </c>
      <c r="G475" s="12" t="str">
        <f t="shared" si="15"/>
        <v>Friday</v>
      </c>
      <c r="H475" s="12" t="s">
        <v>0</v>
      </c>
      <c r="I475" s="18">
        <v>0.12</v>
      </c>
      <c r="J475" s="19">
        <v>0.1212</v>
      </c>
      <c r="K475" s="18">
        <v>0.3</v>
      </c>
      <c r="L475" s="12">
        <v>0.25369999999999998</v>
      </c>
      <c r="M475" s="12">
        <v>1</v>
      </c>
      <c r="N475" s="12">
        <v>119</v>
      </c>
      <c r="O475" s="13">
        <v>120</v>
      </c>
    </row>
    <row r="476" spans="1:15" x14ac:dyDescent="0.35">
      <c r="A476" s="10">
        <v>475</v>
      </c>
      <c r="B476" s="11">
        <v>40564</v>
      </c>
      <c r="C476" s="12" t="s">
        <v>4</v>
      </c>
      <c r="D476" s="12" t="str">
        <f t="shared" si="14"/>
        <v>January</v>
      </c>
      <c r="E476" s="12">
        <v>19</v>
      </c>
      <c r="F476" s="12" t="b">
        <v>0</v>
      </c>
      <c r="G476" s="12" t="str">
        <f t="shared" si="15"/>
        <v>Friday</v>
      </c>
      <c r="H476" s="12" t="s">
        <v>0</v>
      </c>
      <c r="I476" s="18">
        <v>0.12</v>
      </c>
      <c r="J476" s="19">
        <v>0.1061</v>
      </c>
      <c r="K476" s="18">
        <v>0.3</v>
      </c>
      <c r="L476" s="12">
        <v>0.32840000000000003</v>
      </c>
      <c r="M476" s="12">
        <v>3</v>
      </c>
      <c r="N476" s="12">
        <v>93</v>
      </c>
      <c r="O476" s="13">
        <v>96</v>
      </c>
    </row>
    <row r="477" spans="1:15" x14ac:dyDescent="0.35">
      <c r="A477" s="10">
        <v>476</v>
      </c>
      <c r="B477" s="11">
        <v>40564</v>
      </c>
      <c r="C477" s="12" t="s">
        <v>4</v>
      </c>
      <c r="D477" s="12" t="str">
        <f t="shared" si="14"/>
        <v>January</v>
      </c>
      <c r="E477" s="12">
        <v>20</v>
      </c>
      <c r="F477" s="12" t="b">
        <v>0</v>
      </c>
      <c r="G477" s="12" t="str">
        <f t="shared" si="15"/>
        <v>Friday</v>
      </c>
      <c r="H477" s="12" t="s">
        <v>0</v>
      </c>
      <c r="I477" s="18">
        <v>0.1</v>
      </c>
      <c r="J477" s="19">
        <v>7.5800000000000006E-2</v>
      </c>
      <c r="K477" s="18">
        <v>0.33</v>
      </c>
      <c r="L477" s="12">
        <v>0.41789999999999999</v>
      </c>
      <c r="M477" s="12">
        <v>1</v>
      </c>
      <c r="N477" s="12">
        <v>52</v>
      </c>
      <c r="O477" s="13">
        <v>53</v>
      </c>
    </row>
    <row r="478" spans="1:15" x14ac:dyDescent="0.35">
      <c r="A478" s="10">
        <v>477</v>
      </c>
      <c r="B478" s="11">
        <v>40564</v>
      </c>
      <c r="C478" s="12" t="s">
        <v>4</v>
      </c>
      <c r="D478" s="12" t="str">
        <f t="shared" si="14"/>
        <v>January</v>
      </c>
      <c r="E478" s="12">
        <v>21</v>
      </c>
      <c r="F478" s="12" t="b">
        <v>0</v>
      </c>
      <c r="G478" s="12" t="str">
        <f t="shared" si="15"/>
        <v>Friday</v>
      </c>
      <c r="H478" s="12" t="s">
        <v>0</v>
      </c>
      <c r="I478" s="18">
        <v>0.08</v>
      </c>
      <c r="J478" s="19">
        <v>7.5800000000000006E-2</v>
      </c>
      <c r="K478" s="18">
        <v>0.38</v>
      </c>
      <c r="L478" s="12">
        <v>0.28360000000000002</v>
      </c>
      <c r="M478" s="12">
        <v>0</v>
      </c>
      <c r="N478" s="12">
        <v>41</v>
      </c>
      <c r="O478" s="13">
        <v>41</v>
      </c>
    </row>
    <row r="479" spans="1:15" x14ac:dyDescent="0.35">
      <c r="A479" s="10">
        <v>478</v>
      </c>
      <c r="B479" s="11">
        <v>40564</v>
      </c>
      <c r="C479" s="12" t="s">
        <v>4</v>
      </c>
      <c r="D479" s="12" t="str">
        <f t="shared" si="14"/>
        <v>January</v>
      </c>
      <c r="E479" s="12">
        <v>22</v>
      </c>
      <c r="F479" s="12" t="b">
        <v>0</v>
      </c>
      <c r="G479" s="12" t="str">
        <f t="shared" si="15"/>
        <v>Friday</v>
      </c>
      <c r="H479" s="12" t="s">
        <v>0</v>
      </c>
      <c r="I479" s="18">
        <v>0.06</v>
      </c>
      <c r="J479" s="19">
        <v>3.0300000000000001E-2</v>
      </c>
      <c r="K479" s="18">
        <v>0.41</v>
      </c>
      <c r="L479" s="12">
        <v>0.3881</v>
      </c>
      <c r="M479" s="12">
        <v>1</v>
      </c>
      <c r="N479" s="12">
        <v>33</v>
      </c>
      <c r="O479" s="13">
        <v>34</v>
      </c>
    </row>
    <row r="480" spans="1:15" x14ac:dyDescent="0.35">
      <c r="A480" s="10">
        <v>479</v>
      </c>
      <c r="B480" s="11">
        <v>40564</v>
      </c>
      <c r="C480" s="12" t="s">
        <v>4</v>
      </c>
      <c r="D480" s="12" t="str">
        <f t="shared" si="14"/>
        <v>January</v>
      </c>
      <c r="E480" s="12">
        <v>23</v>
      </c>
      <c r="F480" s="12" t="b">
        <v>0</v>
      </c>
      <c r="G480" s="12" t="str">
        <f t="shared" si="15"/>
        <v>Friday</v>
      </c>
      <c r="H480" s="12" t="s">
        <v>0</v>
      </c>
      <c r="I480" s="18">
        <v>0.06</v>
      </c>
      <c r="J480" s="19">
        <v>4.5499999999999999E-2</v>
      </c>
      <c r="K480" s="18">
        <v>0.38</v>
      </c>
      <c r="L480" s="12">
        <v>0.32840000000000003</v>
      </c>
      <c r="M480" s="12">
        <v>0</v>
      </c>
      <c r="N480" s="12">
        <v>27</v>
      </c>
      <c r="O480" s="13">
        <v>27</v>
      </c>
    </row>
    <row r="481" spans="1:15" x14ac:dyDescent="0.35">
      <c r="A481" s="10">
        <v>480</v>
      </c>
      <c r="B481" s="11">
        <v>40565</v>
      </c>
      <c r="C481" s="12" t="s">
        <v>4</v>
      </c>
      <c r="D481" s="12" t="str">
        <f t="shared" si="14"/>
        <v>January</v>
      </c>
      <c r="E481" s="12">
        <v>0</v>
      </c>
      <c r="F481" s="12" t="b">
        <v>0</v>
      </c>
      <c r="G481" s="12" t="str">
        <f t="shared" si="15"/>
        <v>Saturday</v>
      </c>
      <c r="H481" s="12" t="s">
        <v>0</v>
      </c>
      <c r="I481" s="18">
        <v>0.04</v>
      </c>
      <c r="J481" s="19">
        <v>3.0300000000000001E-2</v>
      </c>
      <c r="K481" s="18">
        <v>0.45</v>
      </c>
      <c r="L481" s="12">
        <v>0.25369999999999998</v>
      </c>
      <c r="M481" s="12">
        <v>0</v>
      </c>
      <c r="N481" s="12">
        <v>13</v>
      </c>
      <c r="O481" s="13">
        <v>13</v>
      </c>
    </row>
    <row r="482" spans="1:15" x14ac:dyDescent="0.35">
      <c r="A482" s="10">
        <v>481</v>
      </c>
      <c r="B482" s="11">
        <v>40565</v>
      </c>
      <c r="C482" s="12" t="s">
        <v>4</v>
      </c>
      <c r="D482" s="12" t="str">
        <f t="shared" si="14"/>
        <v>January</v>
      </c>
      <c r="E482" s="12">
        <v>1</v>
      </c>
      <c r="F482" s="12" t="b">
        <v>0</v>
      </c>
      <c r="G482" s="12" t="str">
        <f t="shared" si="15"/>
        <v>Saturday</v>
      </c>
      <c r="H482" s="12" t="s">
        <v>1</v>
      </c>
      <c r="I482" s="18">
        <v>0.04</v>
      </c>
      <c r="J482" s="19">
        <v>0</v>
      </c>
      <c r="K482" s="18">
        <v>0.41</v>
      </c>
      <c r="L482" s="12">
        <v>0.3881</v>
      </c>
      <c r="M482" s="12">
        <v>3</v>
      </c>
      <c r="N482" s="12">
        <v>9</v>
      </c>
      <c r="O482" s="13">
        <v>12</v>
      </c>
    </row>
    <row r="483" spans="1:15" x14ac:dyDescent="0.35">
      <c r="A483" s="10">
        <v>482</v>
      </c>
      <c r="B483" s="11">
        <v>40565</v>
      </c>
      <c r="C483" s="12" t="s">
        <v>4</v>
      </c>
      <c r="D483" s="12" t="str">
        <f t="shared" si="14"/>
        <v>January</v>
      </c>
      <c r="E483" s="12">
        <v>2</v>
      </c>
      <c r="F483" s="12" t="b">
        <v>0</v>
      </c>
      <c r="G483" s="12" t="str">
        <f t="shared" si="15"/>
        <v>Saturday</v>
      </c>
      <c r="H483" s="12" t="s">
        <v>1</v>
      </c>
      <c r="I483" s="18">
        <v>0.04</v>
      </c>
      <c r="J483" s="19">
        <v>3.0300000000000001E-2</v>
      </c>
      <c r="K483" s="18">
        <v>0.41</v>
      </c>
      <c r="L483" s="12">
        <v>0.25369999999999998</v>
      </c>
      <c r="M483" s="12">
        <v>0</v>
      </c>
      <c r="N483" s="12">
        <v>11</v>
      </c>
      <c r="O483" s="13">
        <v>11</v>
      </c>
    </row>
    <row r="484" spans="1:15" x14ac:dyDescent="0.35">
      <c r="A484" s="10">
        <v>483</v>
      </c>
      <c r="B484" s="11">
        <v>40565</v>
      </c>
      <c r="C484" s="12" t="s">
        <v>4</v>
      </c>
      <c r="D484" s="12" t="str">
        <f t="shared" si="14"/>
        <v>January</v>
      </c>
      <c r="E484" s="12">
        <v>3</v>
      </c>
      <c r="F484" s="12" t="b">
        <v>0</v>
      </c>
      <c r="G484" s="12" t="str">
        <f t="shared" si="15"/>
        <v>Saturday</v>
      </c>
      <c r="H484" s="12" t="s">
        <v>1</v>
      </c>
      <c r="I484" s="18">
        <v>0.04</v>
      </c>
      <c r="J484" s="19">
        <v>3.0300000000000001E-2</v>
      </c>
      <c r="K484" s="18">
        <v>0.41</v>
      </c>
      <c r="L484" s="12">
        <v>0.28360000000000002</v>
      </c>
      <c r="M484" s="12">
        <v>1</v>
      </c>
      <c r="N484" s="12">
        <v>6</v>
      </c>
      <c r="O484" s="13">
        <v>7</v>
      </c>
    </row>
    <row r="485" spans="1:15" x14ac:dyDescent="0.35">
      <c r="A485" s="10">
        <v>484</v>
      </c>
      <c r="B485" s="11">
        <v>40565</v>
      </c>
      <c r="C485" s="12" t="s">
        <v>4</v>
      </c>
      <c r="D485" s="12" t="str">
        <f t="shared" si="14"/>
        <v>January</v>
      </c>
      <c r="E485" s="12">
        <v>4</v>
      </c>
      <c r="F485" s="12" t="b">
        <v>0</v>
      </c>
      <c r="G485" s="12" t="str">
        <f t="shared" si="15"/>
        <v>Saturday</v>
      </c>
      <c r="H485" s="12" t="s">
        <v>1</v>
      </c>
      <c r="I485" s="18">
        <v>0.02</v>
      </c>
      <c r="J485" s="19">
        <v>1.52E-2</v>
      </c>
      <c r="K485" s="18">
        <v>0.48</v>
      </c>
      <c r="L485" s="12">
        <v>0.29849999999999999</v>
      </c>
      <c r="M485" s="12">
        <v>0</v>
      </c>
      <c r="N485" s="12">
        <v>3</v>
      </c>
      <c r="O485" s="13">
        <v>3</v>
      </c>
    </row>
    <row r="486" spans="1:15" x14ac:dyDescent="0.35">
      <c r="A486" s="10">
        <v>485</v>
      </c>
      <c r="B486" s="11">
        <v>40565</v>
      </c>
      <c r="C486" s="12" t="s">
        <v>4</v>
      </c>
      <c r="D486" s="12" t="str">
        <f t="shared" si="14"/>
        <v>January</v>
      </c>
      <c r="E486" s="12">
        <v>6</v>
      </c>
      <c r="F486" s="12" t="b">
        <v>0</v>
      </c>
      <c r="G486" s="12" t="str">
        <f t="shared" si="15"/>
        <v>Saturday</v>
      </c>
      <c r="H486" s="12" t="s">
        <v>1</v>
      </c>
      <c r="I486" s="18">
        <v>0.02</v>
      </c>
      <c r="J486" s="19">
        <v>3.0300000000000001E-2</v>
      </c>
      <c r="K486" s="18">
        <v>0.44</v>
      </c>
      <c r="L486" s="12">
        <v>0.22389999999999999</v>
      </c>
      <c r="M486" s="12">
        <v>0</v>
      </c>
      <c r="N486" s="12">
        <v>2</v>
      </c>
      <c r="O486" s="13">
        <v>2</v>
      </c>
    </row>
    <row r="487" spans="1:15" x14ac:dyDescent="0.35">
      <c r="A487" s="10">
        <v>486</v>
      </c>
      <c r="B487" s="11">
        <v>40565</v>
      </c>
      <c r="C487" s="12" t="s">
        <v>4</v>
      </c>
      <c r="D487" s="12" t="str">
        <f t="shared" si="14"/>
        <v>January</v>
      </c>
      <c r="E487" s="12">
        <v>7</v>
      </c>
      <c r="F487" s="12" t="b">
        <v>0</v>
      </c>
      <c r="G487" s="12" t="str">
        <f t="shared" si="15"/>
        <v>Saturday</v>
      </c>
      <c r="H487" s="12" t="s">
        <v>0</v>
      </c>
      <c r="I487" s="18">
        <v>0.02</v>
      </c>
      <c r="J487" s="19">
        <v>1.52E-2</v>
      </c>
      <c r="K487" s="18">
        <v>0.44</v>
      </c>
      <c r="L487" s="12">
        <v>0.28360000000000002</v>
      </c>
      <c r="M487" s="12">
        <v>0</v>
      </c>
      <c r="N487" s="12">
        <v>8</v>
      </c>
      <c r="O487" s="13">
        <v>8</v>
      </c>
    </row>
    <row r="488" spans="1:15" x14ac:dyDescent="0.35">
      <c r="A488" s="10">
        <v>487</v>
      </c>
      <c r="B488" s="11">
        <v>40565</v>
      </c>
      <c r="C488" s="12" t="s">
        <v>4</v>
      </c>
      <c r="D488" s="12" t="str">
        <f t="shared" si="14"/>
        <v>January</v>
      </c>
      <c r="E488" s="12">
        <v>8</v>
      </c>
      <c r="F488" s="12" t="b">
        <v>0</v>
      </c>
      <c r="G488" s="12" t="str">
        <f t="shared" si="15"/>
        <v>Saturday</v>
      </c>
      <c r="H488" s="12" t="s">
        <v>0</v>
      </c>
      <c r="I488" s="18">
        <v>0.02</v>
      </c>
      <c r="J488" s="19">
        <v>0</v>
      </c>
      <c r="K488" s="18">
        <v>0.44</v>
      </c>
      <c r="L488" s="12">
        <v>0.32840000000000003</v>
      </c>
      <c r="M488" s="12">
        <v>1</v>
      </c>
      <c r="N488" s="12">
        <v>26</v>
      </c>
      <c r="O488" s="13">
        <v>27</v>
      </c>
    </row>
    <row r="489" spans="1:15" x14ac:dyDescent="0.35">
      <c r="A489" s="10">
        <v>488</v>
      </c>
      <c r="B489" s="11">
        <v>40565</v>
      </c>
      <c r="C489" s="12" t="s">
        <v>4</v>
      </c>
      <c r="D489" s="12" t="str">
        <f t="shared" si="14"/>
        <v>January</v>
      </c>
      <c r="E489" s="12">
        <v>9</v>
      </c>
      <c r="F489" s="12" t="b">
        <v>0</v>
      </c>
      <c r="G489" s="12" t="str">
        <f t="shared" si="15"/>
        <v>Saturday</v>
      </c>
      <c r="H489" s="12" t="s">
        <v>0</v>
      </c>
      <c r="I489" s="18">
        <v>0.04</v>
      </c>
      <c r="J489" s="19">
        <v>3.0300000000000001E-2</v>
      </c>
      <c r="K489" s="18">
        <v>0.41</v>
      </c>
      <c r="L489" s="12">
        <v>0.25369999999999998</v>
      </c>
      <c r="M489" s="12">
        <v>3</v>
      </c>
      <c r="N489" s="12">
        <v>37</v>
      </c>
      <c r="O489" s="13">
        <v>40</v>
      </c>
    </row>
    <row r="490" spans="1:15" x14ac:dyDescent="0.35">
      <c r="A490" s="10">
        <v>489</v>
      </c>
      <c r="B490" s="11">
        <v>40565</v>
      </c>
      <c r="C490" s="12" t="s">
        <v>4</v>
      </c>
      <c r="D490" s="12" t="str">
        <f t="shared" si="14"/>
        <v>January</v>
      </c>
      <c r="E490" s="12">
        <v>10</v>
      </c>
      <c r="F490" s="12" t="b">
        <v>0</v>
      </c>
      <c r="G490" s="12" t="str">
        <f t="shared" si="15"/>
        <v>Saturday</v>
      </c>
      <c r="H490" s="12" t="s">
        <v>1</v>
      </c>
      <c r="I490" s="18">
        <v>0.04</v>
      </c>
      <c r="J490" s="19">
        <v>6.0600000000000001E-2</v>
      </c>
      <c r="K490" s="18">
        <v>0.41</v>
      </c>
      <c r="L490" s="12">
        <v>0.16420000000000001</v>
      </c>
      <c r="M490" s="12">
        <v>3</v>
      </c>
      <c r="N490" s="12">
        <v>50</v>
      </c>
      <c r="O490" s="13">
        <v>53</v>
      </c>
    </row>
    <row r="491" spans="1:15" x14ac:dyDescent="0.35">
      <c r="A491" s="10">
        <v>490</v>
      </c>
      <c r="B491" s="11">
        <v>40565</v>
      </c>
      <c r="C491" s="12" t="s">
        <v>4</v>
      </c>
      <c r="D491" s="12" t="str">
        <f t="shared" si="14"/>
        <v>January</v>
      </c>
      <c r="E491" s="12">
        <v>11</v>
      </c>
      <c r="F491" s="12" t="b">
        <v>0</v>
      </c>
      <c r="G491" s="12" t="str">
        <f t="shared" si="15"/>
        <v>Saturday</v>
      </c>
      <c r="H491" s="12" t="s">
        <v>1</v>
      </c>
      <c r="I491" s="18">
        <v>0.06</v>
      </c>
      <c r="J491" s="19">
        <v>7.5800000000000006E-2</v>
      </c>
      <c r="K491" s="18">
        <v>0.38</v>
      </c>
      <c r="L491" s="12">
        <v>0.1343</v>
      </c>
      <c r="M491" s="12">
        <v>4</v>
      </c>
      <c r="N491" s="12">
        <v>59</v>
      </c>
      <c r="O491" s="13">
        <v>63</v>
      </c>
    </row>
    <row r="492" spans="1:15" x14ac:dyDescent="0.35">
      <c r="A492" s="10">
        <v>491</v>
      </c>
      <c r="B492" s="11">
        <v>40565</v>
      </c>
      <c r="C492" s="12" t="s">
        <v>4</v>
      </c>
      <c r="D492" s="12" t="str">
        <f t="shared" si="14"/>
        <v>January</v>
      </c>
      <c r="E492" s="12">
        <v>12</v>
      </c>
      <c r="F492" s="12" t="b">
        <v>0</v>
      </c>
      <c r="G492" s="12" t="str">
        <f t="shared" si="15"/>
        <v>Saturday</v>
      </c>
      <c r="H492" s="12" t="s">
        <v>1</v>
      </c>
      <c r="I492" s="18">
        <v>0.06</v>
      </c>
      <c r="J492" s="19">
        <v>0.1061</v>
      </c>
      <c r="K492" s="18">
        <v>0.38</v>
      </c>
      <c r="L492" s="12">
        <v>0.1045</v>
      </c>
      <c r="M492" s="12">
        <v>10</v>
      </c>
      <c r="N492" s="12">
        <v>60</v>
      </c>
      <c r="O492" s="13">
        <v>70</v>
      </c>
    </row>
    <row r="493" spans="1:15" x14ac:dyDescent="0.35">
      <c r="A493" s="10">
        <v>492</v>
      </c>
      <c r="B493" s="11">
        <v>40565</v>
      </c>
      <c r="C493" s="12" t="s">
        <v>4</v>
      </c>
      <c r="D493" s="12" t="str">
        <f t="shared" si="14"/>
        <v>January</v>
      </c>
      <c r="E493" s="12">
        <v>13</v>
      </c>
      <c r="F493" s="12" t="b">
        <v>0</v>
      </c>
      <c r="G493" s="12" t="str">
        <f t="shared" si="15"/>
        <v>Saturday</v>
      </c>
      <c r="H493" s="12" t="s">
        <v>0</v>
      </c>
      <c r="I493" s="18">
        <v>0.08</v>
      </c>
      <c r="J493" s="19">
        <v>0.16669999999999999</v>
      </c>
      <c r="K493" s="18">
        <v>0.35</v>
      </c>
      <c r="L493" s="12">
        <v>0</v>
      </c>
      <c r="M493" s="12">
        <v>12</v>
      </c>
      <c r="N493" s="12">
        <v>72</v>
      </c>
      <c r="O493" s="13">
        <v>84</v>
      </c>
    </row>
    <row r="494" spans="1:15" x14ac:dyDescent="0.35">
      <c r="A494" s="10">
        <v>493</v>
      </c>
      <c r="B494" s="11">
        <v>40565</v>
      </c>
      <c r="C494" s="12" t="s">
        <v>4</v>
      </c>
      <c r="D494" s="12" t="str">
        <f t="shared" si="14"/>
        <v>January</v>
      </c>
      <c r="E494" s="12">
        <v>14</v>
      </c>
      <c r="F494" s="12" t="b">
        <v>0</v>
      </c>
      <c r="G494" s="12" t="str">
        <f t="shared" si="15"/>
        <v>Saturday</v>
      </c>
      <c r="H494" s="12" t="s">
        <v>0</v>
      </c>
      <c r="I494" s="18">
        <v>0.1</v>
      </c>
      <c r="J494" s="19">
        <v>0.13639999999999999</v>
      </c>
      <c r="K494" s="18">
        <v>0.33</v>
      </c>
      <c r="L494" s="12">
        <v>0.1045</v>
      </c>
      <c r="M494" s="12">
        <v>11</v>
      </c>
      <c r="N494" s="12">
        <v>64</v>
      </c>
      <c r="O494" s="13">
        <v>75</v>
      </c>
    </row>
    <row r="495" spans="1:15" x14ac:dyDescent="0.35">
      <c r="A495" s="10">
        <v>494</v>
      </c>
      <c r="B495" s="11">
        <v>40565</v>
      </c>
      <c r="C495" s="12" t="s">
        <v>4</v>
      </c>
      <c r="D495" s="12" t="str">
        <f t="shared" si="14"/>
        <v>January</v>
      </c>
      <c r="E495" s="12">
        <v>15</v>
      </c>
      <c r="F495" s="12" t="b">
        <v>0</v>
      </c>
      <c r="G495" s="12" t="str">
        <f t="shared" si="15"/>
        <v>Saturday</v>
      </c>
      <c r="H495" s="12" t="s">
        <v>0</v>
      </c>
      <c r="I495" s="18">
        <v>0.12</v>
      </c>
      <c r="J495" s="19">
        <v>0.1515</v>
      </c>
      <c r="K495" s="18">
        <v>0.28000000000000003</v>
      </c>
      <c r="L495" s="12">
        <v>0</v>
      </c>
      <c r="M495" s="12">
        <v>10</v>
      </c>
      <c r="N495" s="12">
        <v>93</v>
      </c>
      <c r="O495" s="13">
        <v>103</v>
      </c>
    </row>
    <row r="496" spans="1:15" x14ac:dyDescent="0.35">
      <c r="A496" s="10">
        <v>495</v>
      </c>
      <c r="B496" s="11">
        <v>40565</v>
      </c>
      <c r="C496" s="12" t="s">
        <v>4</v>
      </c>
      <c r="D496" s="12" t="str">
        <f t="shared" si="14"/>
        <v>January</v>
      </c>
      <c r="E496" s="12">
        <v>16</v>
      </c>
      <c r="F496" s="12" t="b">
        <v>0</v>
      </c>
      <c r="G496" s="12" t="str">
        <f t="shared" si="15"/>
        <v>Saturday</v>
      </c>
      <c r="H496" s="12" t="s">
        <v>0</v>
      </c>
      <c r="I496" s="18">
        <v>0.12</v>
      </c>
      <c r="J496" s="19">
        <v>0.13639999999999999</v>
      </c>
      <c r="K496" s="18">
        <v>0.28000000000000003</v>
      </c>
      <c r="L496" s="12">
        <v>0.19400000000000001</v>
      </c>
      <c r="M496" s="12">
        <v>11</v>
      </c>
      <c r="N496" s="12">
        <v>72</v>
      </c>
      <c r="O496" s="13">
        <v>83</v>
      </c>
    </row>
    <row r="497" spans="1:15" x14ac:dyDescent="0.35">
      <c r="A497" s="10">
        <v>496</v>
      </c>
      <c r="B497" s="11">
        <v>40565</v>
      </c>
      <c r="C497" s="12" t="s">
        <v>4</v>
      </c>
      <c r="D497" s="12" t="str">
        <f t="shared" si="14"/>
        <v>January</v>
      </c>
      <c r="E497" s="12">
        <v>17</v>
      </c>
      <c r="F497" s="12" t="b">
        <v>0</v>
      </c>
      <c r="G497" s="12" t="str">
        <f t="shared" si="15"/>
        <v>Saturday</v>
      </c>
      <c r="H497" s="12" t="s">
        <v>0</v>
      </c>
      <c r="I497" s="18">
        <v>0.12</v>
      </c>
      <c r="J497" s="19">
        <v>0.19700000000000001</v>
      </c>
      <c r="K497" s="18">
        <v>0.28000000000000003</v>
      </c>
      <c r="L497" s="12">
        <v>0</v>
      </c>
      <c r="M497" s="12">
        <v>8</v>
      </c>
      <c r="N497" s="12">
        <v>59</v>
      </c>
      <c r="O497" s="13">
        <v>67</v>
      </c>
    </row>
    <row r="498" spans="1:15" x14ac:dyDescent="0.35">
      <c r="A498" s="10">
        <v>497</v>
      </c>
      <c r="B498" s="11">
        <v>40565</v>
      </c>
      <c r="C498" s="12" t="s">
        <v>4</v>
      </c>
      <c r="D498" s="12" t="str">
        <f t="shared" si="14"/>
        <v>January</v>
      </c>
      <c r="E498" s="12">
        <v>18</v>
      </c>
      <c r="F498" s="12" t="b">
        <v>0</v>
      </c>
      <c r="G498" s="12" t="str">
        <f t="shared" si="15"/>
        <v>Saturday</v>
      </c>
      <c r="H498" s="12" t="s">
        <v>0</v>
      </c>
      <c r="I498" s="18">
        <v>0.08</v>
      </c>
      <c r="J498" s="19">
        <v>9.0899999999999995E-2</v>
      </c>
      <c r="K498" s="18">
        <v>0.35</v>
      </c>
      <c r="L498" s="12">
        <v>0.19400000000000001</v>
      </c>
      <c r="M498" s="12">
        <v>0</v>
      </c>
      <c r="N498" s="12">
        <v>54</v>
      </c>
      <c r="O498" s="13">
        <v>54</v>
      </c>
    </row>
    <row r="499" spans="1:15" x14ac:dyDescent="0.35">
      <c r="A499" s="10">
        <v>498</v>
      </c>
      <c r="B499" s="11">
        <v>40565</v>
      </c>
      <c r="C499" s="12" t="s">
        <v>4</v>
      </c>
      <c r="D499" s="12" t="str">
        <f t="shared" si="14"/>
        <v>January</v>
      </c>
      <c r="E499" s="12">
        <v>19</v>
      </c>
      <c r="F499" s="12" t="b">
        <v>0</v>
      </c>
      <c r="G499" s="12" t="str">
        <f t="shared" si="15"/>
        <v>Saturday</v>
      </c>
      <c r="H499" s="12" t="s">
        <v>0</v>
      </c>
      <c r="I499" s="18">
        <v>0.08</v>
      </c>
      <c r="J499" s="19">
        <v>0.1061</v>
      </c>
      <c r="K499" s="18">
        <v>0.35</v>
      </c>
      <c r="L499" s="12">
        <v>0.1343</v>
      </c>
      <c r="M499" s="12">
        <v>6</v>
      </c>
      <c r="N499" s="12">
        <v>53</v>
      </c>
      <c r="O499" s="13">
        <v>59</v>
      </c>
    </row>
    <row r="500" spans="1:15" x14ac:dyDescent="0.35">
      <c r="A500" s="10">
        <v>499</v>
      </c>
      <c r="B500" s="11">
        <v>40565</v>
      </c>
      <c r="C500" s="12" t="s">
        <v>4</v>
      </c>
      <c r="D500" s="12" t="str">
        <f t="shared" si="14"/>
        <v>January</v>
      </c>
      <c r="E500" s="12">
        <v>20</v>
      </c>
      <c r="F500" s="12" t="b">
        <v>0</v>
      </c>
      <c r="G500" s="12" t="str">
        <f t="shared" si="15"/>
        <v>Saturday</v>
      </c>
      <c r="H500" s="12" t="s">
        <v>0</v>
      </c>
      <c r="I500" s="18">
        <v>0.06</v>
      </c>
      <c r="J500" s="19">
        <v>7.5800000000000006E-2</v>
      </c>
      <c r="K500" s="18">
        <v>0.45</v>
      </c>
      <c r="L500" s="12">
        <v>0.16420000000000001</v>
      </c>
      <c r="M500" s="12">
        <v>1</v>
      </c>
      <c r="N500" s="12">
        <v>44</v>
      </c>
      <c r="O500" s="13">
        <v>45</v>
      </c>
    </row>
    <row r="501" spans="1:15" x14ac:dyDescent="0.35">
      <c r="A501" s="10">
        <v>500</v>
      </c>
      <c r="B501" s="11">
        <v>40565</v>
      </c>
      <c r="C501" s="12" t="s">
        <v>4</v>
      </c>
      <c r="D501" s="12" t="str">
        <f t="shared" si="14"/>
        <v>January</v>
      </c>
      <c r="E501" s="12">
        <v>21</v>
      </c>
      <c r="F501" s="12" t="b">
        <v>0</v>
      </c>
      <c r="G501" s="12" t="str">
        <f t="shared" si="15"/>
        <v>Saturday</v>
      </c>
      <c r="H501" s="12" t="s">
        <v>0</v>
      </c>
      <c r="I501" s="18">
        <v>0.06</v>
      </c>
      <c r="J501" s="19">
        <v>0.1061</v>
      </c>
      <c r="K501" s="18">
        <v>0.41</v>
      </c>
      <c r="L501" s="12">
        <v>8.9599999999999999E-2</v>
      </c>
      <c r="M501" s="12">
        <v>0</v>
      </c>
      <c r="N501" s="12">
        <v>39</v>
      </c>
      <c r="O501" s="13">
        <v>39</v>
      </c>
    </row>
    <row r="502" spans="1:15" x14ac:dyDescent="0.35">
      <c r="A502" s="10">
        <v>501</v>
      </c>
      <c r="B502" s="11">
        <v>40565</v>
      </c>
      <c r="C502" s="12" t="s">
        <v>4</v>
      </c>
      <c r="D502" s="12" t="str">
        <f t="shared" si="14"/>
        <v>January</v>
      </c>
      <c r="E502" s="12">
        <v>22</v>
      </c>
      <c r="F502" s="12" t="b">
        <v>0</v>
      </c>
      <c r="G502" s="12" t="str">
        <f t="shared" si="15"/>
        <v>Saturday</v>
      </c>
      <c r="H502" s="12" t="s">
        <v>0</v>
      </c>
      <c r="I502" s="18">
        <v>0.06</v>
      </c>
      <c r="J502" s="19">
        <v>0.1515</v>
      </c>
      <c r="K502" s="18">
        <v>0.49</v>
      </c>
      <c r="L502" s="12">
        <v>0</v>
      </c>
      <c r="M502" s="12">
        <v>7</v>
      </c>
      <c r="N502" s="12">
        <v>23</v>
      </c>
      <c r="O502" s="13">
        <v>30</v>
      </c>
    </row>
    <row r="503" spans="1:15" x14ac:dyDescent="0.35">
      <c r="A503" s="10">
        <v>502</v>
      </c>
      <c r="B503" s="11">
        <v>40565</v>
      </c>
      <c r="C503" s="12" t="s">
        <v>4</v>
      </c>
      <c r="D503" s="12" t="str">
        <f t="shared" si="14"/>
        <v>January</v>
      </c>
      <c r="E503" s="12">
        <v>23</v>
      </c>
      <c r="F503" s="12" t="b">
        <v>0</v>
      </c>
      <c r="G503" s="12" t="str">
        <f t="shared" si="15"/>
        <v>Saturday</v>
      </c>
      <c r="H503" s="12" t="s">
        <v>0</v>
      </c>
      <c r="I503" s="18">
        <v>0.04</v>
      </c>
      <c r="J503" s="19">
        <v>7.5800000000000006E-2</v>
      </c>
      <c r="K503" s="18">
        <v>0.56999999999999995</v>
      </c>
      <c r="L503" s="12">
        <v>0.1045</v>
      </c>
      <c r="M503" s="12">
        <v>2</v>
      </c>
      <c r="N503" s="12">
        <v>31</v>
      </c>
      <c r="O503" s="13">
        <v>33</v>
      </c>
    </row>
    <row r="504" spans="1:15" x14ac:dyDescent="0.35">
      <c r="A504" s="10">
        <v>503</v>
      </c>
      <c r="B504" s="11">
        <v>40566</v>
      </c>
      <c r="C504" s="12" t="s">
        <v>4</v>
      </c>
      <c r="D504" s="12" t="str">
        <f t="shared" si="14"/>
        <v>January</v>
      </c>
      <c r="E504" s="12">
        <v>0</v>
      </c>
      <c r="F504" s="12" t="b">
        <v>0</v>
      </c>
      <c r="G504" s="12" t="str">
        <f t="shared" si="15"/>
        <v>Sunday</v>
      </c>
      <c r="H504" s="12" t="s">
        <v>0</v>
      </c>
      <c r="I504" s="18">
        <v>0.04</v>
      </c>
      <c r="J504" s="19">
        <v>7.5800000000000006E-2</v>
      </c>
      <c r="K504" s="18">
        <v>0.56999999999999995</v>
      </c>
      <c r="L504" s="12">
        <v>0.1045</v>
      </c>
      <c r="M504" s="12">
        <v>2</v>
      </c>
      <c r="N504" s="12">
        <v>20</v>
      </c>
      <c r="O504" s="13">
        <v>22</v>
      </c>
    </row>
    <row r="505" spans="1:15" x14ac:dyDescent="0.35">
      <c r="A505" s="10">
        <v>504</v>
      </c>
      <c r="B505" s="11">
        <v>40566</v>
      </c>
      <c r="C505" s="12" t="s">
        <v>4</v>
      </c>
      <c r="D505" s="12" t="str">
        <f t="shared" si="14"/>
        <v>January</v>
      </c>
      <c r="E505" s="12">
        <v>1</v>
      </c>
      <c r="F505" s="12" t="b">
        <v>0</v>
      </c>
      <c r="G505" s="12" t="str">
        <f t="shared" si="15"/>
        <v>Sunday</v>
      </c>
      <c r="H505" s="12" t="s">
        <v>0</v>
      </c>
      <c r="I505" s="18">
        <v>0.04</v>
      </c>
      <c r="J505" s="19">
        <v>7.5800000000000006E-2</v>
      </c>
      <c r="K505" s="18">
        <v>0.56999999999999995</v>
      </c>
      <c r="L505" s="12">
        <v>0.1045</v>
      </c>
      <c r="M505" s="12">
        <v>1</v>
      </c>
      <c r="N505" s="12">
        <v>12</v>
      </c>
      <c r="O505" s="13">
        <v>13</v>
      </c>
    </row>
    <row r="506" spans="1:15" x14ac:dyDescent="0.35">
      <c r="A506" s="10">
        <v>505</v>
      </c>
      <c r="B506" s="11">
        <v>40566</v>
      </c>
      <c r="C506" s="12" t="s">
        <v>4</v>
      </c>
      <c r="D506" s="12" t="str">
        <f t="shared" si="14"/>
        <v>January</v>
      </c>
      <c r="E506" s="12">
        <v>2</v>
      </c>
      <c r="F506" s="12" t="b">
        <v>0</v>
      </c>
      <c r="G506" s="12" t="str">
        <f t="shared" si="15"/>
        <v>Sunday</v>
      </c>
      <c r="H506" s="12" t="s">
        <v>0</v>
      </c>
      <c r="I506" s="18">
        <v>0.02</v>
      </c>
      <c r="J506" s="19">
        <v>6.0600000000000001E-2</v>
      </c>
      <c r="K506" s="18">
        <v>0.62</v>
      </c>
      <c r="L506" s="12">
        <v>0.1343</v>
      </c>
      <c r="M506" s="12">
        <v>3</v>
      </c>
      <c r="N506" s="12">
        <v>15</v>
      </c>
      <c r="O506" s="13">
        <v>18</v>
      </c>
    </row>
    <row r="507" spans="1:15" x14ac:dyDescent="0.35">
      <c r="A507" s="10">
        <v>506</v>
      </c>
      <c r="B507" s="11">
        <v>40566</v>
      </c>
      <c r="C507" s="12" t="s">
        <v>4</v>
      </c>
      <c r="D507" s="12" t="str">
        <f t="shared" si="14"/>
        <v>January</v>
      </c>
      <c r="E507" s="12">
        <v>3</v>
      </c>
      <c r="F507" s="12" t="b">
        <v>0</v>
      </c>
      <c r="G507" s="12" t="str">
        <f t="shared" si="15"/>
        <v>Sunday</v>
      </c>
      <c r="H507" s="12" t="s">
        <v>0</v>
      </c>
      <c r="I507" s="18">
        <v>0.02</v>
      </c>
      <c r="J507" s="19">
        <v>6.0600000000000001E-2</v>
      </c>
      <c r="K507" s="18">
        <v>0.62</v>
      </c>
      <c r="L507" s="12">
        <v>0.1343</v>
      </c>
      <c r="M507" s="12">
        <v>1</v>
      </c>
      <c r="N507" s="12">
        <v>4</v>
      </c>
      <c r="O507" s="13">
        <v>5</v>
      </c>
    </row>
    <row r="508" spans="1:15" x14ac:dyDescent="0.35">
      <c r="A508" s="10">
        <v>507</v>
      </c>
      <c r="B508" s="11">
        <v>40566</v>
      </c>
      <c r="C508" s="12" t="s">
        <v>4</v>
      </c>
      <c r="D508" s="12" t="str">
        <f t="shared" si="14"/>
        <v>January</v>
      </c>
      <c r="E508" s="12">
        <v>5</v>
      </c>
      <c r="F508" s="12" t="b">
        <v>0</v>
      </c>
      <c r="G508" s="12" t="str">
        <f t="shared" si="15"/>
        <v>Sunday</v>
      </c>
      <c r="H508" s="12" t="s">
        <v>1</v>
      </c>
      <c r="I508" s="18">
        <v>0.04</v>
      </c>
      <c r="J508" s="19">
        <v>7.5800000000000006E-2</v>
      </c>
      <c r="K508" s="18">
        <v>0.56999999999999995</v>
      </c>
      <c r="L508" s="12">
        <v>0.1045</v>
      </c>
      <c r="M508" s="12">
        <v>0</v>
      </c>
      <c r="N508" s="12">
        <v>3</v>
      </c>
      <c r="O508" s="13">
        <v>3</v>
      </c>
    </row>
    <row r="509" spans="1:15" x14ac:dyDescent="0.35">
      <c r="A509" s="10">
        <v>508</v>
      </c>
      <c r="B509" s="11">
        <v>40566</v>
      </c>
      <c r="C509" s="12" t="s">
        <v>4</v>
      </c>
      <c r="D509" s="12" t="str">
        <f t="shared" si="14"/>
        <v>January</v>
      </c>
      <c r="E509" s="12">
        <v>6</v>
      </c>
      <c r="F509" s="12" t="b">
        <v>0</v>
      </c>
      <c r="G509" s="12" t="str">
        <f t="shared" si="15"/>
        <v>Sunday</v>
      </c>
      <c r="H509" s="12" t="s">
        <v>1</v>
      </c>
      <c r="I509" s="18">
        <v>0.04</v>
      </c>
      <c r="J509" s="19">
        <v>7.5800000000000006E-2</v>
      </c>
      <c r="K509" s="18">
        <v>0.56999999999999995</v>
      </c>
      <c r="L509" s="12">
        <v>0.1045</v>
      </c>
      <c r="M509" s="12">
        <v>0</v>
      </c>
      <c r="N509" s="12">
        <v>1</v>
      </c>
      <c r="O509" s="13">
        <v>1</v>
      </c>
    </row>
    <row r="510" spans="1:15" x14ac:dyDescent="0.35">
      <c r="A510" s="10">
        <v>509</v>
      </c>
      <c r="B510" s="11">
        <v>40566</v>
      </c>
      <c r="C510" s="12" t="s">
        <v>4</v>
      </c>
      <c r="D510" s="12" t="str">
        <f t="shared" si="14"/>
        <v>January</v>
      </c>
      <c r="E510" s="12">
        <v>7</v>
      </c>
      <c r="F510" s="12" t="b">
        <v>0</v>
      </c>
      <c r="G510" s="12" t="str">
        <f t="shared" si="15"/>
        <v>Sunday</v>
      </c>
      <c r="H510" s="12" t="s">
        <v>0</v>
      </c>
      <c r="I510" s="18">
        <v>0.08</v>
      </c>
      <c r="J510" s="19">
        <v>0.1061</v>
      </c>
      <c r="K510" s="18">
        <v>0.57999999999999996</v>
      </c>
      <c r="L510" s="12">
        <v>0.16420000000000001</v>
      </c>
      <c r="M510" s="12">
        <v>1</v>
      </c>
      <c r="N510" s="12">
        <v>1</v>
      </c>
      <c r="O510" s="13">
        <v>2</v>
      </c>
    </row>
    <row r="511" spans="1:15" x14ac:dyDescent="0.35">
      <c r="A511" s="10">
        <v>510</v>
      </c>
      <c r="B511" s="11">
        <v>40566</v>
      </c>
      <c r="C511" s="12" t="s">
        <v>4</v>
      </c>
      <c r="D511" s="12" t="str">
        <f t="shared" si="14"/>
        <v>January</v>
      </c>
      <c r="E511" s="12">
        <v>8</v>
      </c>
      <c r="F511" s="12" t="b">
        <v>0</v>
      </c>
      <c r="G511" s="12" t="str">
        <f t="shared" si="15"/>
        <v>Sunday</v>
      </c>
      <c r="H511" s="12" t="s">
        <v>0</v>
      </c>
      <c r="I511" s="18">
        <v>0.06</v>
      </c>
      <c r="J511" s="19">
        <v>7.5800000000000006E-2</v>
      </c>
      <c r="K511" s="18">
        <v>0.62</v>
      </c>
      <c r="L511" s="12">
        <v>0.16420000000000001</v>
      </c>
      <c r="M511" s="12">
        <v>2</v>
      </c>
      <c r="N511" s="12">
        <v>17</v>
      </c>
      <c r="O511" s="13">
        <v>19</v>
      </c>
    </row>
    <row r="512" spans="1:15" x14ac:dyDescent="0.35">
      <c r="A512" s="10">
        <v>511</v>
      </c>
      <c r="B512" s="11">
        <v>40566</v>
      </c>
      <c r="C512" s="12" t="s">
        <v>4</v>
      </c>
      <c r="D512" s="12" t="str">
        <f t="shared" si="14"/>
        <v>January</v>
      </c>
      <c r="E512" s="12">
        <v>9</v>
      </c>
      <c r="F512" s="12" t="b">
        <v>0</v>
      </c>
      <c r="G512" s="12" t="str">
        <f t="shared" si="15"/>
        <v>Sunday</v>
      </c>
      <c r="H512" s="12" t="s">
        <v>0</v>
      </c>
      <c r="I512" s="18">
        <v>0.1</v>
      </c>
      <c r="J512" s="19">
        <v>7.5800000000000006E-2</v>
      </c>
      <c r="K512" s="18">
        <v>0.54</v>
      </c>
      <c r="L512" s="12">
        <v>0.35820000000000002</v>
      </c>
      <c r="M512" s="12">
        <v>3</v>
      </c>
      <c r="N512" s="12">
        <v>25</v>
      </c>
      <c r="O512" s="13">
        <v>28</v>
      </c>
    </row>
    <row r="513" spans="1:15" x14ac:dyDescent="0.35">
      <c r="A513" s="10">
        <v>512</v>
      </c>
      <c r="B513" s="11">
        <v>40566</v>
      </c>
      <c r="C513" s="12" t="s">
        <v>4</v>
      </c>
      <c r="D513" s="12" t="str">
        <f t="shared" si="14"/>
        <v>January</v>
      </c>
      <c r="E513" s="12">
        <v>10</v>
      </c>
      <c r="F513" s="12" t="b">
        <v>0</v>
      </c>
      <c r="G513" s="12" t="str">
        <f t="shared" si="15"/>
        <v>Sunday</v>
      </c>
      <c r="H513" s="12" t="s">
        <v>0</v>
      </c>
      <c r="I513" s="18">
        <v>0.14000000000000001</v>
      </c>
      <c r="J513" s="19">
        <v>0.1061</v>
      </c>
      <c r="K513" s="18">
        <v>0.46</v>
      </c>
      <c r="L513" s="12">
        <v>0.3881</v>
      </c>
      <c r="M513" s="12">
        <v>7</v>
      </c>
      <c r="N513" s="12">
        <v>51</v>
      </c>
      <c r="O513" s="13">
        <v>58</v>
      </c>
    </row>
    <row r="514" spans="1:15" x14ac:dyDescent="0.35">
      <c r="A514" s="10">
        <v>513</v>
      </c>
      <c r="B514" s="11">
        <v>40566</v>
      </c>
      <c r="C514" s="12" t="s">
        <v>4</v>
      </c>
      <c r="D514" s="12" t="str">
        <f t="shared" si="14"/>
        <v>January</v>
      </c>
      <c r="E514" s="12">
        <v>11</v>
      </c>
      <c r="F514" s="12" t="b">
        <v>0</v>
      </c>
      <c r="G514" s="12" t="str">
        <f t="shared" si="15"/>
        <v>Sunday</v>
      </c>
      <c r="H514" s="12" t="s">
        <v>0</v>
      </c>
      <c r="I514" s="18">
        <v>0.14000000000000001</v>
      </c>
      <c r="J514" s="19">
        <v>0.13639999999999999</v>
      </c>
      <c r="K514" s="18">
        <v>0.43</v>
      </c>
      <c r="L514" s="12">
        <v>0.22389999999999999</v>
      </c>
      <c r="M514" s="12">
        <v>22</v>
      </c>
      <c r="N514" s="12">
        <v>77</v>
      </c>
      <c r="O514" s="13">
        <v>99</v>
      </c>
    </row>
    <row r="515" spans="1:15" x14ac:dyDescent="0.35">
      <c r="A515" s="10">
        <v>514</v>
      </c>
      <c r="B515" s="11">
        <v>40566</v>
      </c>
      <c r="C515" s="12" t="s">
        <v>4</v>
      </c>
      <c r="D515" s="12" t="str">
        <f t="shared" ref="D515:D578" si="16">TEXT(B515,"mmmm")</f>
        <v>January</v>
      </c>
      <c r="E515" s="12">
        <v>12</v>
      </c>
      <c r="F515" s="12" t="b">
        <v>0</v>
      </c>
      <c r="G515" s="12" t="str">
        <f t="shared" ref="G515:G578" si="17">TEXT(B515,"dddd")</f>
        <v>Sunday</v>
      </c>
      <c r="H515" s="12" t="s">
        <v>0</v>
      </c>
      <c r="I515" s="18">
        <v>0.16</v>
      </c>
      <c r="J515" s="19">
        <v>0.1212</v>
      </c>
      <c r="K515" s="18">
        <v>0.37</v>
      </c>
      <c r="L515" s="12">
        <v>0.4627</v>
      </c>
      <c r="M515" s="12">
        <v>24</v>
      </c>
      <c r="N515" s="12">
        <v>92</v>
      </c>
      <c r="O515" s="13">
        <v>116</v>
      </c>
    </row>
    <row r="516" spans="1:15" x14ac:dyDescent="0.35">
      <c r="A516" s="10">
        <v>515</v>
      </c>
      <c r="B516" s="11">
        <v>40566</v>
      </c>
      <c r="C516" s="12" t="s">
        <v>4</v>
      </c>
      <c r="D516" s="12" t="str">
        <f t="shared" si="16"/>
        <v>January</v>
      </c>
      <c r="E516" s="12">
        <v>13</v>
      </c>
      <c r="F516" s="12" t="b">
        <v>0</v>
      </c>
      <c r="G516" s="12" t="str">
        <f t="shared" si="17"/>
        <v>Sunday</v>
      </c>
      <c r="H516" s="12" t="s">
        <v>0</v>
      </c>
      <c r="I516" s="18">
        <v>0.14000000000000001</v>
      </c>
      <c r="J516" s="19">
        <v>0.1061</v>
      </c>
      <c r="K516" s="18">
        <v>0.33</v>
      </c>
      <c r="L516" s="12">
        <v>0.3881</v>
      </c>
      <c r="M516" s="12">
        <v>12</v>
      </c>
      <c r="N516" s="12">
        <v>75</v>
      </c>
      <c r="O516" s="13">
        <v>87</v>
      </c>
    </row>
    <row r="517" spans="1:15" x14ac:dyDescent="0.35">
      <c r="A517" s="10">
        <v>516</v>
      </c>
      <c r="B517" s="11">
        <v>40566</v>
      </c>
      <c r="C517" s="12" t="s">
        <v>4</v>
      </c>
      <c r="D517" s="12" t="str">
        <f t="shared" si="16"/>
        <v>January</v>
      </c>
      <c r="E517" s="12">
        <v>14</v>
      </c>
      <c r="F517" s="12" t="b">
        <v>0</v>
      </c>
      <c r="G517" s="12" t="str">
        <f t="shared" si="17"/>
        <v>Sunday</v>
      </c>
      <c r="H517" s="12" t="s">
        <v>0</v>
      </c>
      <c r="I517" s="18">
        <v>0.16</v>
      </c>
      <c r="J517" s="19">
        <v>0.13639999999999999</v>
      </c>
      <c r="K517" s="18">
        <v>0.28000000000000003</v>
      </c>
      <c r="L517" s="12">
        <v>0.35820000000000002</v>
      </c>
      <c r="M517" s="12">
        <v>17</v>
      </c>
      <c r="N517" s="12">
        <v>93</v>
      </c>
      <c r="O517" s="13">
        <v>110</v>
      </c>
    </row>
    <row r="518" spans="1:15" x14ac:dyDescent="0.35">
      <c r="A518" s="10">
        <v>517</v>
      </c>
      <c r="B518" s="11">
        <v>40566</v>
      </c>
      <c r="C518" s="12" t="s">
        <v>4</v>
      </c>
      <c r="D518" s="12" t="str">
        <f t="shared" si="16"/>
        <v>January</v>
      </c>
      <c r="E518" s="12">
        <v>15</v>
      </c>
      <c r="F518" s="12" t="b">
        <v>0</v>
      </c>
      <c r="G518" s="12" t="str">
        <f t="shared" si="17"/>
        <v>Sunday</v>
      </c>
      <c r="H518" s="12" t="s">
        <v>0</v>
      </c>
      <c r="I518" s="18">
        <v>0.16</v>
      </c>
      <c r="J518" s="19">
        <v>0.13639999999999999</v>
      </c>
      <c r="K518" s="18">
        <v>0.28000000000000003</v>
      </c>
      <c r="L518" s="12">
        <v>0.35820000000000002</v>
      </c>
      <c r="M518" s="12">
        <v>13</v>
      </c>
      <c r="N518" s="12">
        <v>64</v>
      </c>
      <c r="O518" s="13">
        <v>77</v>
      </c>
    </row>
    <row r="519" spans="1:15" x14ac:dyDescent="0.35">
      <c r="A519" s="10">
        <v>518</v>
      </c>
      <c r="B519" s="11">
        <v>40566</v>
      </c>
      <c r="C519" s="12" t="s">
        <v>4</v>
      </c>
      <c r="D519" s="12" t="str">
        <f t="shared" si="16"/>
        <v>January</v>
      </c>
      <c r="E519" s="12">
        <v>16</v>
      </c>
      <c r="F519" s="12" t="b">
        <v>0</v>
      </c>
      <c r="G519" s="12" t="str">
        <f t="shared" si="17"/>
        <v>Sunday</v>
      </c>
      <c r="H519" s="12" t="s">
        <v>0</v>
      </c>
      <c r="I519" s="18">
        <v>0.16</v>
      </c>
      <c r="J519" s="19">
        <v>0.13639999999999999</v>
      </c>
      <c r="K519" s="18">
        <v>0.26</v>
      </c>
      <c r="L519" s="12">
        <v>0.32840000000000003</v>
      </c>
      <c r="M519" s="12">
        <v>9</v>
      </c>
      <c r="N519" s="12">
        <v>56</v>
      </c>
      <c r="O519" s="13">
        <v>65</v>
      </c>
    </row>
    <row r="520" spans="1:15" x14ac:dyDescent="0.35">
      <c r="A520" s="10">
        <v>519</v>
      </c>
      <c r="B520" s="11">
        <v>40566</v>
      </c>
      <c r="C520" s="12" t="s">
        <v>4</v>
      </c>
      <c r="D520" s="12" t="str">
        <f t="shared" si="16"/>
        <v>January</v>
      </c>
      <c r="E520" s="12">
        <v>17</v>
      </c>
      <c r="F520" s="12" t="b">
        <v>0</v>
      </c>
      <c r="G520" s="12" t="str">
        <f t="shared" si="17"/>
        <v>Sunday</v>
      </c>
      <c r="H520" s="12" t="s">
        <v>0</v>
      </c>
      <c r="I520" s="18">
        <v>0.14000000000000001</v>
      </c>
      <c r="J520" s="19">
        <v>0.1061</v>
      </c>
      <c r="K520" s="18">
        <v>0.26</v>
      </c>
      <c r="L520" s="12">
        <v>0.3881</v>
      </c>
      <c r="M520" s="12">
        <v>5</v>
      </c>
      <c r="N520" s="12">
        <v>50</v>
      </c>
      <c r="O520" s="13">
        <v>55</v>
      </c>
    </row>
    <row r="521" spans="1:15" x14ac:dyDescent="0.35">
      <c r="A521" s="10">
        <v>520</v>
      </c>
      <c r="B521" s="11">
        <v>40566</v>
      </c>
      <c r="C521" s="12" t="s">
        <v>4</v>
      </c>
      <c r="D521" s="12" t="str">
        <f t="shared" si="16"/>
        <v>January</v>
      </c>
      <c r="E521" s="12">
        <v>18</v>
      </c>
      <c r="F521" s="12" t="b">
        <v>0</v>
      </c>
      <c r="G521" s="12" t="str">
        <f t="shared" si="17"/>
        <v>Sunday</v>
      </c>
      <c r="H521" s="12" t="s">
        <v>0</v>
      </c>
      <c r="I521" s="18">
        <v>0.12</v>
      </c>
      <c r="J521" s="19">
        <v>0.1212</v>
      </c>
      <c r="K521" s="18">
        <v>0.3</v>
      </c>
      <c r="L521" s="12">
        <v>0.25369999999999998</v>
      </c>
      <c r="M521" s="12">
        <v>5</v>
      </c>
      <c r="N521" s="12">
        <v>44</v>
      </c>
      <c r="O521" s="13">
        <v>49</v>
      </c>
    </row>
    <row r="522" spans="1:15" x14ac:dyDescent="0.35">
      <c r="A522" s="10">
        <v>521</v>
      </c>
      <c r="B522" s="11">
        <v>40566</v>
      </c>
      <c r="C522" s="12" t="s">
        <v>4</v>
      </c>
      <c r="D522" s="12" t="str">
        <f t="shared" si="16"/>
        <v>January</v>
      </c>
      <c r="E522" s="12">
        <v>19</v>
      </c>
      <c r="F522" s="12" t="b">
        <v>0</v>
      </c>
      <c r="G522" s="12" t="str">
        <f t="shared" si="17"/>
        <v>Sunday</v>
      </c>
      <c r="H522" s="12" t="s">
        <v>0</v>
      </c>
      <c r="I522" s="18">
        <v>0.12</v>
      </c>
      <c r="J522" s="19">
        <v>0.1212</v>
      </c>
      <c r="K522" s="18">
        <v>0.3</v>
      </c>
      <c r="L522" s="12">
        <v>0.28360000000000002</v>
      </c>
      <c r="M522" s="12">
        <v>5</v>
      </c>
      <c r="N522" s="12">
        <v>45</v>
      </c>
      <c r="O522" s="13">
        <v>50</v>
      </c>
    </row>
    <row r="523" spans="1:15" x14ac:dyDescent="0.35">
      <c r="A523" s="10">
        <v>522</v>
      </c>
      <c r="B523" s="11">
        <v>40566</v>
      </c>
      <c r="C523" s="12" t="s">
        <v>4</v>
      </c>
      <c r="D523" s="12" t="str">
        <f t="shared" si="16"/>
        <v>January</v>
      </c>
      <c r="E523" s="12">
        <v>20</v>
      </c>
      <c r="F523" s="12" t="b">
        <v>0</v>
      </c>
      <c r="G523" s="12" t="str">
        <f t="shared" si="17"/>
        <v>Sunday</v>
      </c>
      <c r="H523" s="12" t="s">
        <v>0</v>
      </c>
      <c r="I523" s="18">
        <v>0.1</v>
      </c>
      <c r="J523" s="19">
        <v>0.1061</v>
      </c>
      <c r="K523" s="18">
        <v>0.36</v>
      </c>
      <c r="L523" s="12">
        <v>0.25369999999999998</v>
      </c>
      <c r="M523" s="12">
        <v>4</v>
      </c>
      <c r="N523" s="12">
        <v>31</v>
      </c>
      <c r="O523" s="13">
        <v>35</v>
      </c>
    </row>
    <row r="524" spans="1:15" x14ac:dyDescent="0.35">
      <c r="A524" s="10">
        <v>523</v>
      </c>
      <c r="B524" s="11">
        <v>40566</v>
      </c>
      <c r="C524" s="12" t="s">
        <v>4</v>
      </c>
      <c r="D524" s="12" t="str">
        <f t="shared" si="16"/>
        <v>January</v>
      </c>
      <c r="E524" s="12">
        <v>21</v>
      </c>
      <c r="F524" s="12" t="b">
        <v>0</v>
      </c>
      <c r="G524" s="12" t="str">
        <f t="shared" si="17"/>
        <v>Sunday</v>
      </c>
      <c r="H524" s="12" t="s">
        <v>0</v>
      </c>
      <c r="I524" s="18">
        <v>0.1</v>
      </c>
      <c r="J524" s="19">
        <v>0.1061</v>
      </c>
      <c r="K524" s="18">
        <v>0.36</v>
      </c>
      <c r="L524" s="12">
        <v>0.19400000000000001</v>
      </c>
      <c r="M524" s="12">
        <v>5</v>
      </c>
      <c r="N524" s="12">
        <v>20</v>
      </c>
      <c r="O524" s="13">
        <v>25</v>
      </c>
    </row>
    <row r="525" spans="1:15" x14ac:dyDescent="0.35">
      <c r="A525" s="10">
        <v>524</v>
      </c>
      <c r="B525" s="11">
        <v>40566</v>
      </c>
      <c r="C525" s="12" t="s">
        <v>4</v>
      </c>
      <c r="D525" s="12" t="str">
        <f t="shared" si="16"/>
        <v>January</v>
      </c>
      <c r="E525" s="12">
        <v>22</v>
      </c>
      <c r="F525" s="12" t="b">
        <v>0</v>
      </c>
      <c r="G525" s="12" t="str">
        <f t="shared" si="17"/>
        <v>Sunday</v>
      </c>
      <c r="H525" s="12" t="s">
        <v>0</v>
      </c>
      <c r="I525" s="18">
        <v>0.08</v>
      </c>
      <c r="J525" s="19">
        <v>9.0899999999999995E-2</v>
      </c>
      <c r="K525" s="18">
        <v>0.38</v>
      </c>
      <c r="L525" s="12">
        <v>0.19400000000000001</v>
      </c>
      <c r="M525" s="12">
        <v>5</v>
      </c>
      <c r="N525" s="12">
        <v>23</v>
      </c>
      <c r="O525" s="13">
        <v>28</v>
      </c>
    </row>
    <row r="526" spans="1:15" x14ac:dyDescent="0.35">
      <c r="A526" s="10">
        <v>525</v>
      </c>
      <c r="B526" s="11">
        <v>40566</v>
      </c>
      <c r="C526" s="12" t="s">
        <v>4</v>
      </c>
      <c r="D526" s="12" t="str">
        <f t="shared" si="16"/>
        <v>January</v>
      </c>
      <c r="E526" s="12">
        <v>23</v>
      </c>
      <c r="F526" s="12" t="b">
        <v>0</v>
      </c>
      <c r="G526" s="12" t="str">
        <f t="shared" si="17"/>
        <v>Sunday</v>
      </c>
      <c r="H526" s="12" t="s">
        <v>0</v>
      </c>
      <c r="I526" s="18">
        <v>0.06</v>
      </c>
      <c r="J526" s="19">
        <v>6.0600000000000001E-2</v>
      </c>
      <c r="K526" s="18">
        <v>0.41</v>
      </c>
      <c r="L526" s="12">
        <v>0.22389999999999999</v>
      </c>
      <c r="M526" s="12">
        <v>4</v>
      </c>
      <c r="N526" s="12">
        <v>17</v>
      </c>
      <c r="O526" s="13">
        <v>21</v>
      </c>
    </row>
    <row r="527" spans="1:15" x14ac:dyDescent="0.35">
      <c r="A527" s="10">
        <v>526</v>
      </c>
      <c r="B527" s="11">
        <v>40567</v>
      </c>
      <c r="C527" s="12" t="s">
        <v>4</v>
      </c>
      <c r="D527" s="12" t="str">
        <f t="shared" si="16"/>
        <v>January</v>
      </c>
      <c r="E527" s="12">
        <v>0</v>
      </c>
      <c r="F527" s="12" t="b">
        <v>0</v>
      </c>
      <c r="G527" s="12" t="str">
        <f t="shared" si="17"/>
        <v>Monday</v>
      </c>
      <c r="H527" s="12" t="s">
        <v>0</v>
      </c>
      <c r="I527" s="18">
        <v>0.06</v>
      </c>
      <c r="J527" s="19">
        <v>6.0600000000000001E-2</v>
      </c>
      <c r="K527" s="18">
        <v>0.41</v>
      </c>
      <c r="L527" s="12">
        <v>0.19400000000000001</v>
      </c>
      <c r="M527" s="12">
        <v>0</v>
      </c>
      <c r="N527" s="12">
        <v>7</v>
      </c>
      <c r="O527" s="13">
        <v>7</v>
      </c>
    </row>
    <row r="528" spans="1:15" x14ac:dyDescent="0.35">
      <c r="A528" s="10">
        <v>527</v>
      </c>
      <c r="B528" s="11">
        <v>40567</v>
      </c>
      <c r="C528" s="12" t="s">
        <v>4</v>
      </c>
      <c r="D528" s="12" t="str">
        <f t="shared" si="16"/>
        <v>January</v>
      </c>
      <c r="E528" s="12">
        <v>1</v>
      </c>
      <c r="F528" s="12" t="b">
        <v>0</v>
      </c>
      <c r="G528" s="12" t="str">
        <f t="shared" si="17"/>
        <v>Monday</v>
      </c>
      <c r="H528" s="12" t="s">
        <v>0</v>
      </c>
      <c r="I528" s="18">
        <v>0.04</v>
      </c>
      <c r="J528" s="19">
        <v>4.5499999999999999E-2</v>
      </c>
      <c r="K528" s="18">
        <v>0.45</v>
      </c>
      <c r="L528" s="12">
        <v>0.19400000000000001</v>
      </c>
      <c r="M528" s="12">
        <v>0</v>
      </c>
      <c r="N528" s="12">
        <v>1</v>
      </c>
      <c r="O528" s="13">
        <v>1</v>
      </c>
    </row>
    <row r="529" spans="1:15" x14ac:dyDescent="0.35">
      <c r="A529" s="10">
        <v>528</v>
      </c>
      <c r="B529" s="11">
        <v>40567</v>
      </c>
      <c r="C529" s="12" t="s">
        <v>4</v>
      </c>
      <c r="D529" s="12" t="str">
        <f t="shared" si="16"/>
        <v>January</v>
      </c>
      <c r="E529" s="12">
        <v>3</v>
      </c>
      <c r="F529" s="12" t="b">
        <v>0</v>
      </c>
      <c r="G529" s="12" t="str">
        <f t="shared" si="17"/>
        <v>Monday</v>
      </c>
      <c r="H529" s="12" t="s">
        <v>0</v>
      </c>
      <c r="I529" s="18">
        <v>0.04</v>
      </c>
      <c r="J529" s="19">
        <v>3.0300000000000001E-2</v>
      </c>
      <c r="K529" s="18">
        <v>0.45</v>
      </c>
      <c r="L529" s="12">
        <v>0.25369999999999998</v>
      </c>
      <c r="M529" s="12">
        <v>0</v>
      </c>
      <c r="N529" s="12">
        <v>1</v>
      </c>
      <c r="O529" s="13">
        <v>1</v>
      </c>
    </row>
    <row r="530" spans="1:15" x14ac:dyDescent="0.35">
      <c r="A530" s="10">
        <v>529</v>
      </c>
      <c r="B530" s="11">
        <v>40567</v>
      </c>
      <c r="C530" s="12" t="s">
        <v>4</v>
      </c>
      <c r="D530" s="12" t="str">
        <f t="shared" si="16"/>
        <v>January</v>
      </c>
      <c r="E530" s="12">
        <v>4</v>
      </c>
      <c r="F530" s="12" t="b">
        <v>0</v>
      </c>
      <c r="G530" s="12" t="str">
        <f t="shared" si="17"/>
        <v>Monday</v>
      </c>
      <c r="H530" s="12" t="s">
        <v>0</v>
      </c>
      <c r="I530" s="18">
        <v>0.02</v>
      </c>
      <c r="J530" s="19">
        <v>6.0600000000000001E-2</v>
      </c>
      <c r="K530" s="18">
        <v>0.48</v>
      </c>
      <c r="L530" s="12">
        <v>0.1343</v>
      </c>
      <c r="M530" s="12">
        <v>0</v>
      </c>
      <c r="N530" s="12">
        <v>1</v>
      </c>
      <c r="O530" s="13">
        <v>1</v>
      </c>
    </row>
    <row r="531" spans="1:15" x14ac:dyDescent="0.35">
      <c r="A531" s="10">
        <v>530</v>
      </c>
      <c r="B531" s="11">
        <v>40567</v>
      </c>
      <c r="C531" s="12" t="s">
        <v>4</v>
      </c>
      <c r="D531" s="12" t="str">
        <f t="shared" si="16"/>
        <v>January</v>
      </c>
      <c r="E531" s="12">
        <v>5</v>
      </c>
      <c r="F531" s="12" t="b">
        <v>0</v>
      </c>
      <c r="G531" s="12" t="str">
        <f t="shared" si="17"/>
        <v>Monday</v>
      </c>
      <c r="H531" s="12" t="s">
        <v>0</v>
      </c>
      <c r="I531" s="18">
        <v>0.02</v>
      </c>
      <c r="J531" s="19">
        <v>6.0600000000000001E-2</v>
      </c>
      <c r="K531" s="18">
        <v>0.48</v>
      </c>
      <c r="L531" s="12">
        <v>0.1343</v>
      </c>
      <c r="M531" s="12">
        <v>0</v>
      </c>
      <c r="N531" s="12">
        <v>5</v>
      </c>
      <c r="O531" s="13">
        <v>5</v>
      </c>
    </row>
    <row r="532" spans="1:15" x14ac:dyDescent="0.35">
      <c r="A532" s="10">
        <v>531</v>
      </c>
      <c r="B532" s="11">
        <v>40567</v>
      </c>
      <c r="C532" s="12" t="s">
        <v>4</v>
      </c>
      <c r="D532" s="12" t="str">
        <f t="shared" si="16"/>
        <v>January</v>
      </c>
      <c r="E532" s="12">
        <v>6</v>
      </c>
      <c r="F532" s="12" t="b">
        <v>0</v>
      </c>
      <c r="G532" s="12" t="str">
        <f t="shared" si="17"/>
        <v>Monday</v>
      </c>
      <c r="H532" s="12" t="s">
        <v>0</v>
      </c>
      <c r="I532" s="18">
        <v>0.02</v>
      </c>
      <c r="J532" s="19">
        <v>7.5800000000000006E-2</v>
      </c>
      <c r="K532" s="18">
        <v>0.48</v>
      </c>
      <c r="L532" s="12">
        <v>8.9599999999999999E-2</v>
      </c>
      <c r="M532" s="12">
        <v>0</v>
      </c>
      <c r="N532" s="12">
        <v>15</v>
      </c>
      <c r="O532" s="13">
        <v>15</v>
      </c>
    </row>
    <row r="533" spans="1:15" x14ac:dyDescent="0.35">
      <c r="A533" s="10">
        <v>532</v>
      </c>
      <c r="B533" s="11">
        <v>40567</v>
      </c>
      <c r="C533" s="12" t="s">
        <v>4</v>
      </c>
      <c r="D533" s="12" t="str">
        <f t="shared" si="16"/>
        <v>January</v>
      </c>
      <c r="E533" s="12">
        <v>7</v>
      </c>
      <c r="F533" s="12" t="b">
        <v>0</v>
      </c>
      <c r="G533" s="12" t="str">
        <f t="shared" si="17"/>
        <v>Monday</v>
      </c>
      <c r="H533" s="12" t="s">
        <v>0</v>
      </c>
      <c r="I533" s="18">
        <v>0.02</v>
      </c>
      <c r="J533" s="19">
        <v>0.1212</v>
      </c>
      <c r="K533" s="18">
        <v>0.48</v>
      </c>
      <c r="L533" s="12">
        <v>0</v>
      </c>
      <c r="M533" s="12">
        <v>5</v>
      </c>
      <c r="N533" s="12">
        <v>79</v>
      </c>
      <c r="O533" s="13">
        <v>84</v>
      </c>
    </row>
    <row r="534" spans="1:15" x14ac:dyDescent="0.35">
      <c r="A534" s="10">
        <v>533</v>
      </c>
      <c r="B534" s="11">
        <v>40567</v>
      </c>
      <c r="C534" s="12" t="s">
        <v>4</v>
      </c>
      <c r="D534" s="12" t="str">
        <f t="shared" si="16"/>
        <v>January</v>
      </c>
      <c r="E534" s="12">
        <v>8</v>
      </c>
      <c r="F534" s="12" t="b">
        <v>0</v>
      </c>
      <c r="G534" s="12" t="str">
        <f t="shared" si="17"/>
        <v>Monday</v>
      </c>
      <c r="H534" s="12" t="s">
        <v>0</v>
      </c>
      <c r="I534" s="18">
        <v>0.04</v>
      </c>
      <c r="J534" s="19">
        <v>0.13639999999999999</v>
      </c>
      <c r="K534" s="18">
        <v>0.49</v>
      </c>
      <c r="L534" s="12">
        <v>0</v>
      </c>
      <c r="M534" s="12">
        <v>6</v>
      </c>
      <c r="N534" s="12">
        <v>171</v>
      </c>
      <c r="O534" s="13">
        <v>177</v>
      </c>
    </row>
    <row r="535" spans="1:15" x14ac:dyDescent="0.35">
      <c r="A535" s="10">
        <v>534</v>
      </c>
      <c r="B535" s="11">
        <v>40567</v>
      </c>
      <c r="C535" s="12" t="s">
        <v>4</v>
      </c>
      <c r="D535" s="12" t="str">
        <f t="shared" si="16"/>
        <v>January</v>
      </c>
      <c r="E535" s="12">
        <v>9</v>
      </c>
      <c r="F535" s="12" t="b">
        <v>0</v>
      </c>
      <c r="G535" s="12" t="str">
        <f t="shared" si="17"/>
        <v>Monday</v>
      </c>
      <c r="H535" s="12" t="s">
        <v>0</v>
      </c>
      <c r="I535" s="18">
        <v>0.06</v>
      </c>
      <c r="J535" s="19">
        <v>0.1515</v>
      </c>
      <c r="K535" s="18">
        <v>0.41</v>
      </c>
      <c r="L535" s="12">
        <v>0</v>
      </c>
      <c r="M535" s="12">
        <v>4</v>
      </c>
      <c r="N535" s="12">
        <v>98</v>
      </c>
      <c r="O535" s="13">
        <v>102</v>
      </c>
    </row>
    <row r="536" spans="1:15" x14ac:dyDescent="0.35">
      <c r="A536" s="10">
        <v>535</v>
      </c>
      <c r="B536" s="11">
        <v>40567</v>
      </c>
      <c r="C536" s="12" t="s">
        <v>4</v>
      </c>
      <c r="D536" s="12" t="str">
        <f t="shared" si="16"/>
        <v>January</v>
      </c>
      <c r="E536" s="12">
        <v>10</v>
      </c>
      <c r="F536" s="12" t="b">
        <v>0</v>
      </c>
      <c r="G536" s="12" t="str">
        <f t="shared" si="17"/>
        <v>Monday</v>
      </c>
      <c r="H536" s="12" t="s">
        <v>0</v>
      </c>
      <c r="I536" s="18">
        <v>0.1</v>
      </c>
      <c r="J536" s="19">
        <v>0.13639999999999999</v>
      </c>
      <c r="K536" s="18">
        <v>0.42</v>
      </c>
      <c r="L536" s="12">
        <v>0</v>
      </c>
      <c r="M536" s="12">
        <v>6</v>
      </c>
      <c r="N536" s="12">
        <v>34</v>
      </c>
      <c r="O536" s="13">
        <v>40</v>
      </c>
    </row>
    <row r="537" spans="1:15" x14ac:dyDescent="0.35">
      <c r="A537" s="10">
        <v>536</v>
      </c>
      <c r="B537" s="11">
        <v>40567</v>
      </c>
      <c r="C537" s="12" t="s">
        <v>4</v>
      </c>
      <c r="D537" s="12" t="str">
        <f t="shared" si="16"/>
        <v>January</v>
      </c>
      <c r="E537" s="12">
        <v>11</v>
      </c>
      <c r="F537" s="12" t="b">
        <v>0</v>
      </c>
      <c r="G537" s="12" t="str">
        <f t="shared" si="17"/>
        <v>Monday</v>
      </c>
      <c r="H537" s="12" t="s">
        <v>0</v>
      </c>
      <c r="I537" s="18">
        <v>0.1</v>
      </c>
      <c r="J537" s="19">
        <v>0.1212</v>
      </c>
      <c r="K537" s="18">
        <v>0.46</v>
      </c>
      <c r="L537" s="12">
        <v>0.1343</v>
      </c>
      <c r="M537" s="12">
        <v>3</v>
      </c>
      <c r="N537" s="12">
        <v>43</v>
      </c>
      <c r="O537" s="13">
        <v>46</v>
      </c>
    </row>
    <row r="538" spans="1:15" x14ac:dyDescent="0.35">
      <c r="A538" s="10">
        <v>537</v>
      </c>
      <c r="B538" s="11">
        <v>40567</v>
      </c>
      <c r="C538" s="12" t="s">
        <v>4</v>
      </c>
      <c r="D538" s="12" t="str">
        <f t="shared" si="16"/>
        <v>January</v>
      </c>
      <c r="E538" s="12">
        <v>12</v>
      </c>
      <c r="F538" s="12" t="b">
        <v>0</v>
      </c>
      <c r="G538" s="12" t="str">
        <f t="shared" si="17"/>
        <v>Monday</v>
      </c>
      <c r="H538" s="12" t="s">
        <v>1</v>
      </c>
      <c r="I538" s="18">
        <v>0.12</v>
      </c>
      <c r="J538" s="19">
        <v>0.13639999999999999</v>
      </c>
      <c r="K538" s="18">
        <v>0.42</v>
      </c>
      <c r="L538" s="12">
        <v>0.19400000000000001</v>
      </c>
      <c r="M538" s="12">
        <v>11</v>
      </c>
      <c r="N538" s="12">
        <v>52</v>
      </c>
      <c r="O538" s="13">
        <v>63</v>
      </c>
    </row>
    <row r="539" spans="1:15" x14ac:dyDescent="0.35">
      <c r="A539" s="10">
        <v>538</v>
      </c>
      <c r="B539" s="11">
        <v>40567</v>
      </c>
      <c r="C539" s="12" t="s">
        <v>4</v>
      </c>
      <c r="D539" s="12" t="str">
        <f t="shared" si="16"/>
        <v>January</v>
      </c>
      <c r="E539" s="12">
        <v>13</v>
      </c>
      <c r="F539" s="12" t="b">
        <v>0</v>
      </c>
      <c r="G539" s="12" t="str">
        <f t="shared" si="17"/>
        <v>Monday</v>
      </c>
      <c r="H539" s="12" t="s">
        <v>1</v>
      </c>
      <c r="I539" s="18">
        <v>0.14000000000000001</v>
      </c>
      <c r="J539" s="19">
        <v>0.13639999999999999</v>
      </c>
      <c r="K539" s="18">
        <v>0.43</v>
      </c>
      <c r="L539" s="12">
        <v>0.22389999999999999</v>
      </c>
      <c r="M539" s="12">
        <v>6</v>
      </c>
      <c r="N539" s="12">
        <v>54</v>
      </c>
      <c r="O539" s="13">
        <v>60</v>
      </c>
    </row>
    <row r="540" spans="1:15" x14ac:dyDescent="0.35">
      <c r="A540" s="10">
        <v>539</v>
      </c>
      <c r="B540" s="11">
        <v>40567</v>
      </c>
      <c r="C540" s="12" t="s">
        <v>4</v>
      </c>
      <c r="D540" s="12" t="str">
        <f t="shared" si="16"/>
        <v>January</v>
      </c>
      <c r="E540" s="12">
        <v>14</v>
      </c>
      <c r="F540" s="12" t="b">
        <v>0</v>
      </c>
      <c r="G540" s="12" t="str">
        <f t="shared" si="17"/>
        <v>Monday</v>
      </c>
      <c r="H540" s="12" t="s">
        <v>1</v>
      </c>
      <c r="I540" s="18">
        <v>0.14000000000000001</v>
      </c>
      <c r="J540" s="19">
        <v>0.13639999999999999</v>
      </c>
      <c r="K540" s="18">
        <v>0.46</v>
      </c>
      <c r="L540" s="12">
        <v>0.22389999999999999</v>
      </c>
      <c r="M540" s="12">
        <v>2</v>
      </c>
      <c r="N540" s="12">
        <v>43</v>
      </c>
      <c r="O540" s="13">
        <v>45</v>
      </c>
    </row>
    <row r="541" spans="1:15" x14ac:dyDescent="0.35">
      <c r="A541" s="10">
        <v>540</v>
      </c>
      <c r="B541" s="11">
        <v>40567</v>
      </c>
      <c r="C541" s="12" t="s">
        <v>4</v>
      </c>
      <c r="D541" s="12" t="str">
        <f t="shared" si="16"/>
        <v>January</v>
      </c>
      <c r="E541" s="12">
        <v>15</v>
      </c>
      <c r="F541" s="12" t="b">
        <v>0</v>
      </c>
      <c r="G541" s="12" t="str">
        <f t="shared" si="17"/>
        <v>Monday</v>
      </c>
      <c r="H541" s="12" t="s">
        <v>0</v>
      </c>
      <c r="I541" s="18">
        <v>0.16</v>
      </c>
      <c r="J541" s="19">
        <v>0.16669999999999999</v>
      </c>
      <c r="K541" s="18">
        <v>0.4</v>
      </c>
      <c r="L541" s="12">
        <v>0.16420000000000001</v>
      </c>
      <c r="M541" s="12">
        <v>7</v>
      </c>
      <c r="N541" s="12">
        <v>50</v>
      </c>
      <c r="O541" s="13">
        <v>57</v>
      </c>
    </row>
    <row r="542" spans="1:15" x14ac:dyDescent="0.35">
      <c r="A542" s="10">
        <v>541</v>
      </c>
      <c r="B542" s="11">
        <v>40567</v>
      </c>
      <c r="C542" s="12" t="s">
        <v>4</v>
      </c>
      <c r="D542" s="12" t="str">
        <f t="shared" si="16"/>
        <v>January</v>
      </c>
      <c r="E542" s="12">
        <v>16</v>
      </c>
      <c r="F542" s="12" t="b">
        <v>0</v>
      </c>
      <c r="G542" s="12" t="str">
        <f t="shared" si="17"/>
        <v>Monday</v>
      </c>
      <c r="H542" s="12" t="s">
        <v>0</v>
      </c>
      <c r="I542" s="18">
        <v>0.16</v>
      </c>
      <c r="J542" s="19">
        <v>0.1515</v>
      </c>
      <c r="K542" s="18">
        <v>0.47</v>
      </c>
      <c r="L542" s="12">
        <v>0.25369999999999998</v>
      </c>
      <c r="M542" s="12">
        <v>4</v>
      </c>
      <c r="N542" s="12">
        <v>66</v>
      </c>
      <c r="O542" s="13">
        <v>70</v>
      </c>
    </row>
    <row r="543" spans="1:15" x14ac:dyDescent="0.35">
      <c r="A543" s="10">
        <v>542</v>
      </c>
      <c r="B543" s="11">
        <v>40567</v>
      </c>
      <c r="C543" s="12" t="s">
        <v>4</v>
      </c>
      <c r="D543" s="12" t="str">
        <f t="shared" si="16"/>
        <v>January</v>
      </c>
      <c r="E543" s="12">
        <v>17</v>
      </c>
      <c r="F543" s="12" t="b">
        <v>0</v>
      </c>
      <c r="G543" s="12" t="str">
        <f t="shared" si="17"/>
        <v>Monday</v>
      </c>
      <c r="H543" s="12" t="s">
        <v>0</v>
      </c>
      <c r="I543" s="18">
        <v>0.14000000000000001</v>
      </c>
      <c r="J543" s="19">
        <v>0.1212</v>
      </c>
      <c r="K543" s="18">
        <v>0.5</v>
      </c>
      <c r="L543" s="12">
        <v>0.25369999999999998</v>
      </c>
      <c r="M543" s="12">
        <v>6</v>
      </c>
      <c r="N543" s="12">
        <v>178</v>
      </c>
      <c r="O543" s="13">
        <v>184</v>
      </c>
    </row>
    <row r="544" spans="1:15" x14ac:dyDescent="0.35">
      <c r="A544" s="10">
        <v>543</v>
      </c>
      <c r="B544" s="11">
        <v>40567</v>
      </c>
      <c r="C544" s="12" t="s">
        <v>4</v>
      </c>
      <c r="D544" s="12" t="str">
        <f t="shared" si="16"/>
        <v>January</v>
      </c>
      <c r="E544" s="12">
        <v>18</v>
      </c>
      <c r="F544" s="12" t="b">
        <v>0</v>
      </c>
      <c r="G544" s="12" t="str">
        <f t="shared" si="17"/>
        <v>Monday</v>
      </c>
      <c r="H544" s="12" t="s">
        <v>0</v>
      </c>
      <c r="I544" s="18">
        <v>0.14000000000000001</v>
      </c>
      <c r="J544" s="19">
        <v>0.13639999999999999</v>
      </c>
      <c r="K544" s="18">
        <v>0.59</v>
      </c>
      <c r="L544" s="12">
        <v>0.19400000000000001</v>
      </c>
      <c r="M544" s="12">
        <v>8</v>
      </c>
      <c r="N544" s="12">
        <v>145</v>
      </c>
      <c r="O544" s="13">
        <v>153</v>
      </c>
    </row>
    <row r="545" spans="1:15" x14ac:dyDescent="0.35">
      <c r="A545" s="10">
        <v>544</v>
      </c>
      <c r="B545" s="11">
        <v>40567</v>
      </c>
      <c r="C545" s="12" t="s">
        <v>4</v>
      </c>
      <c r="D545" s="12" t="str">
        <f t="shared" si="16"/>
        <v>January</v>
      </c>
      <c r="E545" s="12">
        <v>19</v>
      </c>
      <c r="F545" s="12" t="b">
        <v>0</v>
      </c>
      <c r="G545" s="12" t="str">
        <f t="shared" si="17"/>
        <v>Monday</v>
      </c>
      <c r="H545" s="12" t="s">
        <v>0</v>
      </c>
      <c r="I545" s="18">
        <v>0.14000000000000001</v>
      </c>
      <c r="J545" s="19">
        <v>0.1515</v>
      </c>
      <c r="K545" s="18">
        <v>0.54</v>
      </c>
      <c r="L545" s="12">
        <v>0.16420000000000001</v>
      </c>
      <c r="M545" s="12">
        <v>5</v>
      </c>
      <c r="N545" s="12">
        <v>101</v>
      </c>
      <c r="O545" s="13">
        <v>106</v>
      </c>
    </row>
    <row r="546" spans="1:15" x14ac:dyDescent="0.35">
      <c r="A546" s="10">
        <v>545</v>
      </c>
      <c r="B546" s="11">
        <v>40567</v>
      </c>
      <c r="C546" s="12" t="s">
        <v>4</v>
      </c>
      <c r="D546" s="12" t="str">
        <f t="shared" si="16"/>
        <v>January</v>
      </c>
      <c r="E546" s="12">
        <v>20</v>
      </c>
      <c r="F546" s="12" t="b">
        <v>0</v>
      </c>
      <c r="G546" s="12" t="str">
        <f t="shared" si="17"/>
        <v>Monday</v>
      </c>
      <c r="H546" s="12" t="s">
        <v>0</v>
      </c>
      <c r="I546" s="18">
        <v>0.14000000000000001</v>
      </c>
      <c r="J546" s="19">
        <v>0.13639999999999999</v>
      </c>
      <c r="K546" s="18">
        <v>0.59</v>
      </c>
      <c r="L546" s="12">
        <v>0.19400000000000001</v>
      </c>
      <c r="M546" s="12">
        <v>1</v>
      </c>
      <c r="N546" s="12">
        <v>80</v>
      </c>
      <c r="O546" s="13">
        <v>81</v>
      </c>
    </row>
    <row r="547" spans="1:15" x14ac:dyDescent="0.35">
      <c r="A547" s="10">
        <v>546</v>
      </c>
      <c r="B547" s="11">
        <v>40567</v>
      </c>
      <c r="C547" s="12" t="s">
        <v>4</v>
      </c>
      <c r="D547" s="12" t="str">
        <f t="shared" si="16"/>
        <v>January</v>
      </c>
      <c r="E547" s="12">
        <v>21</v>
      </c>
      <c r="F547" s="12" t="b">
        <v>0</v>
      </c>
      <c r="G547" s="12" t="str">
        <f t="shared" si="17"/>
        <v>Monday</v>
      </c>
      <c r="H547" s="12" t="s">
        <v>0</v>
      </c>
      <c r="I547" s="18">
        <v>0.14000000000000001</v>
      </c>
      <c r="J547" s="19">
        <v>0.1515</v>
      </c>
      <c r="K547" s="18">
        <v>0.63</v>
      </c>
      <c r="L547" s="12">
        <v>0.16420000000000001</v>
      </c>
      <c r="M547" s="12">
        <v>6</v>
      </c>
      <c r="N547" s="12">
        <v>53</v>
      </c>
      <c r="O547" s="13">
        <v>59</v>
      </c>
    </row>
    <row r="548" spans="1:15" x14ac:dyDescent="0.35">
      <c r="A548" s="10">
        <v>547</v>
      </c>
      <c r="B548" s="11">
        <v>40567</v>
      </c>
      <c r="C548" s="12" t="s">
        <v>4</v>
      </c>
      <c r="D548" s="12" t="str">
        <f t="shared" si="16"/>
        <v>January</v>
      </c>
      <c r="E548" s="12">
        <v>22</v>
      </c>
      <c r="F548" s="12" t="b">
        <v>0</v>
      </c>
      <c r="G548" s="12" t="str">
        <f t="shared" si="17"/>
        <v>Monday</v>
      </c>
      <c r="H548" s="12" t="s">
        <v>1</v>
      </c>
      <c r="I548" s="18">
        <v>0.14000000000000001</v>
      </c>
      <c r="J548" s="19">
        <v>0.13639999999999999</v>
      </c>
      <c r="K548" s="18">
        <v>0.63</v>
      </c>
      <c r="L548" s="12">
        <v>0.22389999999999999</v>
      </c>
      <c r="M548" s="12">
        <v>3</v>
      </c>
      <c r="N548" s="12">
        <v>32</v>
      </c>
      <c r="O548" s="13">
        <v>35</v>
      </c>
    </row>
    <row r="549" spans="1:15" x14ac:dyDescent="0.35">
      <c r="A549" s="10">
        <v>548</v>
      </c>
      <c r="B549" s="11">
        <v>40567</v>
      </c>
      <c r="C549" s="12" t="s">
        <v>4</v>
      </c>
      <c r="D549" s="12" t="str">
        <f t="shared" si="16"/>
        <v>January</v>
      </c>
      <c r="E549" s="12">
        <v>23</v>
      </c>
      <c r="F549" s="12" t="b">
        <v>0</v>
      </c>
      <c r="G549" s="12" t="str">
        <f t="shared" si="17"/>
        <v>Monday</v>
      </c>
      <c r="H549" s="12" t="s">
        <v>1</v>
      </c>
      <c r="I549" s="18">
        <v>0.16</v>
      </c>
      <c r="J549" s="19">
        <v>0.1515</v>
      </c>
      <c r="K549" s="18">
        <v>0.64</v>
      </c>
      <c r="L549" s="12">
        <v>0.25369999999999998</v>
      </c>
      <c r="M549" s="12">
        <v>3</v>
      </c>
      <c r="N549" s="12">
        <v>21</v>
      </c>
      <c r="O549" s="13">
        <v>24</v>
      </c>
    </row>
    <row r="550" spans="1:15" x14ac:dyDescent="0.35">
      <c r="A550" s="10">
        <v>549</v>
      </c>
      <c r="B550" s="11">
        <v>40568</v>
      </c>
      <c r="C550" s="12" t="s">
        <v>4</v>
      </c>
      <c r="D550" s="12" t="str">
        <f t="shared" si="16"/>
        <v>January</v>
      </c>
      <c r="E550" s="12">
        <v>0</v>
      </c>
      <c r="F550" s="12" t="b">
        <v>0</v>
      </c>
      <c r="G550" s="12" t="str">
        <f t="shared" si="17"/>
        <v>Tuesday</v>
      </c>
      <c r="H550" s="12" t="s">
        <v>1</v>
      </c>
      <c r="I550" s="18">
        <v>0.16</v>
      </c>
      <c r="J550" s="19">
        <v>0.13639999999999999</v>
      </c>
      <c r="K550" s="18">
        <v>0.69</v>
      </c>
      <c r="L550" s="12">
        <v>0.28360000000000002</v>
      </c>
      <c r="M550" s="12">
        <v>3</v>
      </c>
      <c r="N550" s="12">
        <v>6</v>
      </c>
      <c r="O550" s="13">
        <v>9</v>
      </c>
    </row>
    <row r="551" spans="1:15" x14ac:dyDescent="0.35">
      <c r="A551" s="10">
        <v>550</v>
      </c>
      <c r="B551" s="11">
        <v>40568</v>
      </c>
      <c r="C551" s="12" t="s">
        <v>4</v>
      </c>
      <c r="D551" s="12" t="str">
        <f t="shared" si="16"/>
        <v>January</v>
      </c>
      <c r="E551" s="12">
        <v>1</v>
      </c>
      <c r="F551" s="12" t="b">
        <v>0</v>
      </c>
      <c r="G551" s="12" t="str">
        <f t="shared" si="17"/>
        <v>Tuesday</v>
      </c>
      <c r="H551" s="12" t="s">
        <v>1</v>
      </c>
      <c r="I551" s="18">
        <v>0.16</v>
      </c>
      <c r="J551" s="19">
        <v>0.16669999999999999</v>
      </c>
      <c r="K551" s="18">
        <v>0.69</v>
      </c>
      <c r="L551" s="12">
        <v>0.16420000000000001</v>
      </c>
      <c r="M551" s="12">
        <v>0</v>
      </c>
      <c r="N551" s="12">
        <v>5</v>
      </c>
      <c r="O551" s="13">
        <v>5</v>
      </c>
    </row>
    <row r="552" spans="1:15" x14ac:dyDescent="0.35">
      <c r="A552" s="10">
        <v>551</v>
      </c>
      <c r="B552" s="11">
        <v>40568</v>
      </c>
      <c r="C552" s="12" t="s">
        <v>4</v>
      </c>
      <c r="D552" s="12" t="str">
        <f t="shared" si="16"/>
        <v>January</v>
      </c>
      <c r="E552" s="12">
        <v>2</v>
      </c>
      <c r="F552" s="12" t="b">
        <v>0</v>
      </c>
      <c r="G552" s="12" t="str">
        <f t="shared" si="17"/>
        <v>Tuesday</v>
      </c>
      <c r="H552" s="12" t="s">
        <v>0</v>
      </c>
      <c r="I552" s="18">
        <v>0.16</v>
      </c>
      <c r="J552" s="19">
        <v>0.1515</v>
      </c>
      <c r="K552" s="18">
        <v>0.69</v>
      </c>
      <c r="L552" s="12">
        <v>0.22389999999999999</v>
      </c>
      <c r="M552" s="12">
        <v>0</v>
      </c>
      <c r="N552" s="12">
        <v>2</v>
      </c>
      <c r="O552" s="13">
        <v>2</v>
      </c>
    </row>
    <row r="553" spans="1:15" x14ac:dyDescent="0.35">
      <c r="A553" s="10">
        <v>552</v>
      </c>
      <c r="B553" s="11">
        <v>40568</v>
      </c>
      <c r="C553" s="12" t="s">
        <v>4</v>
      </c>
      <c r="D553" s="12" t="str">
        <f t="shared" si="16"/>
        <v>January</v>
      </c>
      <c r="E553" s="12">
        <v>4</v>
      </c>
      <c r="F553" s="12" t="b">
        <v>0</v>
      </c>
      <c r="G553" s="12" t="str">
        <f t="shared" si="17"/>
        <v>Tuesday</v>
      </c>
      <c r="H553" s="12" t="s">
        <v>0</v>
      </c>
      <c r="I553" s="18">
        <v>0.14000000000000001</v>
      </c>
      <c r="J553" s="19">
        <v>0.16669999999999999</v>
      </c>
      <c r="K553" s="18">
        <v>0.74</v>
      </c>
      <c r="L553" s="12">
        <v>0.1045</v>
      </c>
      <c r="M553" s="12">
        <v>0</v>
      </c>
      <c r="N553" s="12">
        <v>1</v>
      </c>
      <c r="O553" s="13">
        <v>1</v>
      </c>
    </row>
    <row r="554" spans="1:15" x14ac:dyDescent="0.35">
      <c r="A554" s="10">
        <v>553</v>
      </c>
      <c r="B554" s="11">
        <v>40568</v>
      </c>
      <c r="C554" s="12" t="s">
        <v>4</v>
      </c>
      <c r="D554" s="12" t="str">
        <f t="shared" si="16"/>
        <v>January</v>
      </c>
      <c r="E554" s="12">
        <v>5</v>
      </c>
      <c r="F554" s="12" t="b">
        <v>0</v>
      </c>
      <c r="G554" s="12" t="str">
        <f t="shared" si="17"/>
        <v>Tuesday</v>
      </c>
      <c r="H554" s="12" t="s">
        <v>0</v>
      </c>
      <c r="I554" s="18">
        <v>0.14000000000000001</v>
      </c>
      <c r="J554" s="19">
        <v>0.13639999999999999</v>
      </c>
      <c r="K554" s="18">
        <v>0.74</v>
      </c>
      <c r="L554" s="12">
        <v>0.22389999999999999</v>
      </c>
      <c r="M554" s="12">
        <v>0</v>
      </c>
      <c r="N554" s="12">
        <v>9</v>
      </c>
      <c r="O554" s="13">
        <v>9</v>
      </c>
    </row>
    <row r="555" spans="1:15" x14ac:dyDescent="0.35">
      <c r="A555" s="10">
        <v>554</v>
      </c>
      <c r="B555" s="11">
        <v>40568</v>
      </c>
      <c r="C555" s="12" t="s">
        <v>4</v>
      </c>
      <c r="D555" s="12" t="str">
        <f t="shared" si="16"/>
        <v>January</v>
      </c>
      <c r="E555" s="12">
        <v>6</v>
      </c>
      <c r="F555" s="12" t="b">
        <v>0</v>
      </c>
      <c r="G555" s="12" t="str">
        <f t="shared" si="17"/>
        <v>Tuesday</v>
      </c>
      <c r="H555" s="12" t="s">
        <v>0</v>
      </c>
      <c r="I555" s="18">
        <v>0.16</v>
      </c>
      <c r="J555" s="19">
        <v>0.18179999999999999</v>
      </c>
      <c r="K555" s="18">
        <v>0.74</v>
      </c>
      <c r="L555" s="12">
        <v>0.1045</v>
      </c>
      <c r="M555" s="12">
        <v>1</v>
      </c>
      <c r="N555" s="12">
        <v>35</v>
      </c>
      <c r="O555" s="13">
        <v>36</v>
      </c>
    </row>
    <row r="556" spans="1:15" x14ac:dyDescent="0.35">
      <c r="A556" s="10">
        <v>555</v>
      </c>
      <c r="B556" s="11">
        <v>40568</v>
      </c>
      <c r="C556" s="12" t="s">
        <v>4</v>
      </c>
      <c r="D556" s="12" t="str">
        <f t="shared" si="16"/>
        <v>January</v>
      </c>
      <c r="E556" s="12">
        <v>7</v>
      </c>
      <c r="F556" s="12" t="b">
        <v>0</v>
      </c>
      <c r="G556" s="12" t="str">
        <f t="shared" si="17"/>
        <v>Tuesday</v>
      </c>
      <c r="H556" s="12" t="s">
        <v>0</v>
      </c>
      <c r="I556" s="18">
        <v>0.16</v>
      </c>
      <c r="J556" s="19">
        <v>0.1515</v>
      </c>
      <c r="K556" s="18">
        <v>0.74</v>
      </c>
      <c r="L556" s="12">
        <v>0.22389999999999999</v>
      </c>
      <c r="M556" s="12">
        <v>5</v>
      </c>
      <c r="N556" s="12">
        <v>103</v>
      </c>
      <c r="O556" s="13">
        <v>108</v>
      </c>
    </row>
    <row r="557" spans="1:15" x14ac:dyDescent="0.35">
      <c r="A557" s="10">
        <v>556</v>
      </c>
      <c r="B557" s="11">
        <v>40568</v>
      </c>
      <c r="C557" s="12" t="s">
        <v>4</v>
      </c>
      <c r="D557" s="12" t="str">
        <f t="shared" si="16"/>
        <v>January</v>
      </c>
      <c r="E557" s="12">
        <v>8</v>
      </c>
      <c r="F557" s="12" t="b">
        <v>0</v>
      </c>
      <c r="G557" s="12" t="str">
        <f t="shared" si="17"/>
        <v>Tuesday</v>
      </c>
      <c r="H557" s="12" t="s">
        <v>1</v>
      </c>
      <c r="I557" s="18">
        <v>0.16</v>
      </c>
      <c r="J557" s="19">
        <v>0.18179999999999999</v>
      </c>
      <c r="K557" s="18">
        <v>0.74</v>
      </c>
      <c r="L557" s="12">
        <v>0.1343</v>
      </c>
      <c r="M557" s="12">
        <v>5</v>
      </c>
      <c r="N557" s="12">
        <v>233</v>
      </c>
      <c r="O557" s="13">
        <v>238</v>
      </c>
    </row>
    <row r="558" spans="1:15" x14ac:dyDescent="0.35">
      <c r="A558" s="10">
        <v>557</v>
      </c>
      <c r="B558" s="11">
        <v>40568</v>
      </c>
      <c r="C558" s="12" t="s">
        <v>4</v>
      </c>
      <c r="D558" s="12" t="str">
        <f t="shared" si="16"/>
        <v>January</v>
      </c>
      <c r="E558" s="12">
        <v>9</v>
      </c>
      <c r="F558" s="12" t="b">
        <v>0</v>
      </c>
      <c r="G558" s="12" t="str">
        <f t="shared" si="17"/>
        <v>Tuesday</v>
      </c>
      <c r="H558" s="12" t="s">
        <v>1</v>
      </c>
      <c r="I558" s="18">
        <v>0.2</v>
      </c>
      <c r="J558" s="19">
        <v>0.2273</v>
      </c>
      <c r="K558" s="18">
        <v>0.64</v>
      </c>
      <c r="L558" s="12">
        <v>8.9599999999999999E-2</v>
      </c>
      <c r="M558" s="12">
        <v>10</v>
      </c>
      <c r="N558" s="12">
        <v>134</v>
      </c>
      <c r="O558" s="13">
        <v>144</v>
      </c>
    </row>
    <row r="559" spans="1:15" x14ac:dyDescent="0.35">
      <c r="A559" s="10">
        <v>558</v>
      </c>
      <c r="B559" s="11">
        <v>40568</v>
      </c>
      <c r="C559" s="12" t="s">
        <v>4</v>
      </c>
      <c r="D559" s="12" t="str">
        <f t="shared" si="16"/>
        <v>January</v>
      </c>
      <c r="E559" s="12">
        <v>10</v>
      </c>
      <c r="F559" s="12" t="b">
        <v>0</v>
      </c>
      <c r="G559" s="12" t="str">
        <f t="shared" si="17"/>
        <v>Tuesday</v>
      </c>
      <c r="H559" s="12" t="s">
        <v>1</v>
      </c>
      <c r="I559" s="18">
        <v>0.22</v>
      </c>
      <c r="J559" s="19">
        <v>0.2424</v>
      </c>
      <c r="K559" s="18">
        <v>0.6</v>
      </c>
      <c r="L559" s="12">
        <v>0.1045</v>
      </c>
      <c r="M559" s="12">
        <v>6</v>
      </c>
      <c r="N559" s="12">
        <v>49</v>
      </c>
      <c r="O559" s="13">
        <v>55</v>
      </c>
    </row>
    <row r="560" spans="1:15" x14ac:dyDescent="0.35">
      <c r="A560" s="10">
        <v>559</v>
      </c>
      <c r="B560" s="11">
        <v>40568</v>
      </c>
      <c r="C560" s="12" t="s">
        <v>4</v>
      </c>
      <c r="D560" s="12" t="str">
        <f t="shared" si="16"/>
        <v>January</v>
      </c>
      <c r="E560" s="12">
        <v>11</v>
      </c>
      <c r="F560" s="12" t="b">
        <v>0</v>
      </c>
      <c r="G560" s="12" t="str">
        <f t="shared" si="17"/>
        <v>Tuesday</v>
      </c>
      <c r="H560" s="12" t="s">
        <v>1</v>
      </c>
      <c r="I560" s="18">
        <v>0.24</v>
      </c>
      <c r="J560" s="19">
        <v>0.2424</v>
      </c>
      <c r="K560" s="18">
        <v>0.6</v>
      </c>
      <c r="L560" s="12">
        <v>0.1343</v>
      </c>
      <c r="M560" s="12">
        <v>6</v>
      </c>
      <c r="N560" s="12">
        <v>55</v>
      </c>
      <c r="O560" s="13">
        <v>61</v>
      </c>
    </row>
    <row r="561" spans="1:15" x14ac:dyDescent="0.35">
      <c r="A561" s="10">
        <v>560</v>
      </c>
      <c r="B561" s="11">
        <v>40568</v>
      </c>
      <c r="C561" s="12" t="s">
        <v>4</v>
      </c>
      <c r="D561" s="12" t="str">
        <f t="shared" si="16"/>
        <v>January</v>
      </c>
      <c r="E561" s="12">
        <v>12</v>
      </c>
      <c r="F561" s="12" t="b">
        <v>0</v>
      </c>
      <c r="G561" s="12" t="str">
        <f t="shared" si="17"/>
        <v>Tuesday</v>
      </c>
      <c r="H561" s="12" t="s">
        <v>1</v>
      </c>
      <c r="I561" s="18">
        <v>0.26</v>
      </c>
      <c r="J561" s="19">
        <v>0.28789999999999999</v>
      </c>
      <c r="K561" s="18">
        <v>0.56000000000000005</v>
      </c>
      <c r="L561" s="12">
        <v>8.9599999999999999E-2</v>
      </c>
      <c r="M561" s="12">
        <v>21</v>
      </c>
      <c r="N561" s="12">
        <v>85</v>
      </c>
      <c r="O561" s="13">
        <v>106</v>
      </c>
    </row>
    <row r="562" spans="1:15" x14ac:dyDescent="0.35">
      <c r="A562" s="10">
        <v>561</v>
      </c>
      <c r="B562" s="11">
        <v>40568</v>
      </c>
      <c r="C562" s="12" t="s">
        <v>4</v>
      </c>
      <c r="D562" s="12" t="str">
        <f t="shared" si="16"/>
        <v>January</v>
      </c>
      <c r="E562" s="12">
        <v>13</v>
      </c>
      <c r="F562" s="12" t="b">
        <v>0</v>
      </c>
      <c r="G562" s="12" t="str">
        <f t="shared" si="17"/>
        <v>Tuesday</v>
      </c>
      <c r="H562" s="12" t="s">
        <v>1</v>
      </c>
      <c r="I562" s="18">
        <v>0.26</v>
      </c>
      <c r="J562" s="19">
        <v>0.2727</v>
      </c>
      <c r="K562" s="18">
        <v>0.56000000000000005</v>
      </c>
      <c r="L562" s="12">
        <v>0.1343</v>
      </c>
      <c r="M562" s="12">
        <v>21</v>
      </c>
      <c r="N562" s="12">
        <v>72</v>
      </c>
      <c r="O562" s="13">
        <v>93</v>
      </c>
    </row>
    <row r="563" spans="1:15" x14ac:dyDescent="0.35">
      <c r="A563" s="10">
        <v>562</v>
      </c>
      <c r="B563" s="11">
        <v>40568</v>
      </c>
      <c r="C563" s="12" t="s">
        <v>4</v>
      </c>
      <c r="D563" s="12" t="str">
        <f t="shared" si="16"/>
        <v>January</v>
      </c>
      <c r="E563" s="12">
        <v>14</v>
      </c>
      <c r="F563" s="12" t="b">
        <v>0</v>
      </c>
      <c r="G563" s="12" t="str">
        <f t="shared" si="17"/>
        <v>Tuesday</v>
      </c>
      <c r="H563" s="12" t="s">
        <v>1</v>
      </c>
      <c r="I563" s="18">
        <v>0.3</v>
      </c>
      <c r="J563" s="19">
        <v>0.33329999999999999</v>
      </c>
      <c r="K563" s="18">
        <v>0.45</v>
      </c>
      <c r="L563" s="12">
        <v>0</v>
      </c>
      <c r="M563" s="12">
        <v>11</v>
      </c>
      <c r="N563" s="12">
        <v>57</v>
      </c>
      <c r="O563" s="13">
        <v>68</v>
      </c>
    </row>
    <row r="564" spans="1:15" x14ac:dyDescent="0.35">
      <c r="A564" s="10">
        <v>563</v>
      </c>
      <c r="B564" s="11">
        <v>40568</v>
      </c>
      <c r="C564" s="12" t="s">
        <v>4</v>
      </c>
      <c r="D564" s="12" t="str">
        <f t="shared" si="16"/>
        <v>January</v>
      </c>
      <c r="E564" s="12">
        <v>15</v>
      </c>
      <c r="F564" s="12" t="b">
        <v>0</v>
      </c>
      <c r="G564" s="12" t="str">
        <f t="shared" si="17"/>
        <v>Tuesday</v>
      </c>
      <c r="H564" s="12" t="s">
        <v>1</v>
      </c>
      <c r="I564" s="18">
        <v>0.32</v>
      </c>
      <c r="J564" s="19">
        <v>0.34849999999999998</v>
      </c>
      <c r="K564" s="18">
        <v>0.42</v>
      </c>
      <c r="L564" s="12">
        <v>0</v>
      </c>
      <c r="M564" s="12">
        <v>21</v>
      </c>
      <c r="N564" s="12">
        <v>63</v>
      </c>
      <c r="O564" s="13">
        <v>84</v>
      </c>
    </row>
    <row r="565" spans="1:15" x14ac:dyDescent="0.35">
      <c r="A565" s="10">
        <v>564</v>
      </c>
      <c r="B565" s="11">
        <v>40568</v>
      </c>
      <c r="C565" s="12" t="s">
        <v>4</v>
      </c>
      <c r="D565" s="12" t="str">
        <f t="shared" si="16"/>
        <v>January</v>
      </c>
      <c r="E565" s="12">
        <v>16</v>
      </c>
      <c r="F565" s="12" t="b">
        <v>0</v>
      </c>
      <c r="G565" s="12" t="str">
        <f t="shared" si="17"/>
        <v>Tuesday</v>
      </c>
      <c r="H565" s="12" t="s">
        <v>1</v>
      </c>
      <c r="I565" s="18">
        <v>0.32</v>
      </c>
      <c r="J565" s="19">
        <v>0.34849999999999998</v>
      </c>
      <c r="K565" s="18">
        <v>0.42</v>
      </c>
      <c r="L565" s="12">
        <v>0</v>
      </c>
      <c r="M565" s="12">
        <v>14</v>
      </c>
      <c r="N565" s="12">
        <v>102</v>
      </c>
      <c r="O565" s="13">
        <v>116</v>
      </c>
    </row>
    <row r="566" spans="1:15" x14ac:dyDescent="0.35">
      <c r="A566" s="10">
        <v>565</v>
      </c>
      <c r="B566" s="11">
        <v>40568</v>
      </c>
      <c r="C566" s="12" t="s">
        <v>4</v>
      </c>
      <c r="D566" s="12" t="str">
        <f t="shared" si="16"/>
        <v>January</v>
      </c>
      <c r="E566" s="12">
        <v>17</v>
      </c>
      <c r="F566" s="12" t="b">
        <v>0</v>
      </c>
      <c r="G566" s="12" t="str">
        <f t="shared" si="17"/>
        <v>Tuesday</v>
      </c>
      <c r="H566" s="12" t="s">
        <v>0</v>
      </c>
      <c r="I566" s="18">
        <v>0.3</v>
      </c>
      <c r="J566" s="19">
        <v>0.33329999999999999</v>
      </c>
      <c r="K566" s="18">
        <v>0.45</v>
      </c>
      <c r="L566" s="12">
        <v>0</v>
      </c>
      <c r="M566" s="12">
        <v>14</v>
      </c>
      <c r="N566" s="12">
        <v>208</v>
      </c>
      <c r="O566" s="13">
        <v>222</v>
      </c>
    </row>
    <row r="567" spans="1:15" x14ac:dyDescent="0.35">
      <c r="A567" s="10">
        <v>566</v>
      </c>
      <c r="B567" s="11">
        <v>40568</v>
      </c>
      <c r="C567" s="12" t="s">
        <v>4</v>
      </c>
      <c r="D567" s="12" t="str">
        <f t="shared" si="16"/>
        <v>January</v>
      </c>
      <c r="E567" s="12">
        <v>18</v>
      </c>
      <c r="F567" s="12" t="b">
        <v>0</v>
      </c>
      <c r="G567" s="12" t="str">
        <f t="shared" si="17"/>
        <v>Tuesday</v>
      </c>
      <c r="H567" s="12" t="s">
        <v>1</v>
      </c>
      <c r="I567" s="18">
        <v>0.3</v>
      </c>
      <c r="J567" s="19">
        <v>0.31819999999999998</v>
      </c>
      <c r="K567" s="18">
        <v>0.49</v>
      </c>
      <c r="L567" s="12">
        <v>8.9599999999999999E-2</v>
      </c>
      <c r="M567" s="12">
        <v>7</v>
      </c>
      <c r="N567" s="12">
        <v>218</v>
      </c>
      <c r="O567" s="13">
        <v>225</v>
      </c>
    </row>
    <row r="568" spans="1:15" x14ac:dyDescent="0.35">
      <c r="A568" s="10">
        <v>567</v>
      </c>
      <c r="B568" s="11">
        <v>40568</v>
      </c>
      <c r="C568" s="12" t="s">
        <v>4</v>
      </c>
      <c r="D568" s="12" t="str">
        <f t="shared" si="16"/>
        <v>January</v>
      </c>
      <c r="E568" s="12">
        <v>19</v>
      </c>
      <c r="F568" s="12" t="b">
        <v>0</v>
      </c>
      <c r="G568" s="12" t="str">
        <f t="shared" si="17"/>
        <v>Tuesday</v>
      </c>
      <c r="H568" s="12" t="s">
        <v>1</v>
      </c>
      <c r="I568" s="18">
        <v>0.26</v>
      </c>
      <c r="J568" s="19">
        <v>0.2576</v>
      </c>
      <c r="K568" s="18">
        <v>0.65</v>
      </c>
      <c r="L568" s="12">
        <v>0.16420000000000001</v>
      </c>
      <c r="M568" s="12">
        <v>13</v>
      </c>
      <c r="N568" s="12">
        <v>133</v>
      </c>
      <c r="O568" s="13">
        <v>146</v>
      </c>
    </row>
    <row r="569" spans="1:15" x14ac:dyDescent="0.35">
      <c r="A569" s="10">
        <v>568</v>
      </c>
      <c r="B569" s="11">
        <v>40568</v>
      </c>
      <c r="C569" s="12" t="s">
        <v>4</v>
      </c>
      <c r="D569" s="12" t="str">
        <f t="shared" si="16"/>
        <v>January</v>
      </c>
      <c r="E569" s="12">
        <v>20</v>
      </c>
      <c r="F569" s="12" t="b">
        <v>0</v>
      </c>
      <c r="G569" s="12" t="str">
        <f t="shared" si="17"/>
        <v>Tuesday</v>
      </c>
      <c r="H569" s="12" t="s">
        <v>0</v>
      </c>
      <c r="I569" s="18">
        <v>0.24</v>
      </c>
      <c r="J569" s="19">
        <v>0.2273</v>
      </c>
      <c r="K569" s="18">
        <v>0.65</v>
      </c>
      <c r="L569" s="12">
        <v>0.19400000000000001</v>
      </c>
      <c r="M569" s="12">
        <v>16</v>
      </c>
      <c r="N569" s="12">
        <v>103</v>
      </c>
      <c r="O569" s="13">
        <v>119</v>
      </c>
    </row>
    <row r="570" spans="1:15" x14ac:dyDescent="0.35">
      <c r="A570" s="10">
        <v>569</v>
      </c>
      <c r="B570" s="11">
        <v>40568</v>
      </c>
      <c r="C570" s="12" t="s">
        <v>4</v>
      </c>
      <c r="D570" s="12" t="str">
        <f t="shared" si="16"/>
        <v>January</v>
      </c>
      <c r="E570" s="12">
        <v>21</v>
      </c>
      <c r="F570" s="12" t="b">
        <v>0</v>
      </c>
      <c r="G570" s="12" t="str">
        <f t="shared" si="17"/>
        <v>Tuesday</v>
      </c>
      <c r="H570" s="12" t="s">
        <v>0</v>
      </c>
      <c r="I570" s="18">
        <v>0.24</v>
      </c>
      <c r="J570" s="19">
        <v>0.2273</v>
      </c>
      <c r="K570" s="18">
        <v>0.65</v>
      </c>
      <c r="L570" s="12">
        <v>0.19400000000000001</v>
      </c>
      <c r="M570" s="12">
        <v>5</v>
      </c>
      <c r="N570" s="12">
        <v>40</v>
      </c>
      <c r="O570" s="13">
        <v>45</v>
      </c>
    </row>
    <row r="571" spans="1:15" x14ac:dyDescent="0.35">
      <c r="A571" s="10">
        <v>570</v>
      </c>
      <c r="B571" s="11">
        <v>40568</v>
      </c>
      <c r="C571" s="12" t="s">
        <v>4</v>
      </c>
      <c r="D571" s="12" t="str">
        <f t="shared" si="16"/>
        <v>January</v>
      </c>
      <c r="E571" s="12">
        <v>22</v>
      </c>
      <c r="F571" s="12" t="b">
        <v>0</v>
      </c>
      <c r="G571" s="12" t="str">
        <f t="shared" si="17"/>
        <v>Tuesday</v>
      </c>
      <c r="H571" s="12" t="s">
        <v>0</v>
      </c>
      <c r="I571" s="18">
        <v>0.22</v>
      </c>
      <c r="J571" s="19">
        <v>0.2273</v>
      </c>
      <c r="K571" s="18">
        <v>0.64</v>
      </c>
      <c r="L571" s="12">
        <v>0.16420000000000001</v>
      </c>
      <c r="M571" s="12">
        <v>4</v>
      </c>
      <c r="N571" s="12">
        <v>49</v>
      </c>
      <c r="O571" s="13">
        <v>53</v>
      </c>
    </row>
    <row r="572" spans="1:15" x14ac:dyDescent="0.35">
      <c r="A572" s="10">
        <v>571</v>
      </c>
      <c r="B572" s="11">
        <v>40568</v>
      </c>
      <c r="C572" s="12" t="s">
        <v>4</v>
      </c>
      <c r="D572" s="12" t="str">
        <f t="shared" si="16"/>
        <v>January</v>
      </c>
      <c r="E572" s="12">
        <v>23</v>
      </c>
      <c r="F572" s="12" t="b">
        <v>0</v>
      </c>
      <c r="G572" s="12" t="str">
        <f t="shared" si="17"/>
        <v>Tuesday</v>
      </c>
      <c r="H572" s="12" t="s">
        <v>1</v>
      </c>
      <c r="I572" s="18">
        <v>0.22</v>
      </c>
      <c r="J572" s="19">
        <v>0.2273</v>
      </c>
      <c r="K572" s="18">
        <v>0.64</v>
      </c>
      <c r="L572" s="12">
        <v>0.16420000000000001</v>
      </c>
      <c r="M572" s="12">
        <v>3</v>
      </c>
      <c r="N572" s="12">
        <v>37</v>
      </c>
      <c r="O572" s="13">
        <v>40</v>
      </c>
    </row>
    <row r="573" spans="1:15" x14ac:dyDescent="0.35">
      <c r="A573" s="10">
        <v>572</v>
      </c>
      <c r="B573" s="11">
        <v>40569</v>
      </c>
      <c r="C573" s="12" t="s">
        <v>4</v>
      </c>
      <c r="D573" s="12" t="str">
        <f t="shared" si="16"/>
        <v>January</v>
      </c>
      <c r="E573" s="12">
        <v>0</v>
      </c>
      <c r="F573" s="12" t="b">
        <v>0</v>
      </c>
      <c r="G573" s="12" t="str">
        <f t="shared" si="17"/>
        <v>Wednesday</v>
      </c>
      <c r="H573" s="12" t="s">
        <v>1</v>
      </c>
      <c r="I573" s="18">
        <v>0.22</v>
      </c>
      <c r="J573" s="19">
        <v>0.2273</v>
      </c>
      <c r="K573" s="18">
        <v>0.69</v>
      </c>
      <c r="L573" s="12">
        <v>0.1343</v>
      </c>
      <c r="M573" s="12">
        <v>3</v>
      </c>
      <c r="N573" s="12">
        <v>14</v>
      </c>
      <c r="O573" s="13">
        <v>17</v>
      </c>
    </row>
    <row r="574" spans="1:15" x14ac:dyDescent="0.35">
      <c r="A574" s="10">
        <v>573</v>
      </c>
      <c r="B574" s="11">
        <v>40569</v>
      </c>
      <c r="C574" s="12" t="s">
        <v>4</v>
      </c>
      <c r="D574" s="12" t="str">
        <f t="shared" si="16"/>
        <v>January</v>
      </c>
      <c r="E574" s="12">
        <v>1</v>
      </c>
      <c r="F574" s="12" t="b">
        <v>0</v>
      </c>
      <c r="G574" s="12" t="str">
        <f t="shared" si="17"/>
        <v>Wednesday</v>
      </c>
      <c r="H574" s="12" t="s">
        <v>1</v>
      </c>
      <c r="I574" s="18">
        <v>0.24</v>
      </c>
      <c r="J574" s="19">
        <v>0.2424</v>
      </c>
      <c r="K574" s="18">
        <v>0.65</v>
      </c>
      <c r="L574" s="12">
        <v>0.1343</v>
      </c>
      <c r="M574" s="12">
        <v>0</v>
      </c>
      <c r="N574" s="12">
        <v>5</v>
      </c>
      <c r="O574" s="13">
        <v>5</v>
      </c>
    </row>
    <row r="575" spans="1:15" x14ac:dyDescent="0.35">
      <c r="A575" s="10">
        <v>574</v>
      </c>
      <c r="B575" s="11">
        <v>40569</v>
      </c>
      <c r="C575" s="12" t="s">
        <v>4</v>
      </c>
      <c r="D575" s="12" t="str">
        <f t="shared" si="16"/>
        <v>January</v>
      </c>
      <c r="E575" s="12">
        <v>2</v>
      </c>
      <c r="F575" s="12" t="b">
        <v>0</v>
      </c>
      <c r="G575" s="12" t="str">
        <f t="shared" si="17"/>
        <v>Wednesday</v>
      </c>
      <c r="H575" s="12" t="s">
        <v>2</v>
      </c>
      <c r="I575" s="18">
        <v>0.22</v>
      </c>
      <c r="J575" s="19">
        <v>0.2273</v>
      </c>
      <c r="K575" s="18">
        <v>0.69</v>
      </c>
      <c r="L575" s="12">
        <v>0.19400000000000001</v>
      </c>
      <c r="M575" s="12">
        <v>3</v>
      </c>
      <c r="N575" s="12">
        <v>7</v>
      </c>
      <c r="O575" s="13">
        <v>10</v>
      </c>
    </row>
    <row r="576" spans="1:15" x14ac:dyDescent="0.35">
      <c r="A576" s="10">
        <v>575</v>
      </c>
      <c r="B576" s="11">
        <v>40569</v>
      </c>
      <c r="C576" s="12" t="s">
        <v>4</v>
      </c>
      <c r="D576" s="12" t="str">
        <f t="shared" si="16"/>
        <v>January</v>
      </c>
      <c r="E576" s="12">
        <v>5</v>
      </c>
      <c r="F576" s="12" t="b">
        <v>0</v>
      </c>
      <c r="G576" s="12" t="str">
        <f t="shared" si="17"/>
        <v>Wednesday</v>
      </c>
      <c r="H576" s="12" t="s">
        <v>2</v>
      </c>
      <c r="I576" s="18">
        <v>0.2</v>
      </c>
      <c r="J576" s="19">
        <v>0.18179999999999999</v>
      </c>
      <c r="K576" s="18">
        <v>0.86</v>
      </c>
      <c r="L576" s="12">
        <v>0.28360000000000002</v>
      </c>
      <c r="M576" s="12">
        <v>0</v>
      </c>
      <c r="N576" s="12">
        <v>1</v>
      </c>
      <c r="O576" s="13">
        <v>1</v>
      </c>
    </row>
    <row r="577" spans="1:15" x14ac:dyDescent="0.35">
      <c r="A577" s="10">
        <v>576</v>
      </c>
      <c r="B577" s="11">
        <v>40569</v>
      </c>
      <c r="C577" s="12" t="s">
        <v>4</v>
      </c>
      <c r="D577" s="12" t="str">
        <f t="shared" si="16"/>
        <v>January</v>
      </c>
      <c r="E577" s="12">
        <v>6</v>
      </c>
      <c r="F577" s="12" t="b">
        <v>0</v>
      </c>
      <c r="G577" s="12" t="str">
        <f t="shared" si="17"/>
        <v>Wednesday</v>
      </c>
      <c r="H577" s="12" t="s">
        <v>2</v>
      </c>
      <c r="I577" s="18">
        <v>0.2</v>
      </c>
      <c r="J577" s="19">
        <v>0.18179999999999999</v>
      </c>
      <c r="K577" s="18">
        <v>0.86</v>
      </c>
      <c r="L577" s="12">
        <v>0.28360000000000002</v>
      </c>
      <c r="M577" s="12">
        <v>0</v>
      </c>
      <c r="N577" s="12">
        <v>8</v>
      </c>
      <c r="O577" s="13">
        <v>8</v>
      </c>
    </row>
    <row r="578" spans="1:15" x14ac:dyDescent="0.35">
      <c r="A578" s="10">
        <v>577</v>
      </c>
      <c r="B578" s="11">
        <v>40569</v>
      </c>
      <c r="C578" s="12" t="s">
        <v>4</v>
      </c>
      <c r="D578" s="12" t="str">
        <f t="shared" si="16"/>
        <v>January</v>
      </c>
      <c r="E578" s="12">
        <v>7</v>
      </c>
      <c r="F578" s="12" t="b">
        <v>0</v>
      </c>
      <c r="G578" s="12" t="str">
        <f t="shared" si="17"/>
        <v>Wednesday</v>
      </c>
      <c r="H578" s="12" t="s">
        <v>2</v>
      </c>
      <c r="I578" s="18">
        <v>0.22</v>
      </c>
      <c r="J578" s="19">
        <v>0.21210000000000001</v>
      </c>
      <c r="K578" s="18">
        <v>0.87</v>
      </c>
      <c r="L578" s="12">
        <v>0.29849999999999999</v>
      </c>
      <c r="M578" s="12">
        <v>1</v>
      </c>
      <c r="N578" s="12">
        <v>29</v>
      </c>
      <c r="O578" s="13">
        <v>30</v>
      </c>
    </row>
    <row r="579" spans="1:15" x14ac:dyDescent="0.35">
      <c r="A579" s="10">
        <v>578</v>
      </c>
      <c r="B579" s="11">
        <v>40569</v>
      </c>
      <c r="C579" s="12" t="s">
        <v>4</v>
      </c>
      <c r="D579" s="12" t="str">
        <f t="shared" ref="D579:D611" si="18">TEXT(B579,"mmmm")</f>
        <v>January</v>
      </c>
      <c r="E579" s="12">
        <v>8</v>
      </c>
      <c r="F579" s="12" t="b">
        <v>0</v>
      </c>
      <c r="G579" s="12" t="str">
        <f t="shared" ref="G579:G611" si="19">TEXT(B579,"dddd")</f>
        <v>Wednesday</v>
      </c>
      <c r="H579" s="12" t="s">
        <v>2</v>
      </c>
      <c r="I579" s="18">
        <v>0.22</v>
      </c>
      <c r="J579" s="19">
        <v>0.21210000000000001</v>
      </c>
      <c r="K579" s="18">
        <v>0.87</v>
      </c>
      <c r="L579" s="12">
        <v>0.29849999999999999</v>
      </c>
      <c r="M579" s="12">
        <v>3</v>
      </c>
      <c r="N579" s="12">
        <v>69</v>
      </c>
      <c r="O579" s="13">
        <v>72</v>
      </c>
    </row>
    <row r="580" spans="1:15" x14ac:dyDescent="0.35">
      <c r="A580" s="10">
        <v>579</v>
      </c>
      <c r="B580" s="11">
        <v>40569</v>
      </c>
      <c r="C580" s="12" t="s">
        <v>4</v>
      </c>
      <c r="D580" s="12" t="str">
        <f t="shared" si="18"/>
        <v>January</v>
      </c>
      <c r="E580" s="12">
        <v>9</v>
      </c>
      <c r="F580" s="12" t="b">
        <v>0</v>
      </c>
      <c r="G580" s="12" t="str">
        <f t="shared" si="19"/>
        <v>Wednesday</v>
      </c>
      <c r="H580" s="12" t="s">
        <v>2</v>
      </c>
      <c r="I580" s="18">
        <v>0.22</v>
      </c>
      <c r="J580" s="19">
        <v>0.21210000000000001</v>
      </c>
      <c r="K580" s="18">
        <v>0.87</v>
      </c>
      <c r="L580" s="12">
        <v>0.29849999999999999</v>
      </c>
      <c r="M580" s="12">
        <v>3</v>
      </c>
      <c r="N580" s="12">
        <v>55</v>
      </c>
      <c r="O580" s="13">
        <v>58</v>
      </c>
    </row>
    <row r="581" spans="1:15" x14ac:dyDescent="0.35">
      <c r="A581" s="10">
        <v>580</v>
      </c>
      <c r="B581" s="11">
        <v>40569</v>
      </c>
      <c r="C581" s="12" t="s">
        <v>4</v>
      </c>
      <c r="D581" s="12" t="str">
        <f t="shared" si="18"/>
        <v>January</v>
      </c>
      <c r="E581" s="12">
        <v>10</v>
      </c>
      <c r="F581" s="12" t="b">
        <v>0</v>
      </c>
      <c r="G581" s="12" t="str">
        <f t="shared" si="19"/>
        <v>Wednesday</v>
      </c>
      <c r="H581" s="12" t="s">
        <v>2</v>
      </c>
      <c r="I581" s="18">
        <v>0.22</v>
      </c>
      <c r="J581" s="19">
        <v>0.21210000000000001</v>
      </c>
      <c r="K581" s="18">
        <v>0.93</v>
      </c>
      <c r="L581" s="12">
        <v>0.28360000000000002</v>
      </c>
      <c r="M581" s="12">
        <v>2</v>
      </c>
      <c r="N581" s="12">
        <v>26</v>
      </c>
      <c r="O581" s="13">
        <v>28</v>
      </c>
    </row>
    <row r="582" spans="1:15" x14ac:dyDescent="0.35">
      <c r="A582" s="10">
        <v>581</v>
      </c>
      <c r="B582" s="11">
        <v>40569</v>
      </c>
      <c r="C582" s="12" t="s">
        <v>4</v>
      </c>
      <c r="D582" s="12" t="str">
        <f t="shared" si="18"/>
        <v>January</v>
      </c>
      <c r="E582" s="12">
        <v>11</v>
      </c>
      <c r="F582" s="12" t="b">
        <v>0</v>
      </c>
      <c r="G582" s="12" t="str">
        <f t="shared" si="19"/>
        <v>Wednesday</v>
      </c>
      <c r="H582" s="12" t="s">
        <v>2</v>
      </c>
      <c r="I582" s="18">
        <v>0.22</v>
      </c>
      <c r="J582" s="19">
        <v>0.19700000000000001</v>
      </c>
      <c r="K582" s="18">
        <v>0.93</v>
      </c>
      <c r="L582" s="12">
        <v>0.32840000000000003</v>
      </c>
      <c r="M582" s="12">
        <v>6</v>
      </c>
      <c r="N582" s="12">
        <v>35</v>
      </c>
      <c r="O582" s="13">
        <v>41</v>
      </c>
    </row>
    <row r="583" spans="1:15" x14ac:dyDescent="0.35">
      <c r="A583" s="10">
        <v>582</v>
      </c>
      <c r="B583" s="11">
        <v>40569</v>
      </c>
      <c r="C583" s="12" t="s">
        <v>4</v>
      </c>
      <c r="D583" s="12" t="str">
        <f t="shared" si="18"/>
        <v>January</v>
      </c>
      <c r="E583" s="12">
        <v>12</v>
      </c>
      <c r="F583" s="12" t="b">
        <v>0</v>
      </c>
      <c r="G583" s="12" t="str">
        <f t="shared" si="19"/>
        <v>Wednesday</v>
      </c>
      <c r="H583" s="12" t="s">
        <v>2</v>
      </c>
      <c r="I583" s="18">
        <v>0.22</v>
      </c>
      <c r="J583" s="19">
        <v>0.19700000000000001</v>
      </c>
      <c r="K583" s="18">
        <v>0.93</v>
      </c>
      <c r="L583" s="12">
        <v>0.32840000000000003</v>
      </c>
      <c r="M583" s="12">
        <v>7</v>
      </c>
      <c r="N583" s="12">
        <v>41</v>
      </c>
      <c r="O583" s="13">
        <v>48</v>
      </c>
    </row>
    <row r="584" spans="1:15" x14ac:dyDescent="0.35">
      <c r="A584" s="10">
        <v>583</v>
      </c>
      <c r="B584" s="11">
        <v>40569</v>
      </c>
      <c r="C584" s="12" t="s">
        <v>4</v>
      </c>
      <c r="D584" s="12" t="str">
        <f t="shared" si="18"/>
        <v>January</v>
      </c>
      <c r="E584" s="12">
        <v>13</v>
      </c>
      <c r="F584" s="12" t="b">
        <v>0</v>
      </c>
      <c r="G584" s="12" t="str">
        <f t="shared" si="19"/>
        <v>Wednesday</v>
      </c>
      <c r="H584" s="12" t="s">
        <v>2</v>
      </c>
      <c r="I584" s="18">
        <v>0.22</v>
      </c>
      <c r="J584" s="19">
        <v>0.19700000000000001</v>
      </c>
      <c r="K584" s="18">
        <v>0.93</v>
      </c>
      <c r="L584" s="12">
        <v>0.32840000000000003</v>
      </c>
      <c r="M584" s="12">
        <v>4</v>
      </c>
      <c r="N584" s="12">
        <v>43</v>
      </c>
      <c r="O584" s="13">
        <v>47</v>
      </c>
    </row>
    <row r="585" spans="1:15" x14ac:dyDescent="0.35">
      <c r="A585" s="10">
        <v>584</v>
      </c>
      <c r="B585" s="11">
        <v>40569</v>
      </c>
      <c r="C585" s="12" t="s">
        <v>4</v>
      </c>
      <c r="D585" s="12" t="str">
        <f t="shared" si="18"/>
        <v>January</v>
      </c>
      <c r="E585" s="12">
        <v>14</v>
      </c>
      <c r="F585" s="12" t="b">
        <v>0</v>
      </c>
      <c r="G585" s="12" t="str">
        <f t="shared" si="19"/>
        <v>Wednesday</v>
      </c>
      <c r="H585" s="12" t="s">
        <v>2</v>
      </c>
      <c r="I585" s="18">
        <v>0.22</v>
      </c>
      <c r="J585" s="19">
        <v>0.19700000000000001</v>
      </c>
      <c r="K585" s="18">
        <v>0.93</v>
      </c>
      <c r="L585" s="12">
        <v>0.35820000000000002</v>
      </c>
      <c r="M585" s="12">
        <v>0</v>
      </c>
      <c r="N585" s="12">
        <v>36</v>
      </c>
      <c r="O585" s="13">
        <v>36</v>
      </c>
    </row>
    <row r="586" spans="1:15" x14ac:dyDescent="0.35">
      <c r="A586" s="10">
        <v>585</v>
      </c>
      <c r="B586" s="11">
        <v>40569</v>
      </c>
      <c r="C586" s="12" t="s">
        <v>4</v>
      </c>
      <c r="D586" s="12" t="str">
        <f t="shared" si="18"/>
        <v>January</v>
      </c>
      <c r="E586" s="12">
        <v>15</v>
      </c>
      <c r="F586" s="12" t="b">
        <v>0</v>
      </c>
      <c r="G586" s="12" t="str">
        <f t="shared" si="19"/>
        <v>Wednesday</v>
      </c>
      <c r="H586" s="12" t="s">
        <v>2</v>
      </c>
      <c r="I586" s="18">
        <v>0.22</v>
      </c>
      <c r="J586" s="19">
        <v>0.18179999999999999</v>
      </c>
      <c r="K586" s="18">
        <v>0.93</v>
      </c>
      <c r="L586" s="12">
        <v>0.4627</v>
      </c>
      <c r="M586" s="12">
        <v>1</v>
      </c>
      <c r="N586" s="12">
        <v>42</v>
      </c>
      <c r="O586" s="13">
        <v>43</v>
      </c>
    </row>
    <row r="587" spans="1:15" x14ac:dyDescent="0.35">
      <c r="A587" s="10">
        <v>586</v>
      </c>
      <c r="B587" s="11">
        <v>40569</v>
      </c>
      <c r="C587" s="12" t="s">
        <v>4</v>
      </c>
      <c r="D587" s="12" t="str">
        <f t="shared" si="18"/>
        <v>January</v>
      </c>
      <c r="E587" s="12">
        <v>16</v>
      </c>
      <c r="F587" s="12" t="b">
        <v>0</v>
      </c>
      <c r="G587" s="12" t="str">
        <f t="shared" si="19"/>
        <v>Wednesday</v>
      </c>
      <c r="H587" s="12" t="s">
        <v>3</v>
      </c>
      <c r="I587" s="18">
        <v>0.22</v>
      </c>
      <c r="J587" s="19">
        <v>0.19700000000000001</v>
      </c>
      <c r="K587" s="18">
        <v>0.93</v>
      </c>
      <c r="L587" s="12">
        <v>0.32840000000000003</v>
      </c>
      <c r="M587" s="12">
        <v>1</v>
      </c>
      <c r="N587" s="12">
        <v>35</v>
      </c>
      <c r="O587" s="13">
        <v>36</v>
      </c>
    </row>
    <row r="588" spans="1:15" x14ac:dyDescent="0.35">
      <c r="A588" s="10">
        <v>587</v>
      </c>
      <c r="B588" s="11">
        <v>40569</v>
      </c>
      <c r="C588" s="12" t="s">
        <v>4</v>
      </c>
      <c r="D588" s="12" t="str">
        <f t="shared" si="18"/>
        <v>January</v>
      </c>
      <c r="E588" s="12">
        <v>17</v>
      </c>
      <c r="F588" s="12" t="b">
        <v>0</v>
      </c>
      <c r="G588" s="12" t="str">
        <f t="shared" si="19"/>
        <v>Wednesday</v>
      </c>
      <c r="H588" s="12" t="s">
        <v>2</v>
      </c>
      <c r="I588" s="18">
        <v>0.2</v>
      </c>
      <c r="J588" s="19">
        <v>0.18179999999999999</v>
      </c>
      <c r="K588" s="18">
        <v>0.93</v>
      </c>
      <c r="L588" s="12">
        <v>0.35820000000000002</v>
      </c>
      <c r="M588" s="12">
        <v>0</v>
      </c>
      <c r="N588" s="12">
        <v>26</v>
      </c>
      <c r="O588" s="13">
        <v>26</v>
      </c>
    </row>
    <row r="589" spans="1:15" x14ac:dyDescent="0.35">
      <c r="A589" s="10">
        <v>588</v>
      </c>
      <c r="B589" s="11">
        <v>40570</v>
      </c>
      <c r="C589" s="12" t="s">
        <v>4</v>
      </c>
      <c r="D589" s="12" t="str">
        <f t="shared" si="18"/>
        <v>January</v>
      </c>
      <c r="E589" s="12">
        <v>16</v>
      </c>
      <c r="F589" s="12" t="b">
        <v>0</v>
      </c>
      <c r="G589" s="12" t="str">
        <f t="shared" si="19"/>
        <v>Thursday</v>
      </c>
      <c r="H589" s="12" t="s">
        <v>0</v>
      </c>
      <c r="I589" s="18">
        <v>0.22</v>
      </c>
      <c r="J589" s="19">
        <v>0.2273</v>
      </c>
      <c r="K589" s="18">
        <v>0.55000000000000004</v>
      </c>
      <c r="L589" s="12">
        <v>0.19400000000000001</v>
      </c>
      <c r="M589" s="12">
        <v>1</v>
      </c>
      <c r="N589" s="12">
        <v>23</v>
      </c>
      <c r="O589" s="13">
        <v>24</v>
      </c>
    </row>
    <row r="590" spans="1:15" x14ac:dyDescent="0.35">
      <c r="A590" s="10">
        <v>589</v>
      </c>
      <c r="B590" s="11">
        <v>40570</v>
      </c>
      <c r="C590" s="12" t="s">
        <v>4</v>
      </c>
      <c r="D590" s="12" t="str">
        <f t="shared" si="18"/>
        <v>January</v>
      </c>
      <c r="E590" s="12">
        <v>17</v>
      </c>
      <c r="F590" s="12" t="b">
        <v>0</v>
      </c>
      <c r="G590" s="12" t="str">
        <f t="shared" si="19"/>
        <v>Thursday</v>
      </c>
      <c r="H590" s="12" t="s">
        <v>0</v>
      </c>
      <c r="I590" s="18">
        <v>0.22</v>
      </c>
      <c r="J590" s="19">
        <v>0.2424</v>
      </c>
      <c r="K590" s="18">
        <v>0.55000000000000004</v>
      </c>
      <c r="L590" s="12">
        <v>0.1045</v>
      </c>
      <c r="M590" s="12">
        <v>2</v>
      </c>
      <c r="N590" s="12">
        <v>82</v>
      </c>
      <c r="O590" s="13">
        <v>84</v>
      </c>
    </row>
    <row r="591" spans="1:15" x14ac:dyDescent="0.35">
      <c r="A591" s="10">
        <v>590</v>
      </c>
      <c r="B591" s="11">
        <v>40570</v>
      </c>
      <c r="C591" s="12" t="s">
        <v>4</v>
      </c>
      <c r="D591" s="12" t="str">
        <f t="shared" si="18"/>
        <v>January</v>
      </c>
      <c r="E591" s="12">
        <v>18</v>
      </c>
      <c r="F591" s="12" t="b">
        <v>0</v>
      </c>
      <c r="G591" s="12" t="str">
        <f t="shared" si="19"/>
        <v>Thursday</v>
      </c>
      <c r="H591" s="12" t="s">
        <v>0</v>
      </c>
      <c r="I591" s="18">
        <v>0.2</v>
      </c>
      <c r="J591" s="19">
        <v>0.2273</v>
      </c>
      <c r="K591" s="18">
        <v>0.69</v>
      </c>
      <c r="L591" s="12">
        <v>8.9599999999999999E-2</v>
      </c>
      <c r="M591" s="12">
        <v>3</v>
      </c>
      <c r="N591" s="12">
        <v>101</v>
      </c>
      <c r="O591" s="13">
        <v>104</v>
      </c>
    </row>
    <row r="592" spans="1:15" x14ac:dyDescent="0.35">
      <c r="A592" s="10">
        <v>591</v>
      </c>
      <c r="B592" s="11">
        <v>40570</v>
      </c>
      <c r="C592" s="12" t="s">
        <v>4</v>
      </c>
      <c r="D592" s="12" t="str">
        <f t="shared" si="18"/>
        <v>January</v>
      </c>
      <c r="E592" s="12">
        <v>19</v>
      </c>
      <c r="F592" s="12" t="b">
        <v>0</v>
      </c>
      <c r="G592" s="12" t="str">
        <f t="shared" si="19"/>
        <v>Thursday</v>
      </c>
      <c r="H592" s="12" t="s">
        <v>0</v>
      </c>
      <c r="I592" s="18">
        <v>0.2</v>
      </c>
      <c r="J592" s="19">
        <v>0.2273</v>
      </c>
      <c r="K592" s="18">
        <v>0.69</v>
      </c>
      <c r="L592" s="12">
        <v>8.9599999999999999E-2</v>
      </c>
      <c r="M592" s="12">
        <v>3</v>
      </c>
      <c r="N592" s="12">
        <v>76</v>
      </c>
      <c r="O592" s="13">
        <v>79</v>
      </c>
    </row>
    <row r="593" spans="1:15" x14ac:dyDescent="0.35">
      <c r="A593" s="10">
        <v>592</v>
      </c>
      <c r="B593" s="11">
        <v>40570</v>
      </c>
      <c r="C593" s="12" t="s">
        <v>4</v>
      </c>
      <c r="D593" s="12" t="str">
        <f t="shared" si="18"/>
        <v>January</v>
      </c>
      <c r="E593" s="12">
        <v>20</v>
      </c>
      <c r="F593" s="12" t="b">
        <v>0</v>
      </c>
      <c r="G593" s="12" t="str">
        <f t="shared" si="19"/>
        <v>Thursday</v>
      </c>
      <c r="H593" s="12" t="s">
        <v>0</v>
      </c>
      <c r="I593" s="18">
        <v>0.18</v>
      </c>
      <c r="J593" s="19">
        <v>0.21210000000000001</v>
      </c>
      <c r="K593" s="18">
        <v>0.74</v>
      </c>
      <c r="L593" s="12">
        <v>8.9599999999999999E-2</v>
      </c>
      <c r="M593" s="12">
        <v>4</v>
      </c>
      <c r="N593" s="12">
        <v>55</v>
      </c>
      <c r="O593" s="13">
        <v>59</v>
      </c>
    </row>
    <row r="594" spans="1:15" x14ac:dyDescent="0.35">
      <c r="A594" s="10">
        <v>593</v>
      </c>
      <c r="B594" s="11">
        <v>40570</v>
      </c>
      <c r="C594" s="12" t="s">
        <v>4</v>
      </c>
      <c r="D594" s="12" t="str">
        <f t="shared" si="18"/>
        <v>January</v>
      </c>
      <c r="E594" s="12">
        <v>21</v>
      </c>
      <c r="F594" s="12" t="b">
        <v>0</v>
      </c>
      <c r="G594" s="12" t="str">
        <f t="shared" si="19"/>
        <v>Thursday</v>
      </c>
      <c r="H594" s="12" t="s">
        <v>0</v>
      </c>
      <c r="I594" s="18">
        <v>0.18</v>
      </c>
      <c r="J594" s="19">
        <v>0.21210000000000001</v>
      </c>
      <c r="K594" s="18">
        <v>0.74</v>
      </c>
      <c r="L594" s="12">
        <v>8.9599999999999999E-2</v>
      </c>
      <c r="M594" s="12">
        <v>2</v>
      </c>
      <c r="N594" s="12">
        <v>36</v>
      </c>
      <c r="O594" s="13">
        <v>38</v>
      </c>
    </row>
    <row r="595" spans="1:15" x14ac:dyDescent="0.35">
      <c r="A595" s="10">
        <v>594</v>
      </c>
      <c r="B595" s="11">
        <v>40570</v>
      </c>
      <c r="C595" s="12" t="s">
        <v>4</v>
      </c>
      <c r="D595" s="12" t="str">
        <f t="shared" si="18"/>
        <v>January</v>
      </c>
      <c r="E595" s="12">
        <v>22</v>
      </c>
      <c r="F595" s="12" t="b">
        <v>0</v>
      </c>
      <c r="G595" s="12" t="str">
        <f t="shared" si="19"/>
        <v>Thursday</v>
      </c>
      <c r="H595" s="12" t="s">
        <v>0</v>
      </c>
      <c r="I595" s="18">
        <v>0.18</v>
      </c>
      <c r="J595" s="19">
        <v>0.21210000000000001</v>
      </c>
      <c r="K595" s="18">
        <v>0.74</v>
      </c>
      <c r="L595" s="12">
        <v>8.9599999999999999E-2</v>
      </c>
      <c r="M595" s="12">
        <v>0</v>
      </c>
      <c r="N595" s="12">
        <v>27</v>
      </c>
      <c r="O595" s="13">
        <v>27</v>
      </c>
    </row>
    <row r="596" spans="1:15" x14ac:dyDescent="0.35">
      <c r="A596" s="10">
        <v>595</v>
      </c>
      <c r="B596" s="11">
        <v>40570</v>
      </c>
      <c r="C596" s="12" t="s">
        <v>4</v>
      </c>
      <c r="D596" s="12" t="str">
        <f t="shared" si="18"/>
        <v>January</v>
      </c>
      <c r="E596" s="12">
        <v>23</v>
      </c>
      <c r="F596" s="12" t="b">
        <v>0</v>
      </c>
      <c r="G596" s="12" t="str">
        <f t="shared" si="19"/>
        <v>Thursday</v>
      </c>
      <c r="H596" s="12" t="s">
        <v>0</v>
      </c>
      <c r="I596" s="18">
        <v>0.18</v>
      </c>
      <c r="J596" s="19">
        <v>0.19700000000000001</v>
      </c>
      <c r="K596" s="18">
        <v>0.8</v>
      </c>
      <c r="L596" s="12">
        <v>0.16420000000000001</v>
      </c>
      <c r="M596" s="12">
        <v>0</v>
      </c>
      <c r="N596" s="12">
        <v>16</v>
      </c>
      <c r="O596" s="13">
        <v>16</v>
      </c>
    </row>
    <row r="597" spans="1:15" x14ac:dyDescent="0.35">
      <c r="A597" s="10">
        <v>596</v>
      </c>
      <c r="B597" s="11">
        <v>40571</v>
      </c>
      <c r="C597" s="12" t="s">
        <v>4</v>
      </c>
      <c r="D597" s="12" t="str">
        <f t="shared" si="18"/>
        <v>January</v>
      </c>
      <c r="E597" s="12">
        <v>0</v>
      </c>
      <c r="F597" s="12" t="b">
        <v>0</v>
      </c>
      <c r="G597" s="12" t="str">
        <f t="shared" si="19"/>
        <v>Friday</v>
      </c>
      <c r="H597" s="12" t="s">
        <v>1</v>
      </c>
      <c r="I597" s="18">
        <v>0.2</v>
      </c>
      <c r="J597" s="19">
        <v>0.21210000000000001</v>
      </c>
      <c r="K597" s="18">
        <v>0.75</v>
      </c>
      <c r="L597" s="12">
        <v>0.1343</v>
      </c>
      <c r="M597" s="12">
        <v>0</v>
      </c>
      <c r="N597" s="12">
        <v>9</v>
      </c>
      <c r="O597" s="13">
        <v>9</v>
      </c>
    </row>
    <row r="598" spans="1:15" x14ac:dyDescent="0.35">
      <c r="A598" s="10">
        <v>597</v>
      </c>
      <c r="B598" s="11">
        <v>40571</v>
      </c>
      <c r="C598" s="12" t="s">
        <v>4</v>
      </c>
      <c r="D598" s="12" t="str">
        <f t="shared" si="18"/>
        <v>January</v>
      </c>
      <c r="E598" s="12">
        <v>1</v>
      </c>
      <c r="F598" s="12" t="b">
        <v>0</v>
      </c>
      <c r="G598" s="12" t="str">
        <f t="shared" si="19"/>
        <v>Friday</v>
      </c>
      <c r="H598" s="12" t="s">
        <v>1</v>
      </c>
      <c r="I598" s="18">
        <v>0.2</v>
      </c>
      <c r="J598" s="19">
        <v>0.21210000000000001</v>
      </c>
      <c r="K598" s="18">
        <v>0.75</v>
      </c>
      <c r="L598" s="12">
        <v>0.1343</v>
      </c>
      <c r="M598" s="12">
        <v>1</v>
      </c>
      <c r="N598" s="12">
        <v>2</v>
      </c>
      <c r="O598" s="13">
        <v>3</v>
      </c>
    </row>
    <row r="599" spans="1:15" x14ac:dyDescent="0.35">
      <c r="A599" s="10">
        <v>598</v>
      </c>
      <c r="B599" s="11">
        <v>40571</v>
      </c>
      <c r="C599" s="12" t="s">
        <v>4</v>
      </c>
      <c r="D599" s="12" t="str">
        <f t="shared" si="18"/>
        <v>January</v>
      </c>
      <c r="E599" s="12">
        <v>2</v>
      </c>
      <c r="F599" s="12" t="b">
        <v>0</v>
      </c>
      <c r="G599" s="12" t="str">
        <f t="shared" si="19"/>
        <v>Friday</v>
      </c>
      <c r="H599" s="12" t="s">
        <v>1</v>
      </c>
      <c r="I599" s="18">
        <v>0.2</v>
      </c>
      <c r="J599" s="19">
        <v>0.21210000000000001</v>
      </c>
      <c r="K599" s="18">
        <v>0.75</v>
      </c>
      <c r="L599" s="12">
        <v>0.16420000000000001</v>
      </c>
      <c r="M599" s="12">
        <v>0</v>
      </c>
      <c r="N599" s="12">
        <v>2</v>
      </c>
      <c r="O599" s="13">
        <v>2</v>
      </c>
    </row>
    <row r="600" spans="1:15" x14ac:dyDescent="0.35">
      <c r="A600" s="10">
        <v>599</v>
      </c>
      <c r="B600" s="11">
        <v>40571</v>
      </c>
      <c r="C600" s="12" t="s">
        <v>4</v>
      </c>
      <c r="D600" s="12" t="str">
        <f t="shared" si="18"/>
        <v>January</v>
      </c>
      <c r="E600" s="12">
        <v>3</v>
      </c>
      <c r="F600" s="12" t="b">
        <v>0</v>
      </c>
      <c r="G600" s="12" t="str">
        <f t="shared" si="19"/>
        <v>Friday</v>
      </c>
      <c r="H600" s="12" t="s">
        <v>1</v>
      </c>
      <c r="I600" s="18">
        <v>0.2</v>
      </c>
      <c r="J600" s="19">
        <v>0.2273</v>
      </c>
      <c r="K600" s="18">
        <v>0.75</v>
      </c>
      <c r="L600" s="12">
        <v>0.1045</v>
      </c>
      <c r="M600" s="12">
        <v>1</v>
      </c>
      <c r="N600" s="12">
        <v>0</v>
      </c>
      <c r="O600" s="13">
        <v>1</v>
      </c>
    </row>
    <row r="601" spans="1:15" x14ac:dyDescent="0.35">
      <c r="A601" s="10">
        <v>600</v>
      </c>
      <c r="B601" s="11">
        <v>40571</v>
      </c>
      <c r="C601" s="12" t="s">
        <v>4</v>
      </c>
      <c r="D601" s="12" t="str">
        <f t="shared" si="18"/>
        <v>January</v>
      </c>
      <c r="E601" s="12">
        <v>5</v>
      </c>
      <c r="F601" s="12" t="b">
        <v>0</v>
      </c>
      <c r="G601" s="12" t="str">
        <f t="shared" si="19"/>
        <v>Friday</v>
      </c>
      <c r="H601" s="12" t="s">
        <v>1</v>
      </c>
      <c r="I601" s="18">
        <v>0.18</v>
      </c>
      <c r="J601" s="19">
        <v>0.21210000000000001</v>
      </c>
      <c r="K601" s="18">
        <v>0.8</v>
      </c>
      <c r="L601" s="12">
        <v>0.1045</v>
      </c>
      <c r="M601" s="12">
        <v>0</v>
      </c>
      <c r="N601" s="12">
        <v>4</v>
      </c>
      <c r="O601" s="13">
        <v>4</v>
      </c>
    </row>
    <row r="602" spans="1:15" x14ac:dyDescent="0.35">
      <c r="A602" s="10">
        <v>601</v>
      </c>
      <c r="B602" s="11">
        <v>40571</v>
      </c>
      <c r="C602" s="12" t="s">
        <v>4</v>
      </c>
      <c r="D602" s="12" t="str">
        <f t="shared" si="18"/>
        <v>January</v>
      </c>
      <c r="E602" s="12">
        <v>6</v>
      </c>
      <c r="F602" s="12" t="b">
        <v>0</v>
      </c>
      <c r="G602" s="12" t="str">
        <f t="shared" si="19"/>
        <v>Friday</v>
      </c>
      <c r="H602" s="12" t="s">
        <v>1</v>
      </c>
      <c r="I602" s="18">
        <v>0.18</v>
      </c>
      <c r="J602" s="19">
        <v>0.19700000000000001</v>
      </c>
      <c r="K602" s="18">
        <v>0.8</v>
      </c>
      <c r="L602" s="12">
        <v>0.1343</v>
      </c>
      <c r="M602" s="12">
        <v>0</v>
      </c>
      <c r="N602" s="12">
        <v>16</v>
      </c>
      <c r="O602" s="13">
        <v>16</v>
      </c>
    </row>
    <row r="603" spans="1:15" x14ac:dyDescent="0.35">
      <c r="A603" s="10">
        <v>602</v>
      </c>
      <c r="B603" s="11">
        <v>40571</v>
      </c>
      <c r="C603" s="12" t="s">
        <v>4</v>
      </c>
      <c r="D603" s="12" t="str">
        <f t="shared" si="18"/>
        <v>January</v>
      </c>
      <c r="E603" s="12">
        <v>7</v>
      </c>
      <c r="F603" s="12" t="b">
        <v>0</v>
      </c>
      <c r="G603" s="12" t="str">
        <f t="shared" si="19"/>
        <v>Friday</v>
      </c>
      <c r="H603" s="12" t="s">
        <v>1</v>
      </c>
      <c r="I603" s="18">
        <v>0.16</v>
      </c>
      <c r="J603" s="19">
        <v>0.19700000000000001</v>
      </c>
      <c r="K603" s="18">
        <v>0.86</v>
      </c>
      <c r="L603" s="12">
        <v>8.9599999999999999E-2</v>
      </c>
      <c r="M603" s="12">
        <v>2</v>
      </c>
      <c r="N603" s="12">
        <v>58</v>
      </c>
      <c r="O603" s="13">
        <v>60</v>
      </c>
    </row>
    <row r="604" spans="1:15" x14ac:dyDescent="0.35">
      <c r="A604" s="10">
        <v>603</v>
      </c>
      <c r="B604" s="11">
        <v>40571</v>
      </c>
      <c r="C604" s="12" t="s">
        <v>4</v>
      </c>
      <c r="D604" s="12" t="str">
        <f t="shared" si="18"/>
        <v>January</v>
      </c>
      <c r="E604" s="12">
        <v>8</v>
      </c>
      <c r="F604" s="12" t="b">
        <v>0</v>
      </c>
      <c r="G604" s="12" t="str">
        <f t="shared" si="19"/>
        <v>Friday</v>
      </c>
      <c r="H604" s="12" t="s">
        <v>1</v>
      </c>
      <c r="I604" s="18">
        <v>0.16</v>
      </c>
      <c r="J604" s="19">
        <v>0.19700000000000001</v>
      </c>
      <c r="K604" s="18">
        <v>0.86</v>
      </c>
      <c r="L604" s="12">
        <v>8.9599999999999999E-2</v>
      </c>
      <c r="M604" s="12">
        <v>2</v>
      </c>
      <c r="N604" s="12">
        <v>155</v>
      </c>
      <c r="O604" s="13">
        <v>157</v>
      </c>
    </row>
    <row r="605" spans="1:15" x14ac:dyDescent="0.35">
      <c r="A605" s="10">
        <v>604</v>
      </c>
      <c r="B605" s="11">
        <v>40571</v>
      </c>
      <c r="C605" s="12" t="s">
        <v>4</v>
      </c>
      <c r="D605" s="12" t="str">
        <f t="shared" si="18"/>
        <v>January</v>
      </c>
      <c r="E605" s="12">
        <v>9</v>
      </c>
      <c r="F605" s="12" t="b">
        <v>0</v>
      </c>
      <c r="G605" s="12" t="str">
        <f t="shared" si="19"/>
        <v>Friday</v>
      </c>
      <c r="H605" s="12" t="s">
        <v>2</v>
      </c>
      <c r="I605" s="18">
        <v>0.18</v>
      </c>
      <c r="J605" s="19">
        <v>0.21210000000000001</v>
      </c>
      <c r="K605" s="18">
        <v>0.86</v>
      </c>
      <c r="L605" s="12">
        <v>8.9599999999999999E-2</v>
      </c>
      <c r="M605" s="12">
        <v>6</v>
      </c>
      <c r="N605" s="12">
        <v>95</v>
      </c>
      <c r="O605" s="13">
        <v>101</v>
      </c>
    </row>
    <row r="606" spans="1:15" x14ac:dyDescent="0.35">
      <c r="A606" s="10">
        <v>605</v>
      </c>
      <c r="B606" s="11">
        <v>40571</v>
      </c>
      <c r="C606" s="12" t="s">
        <v>4</v>
      </c>
      <c r="D606" s="12" t="str">
        <f t="shared" si="18"/>
        <v>January</v>
      </c>
      <c r="E606" s="12">
        <v>10</v>
      </c>
      <c r="F606" s="12" t="b">
        <v>0</v>
      </c>
      <c r="G606" s="12" t="str">
        <f t="shared" si="19"/>
        <v>Friday</v>
      </c>
      <c r="H606" s="12" t="s">
        <v>2</v>
      </c>
      <c r="I606" s="18">
        <v>0.18</v>
      </c>
      <c r="J606" s="19">
        <v>0.21210000000000001</v>
      </c>
      <c r="K606" s="18">
        <v>0.86</v>
      </c>
      <c r="L606" s="12">
        <v>0.1045</v>
      </c>
      <c r="M606" s="12">
        <v>0</v>
      </c>
      <c r="N606" s="12">
        <v>49</v>
      </c>
      <c r="O606" s="13">
        <v>49</v>
      </c>
    </row>
    <row r="607" spans="1:15" x14ac:dyDescent="0.35">
      <c r="A607" s="10">
        <v>606</v>
      </c>
      <c r="B607" s="11">
        <v>40571</v>
      </c>
      <c r="C607" s="12" t="s">
        <v>4</v>
      </c>
      <c r="D607" s="12" t="str">
        <f t="shared" si="18"/>
        <v>January</v>
      </c>
      <c r="E607" s="12">
        <v>11</v>
      </c>
      <c r="F607" s="12" t="b">
        <v>0</v>
      </c>
      <c r="G607" s="12" t="str">
        <f t="shared" si="19"/>
        <v>Friday</v>
      </c>
      <c r="H607" s="12" t="s">
        <v>2</v>
      </c>
      <c r="I607" s="18">
        <v>0.18</v>
      </c>
      <c r="J607" s="19">
        <v>0.21210000000000001</v>
      </c>
      <c r="K607" s="18">
        <v>0.93</v>
      </c>
      <c r="L607" s="12">
        <v>0.1045</v>
      </c>
      <c r="M607" s="12">
        <v>0</v>
      </c>
      <c r="N607" s="12">
        <v>30</v>
      </c>
      <c r="O607" s="13">
        <v>30</v>
      </c>
    </row>
    <row r="608" spans="1:15" x14ac:dyDescent="0.35">
      <c r="A608" s="10">
        <v>607</v>
      </c>
      <c r="B608" s="11">
        <v>40571</v>
      </c>
      <c r="C608" s="12" t="s">
        <v>4</v>
      </c>
      <c r="D608" s="12" t="str">
        <f t="shared" si="18"/>
        <v>January</v>
      </c>
      <c r="E608" s="12">
        <v>12</v>
      </c>
      <c r="F608" s="12" t="b">
        <v>0</v>
      </c>
      <c r="G608" s="12" t="str">
        <f t="shared" si="19"/>
        <v>Friday</v>
      </c>
      <c r="H608" s="12" t="s">
        <v>2</v>
      </c>
      <c r="I608" s="18">
        <v>0.18</v>
      </c>
      <c r="J608" s="19">
        <v>0.21210000000000001</v>
      </c>
      <c r="K608" s="18">
        <v>0.93</v>
      </c>
      <c r="L608" s="12">
        <v>0.1045</v>
      </c>
      <c r="M608" s="12">
        <v>1</v>
      </c>
      <c r="N608" s="12">
        <v>28</v>
      </c>
      <c r="O608" s="13">
        <v>29</v>
      </c>
    </row>
    <row r="609" spans="1:15" x14ac:dyDescent="0.35">
      <c r="A609" s="10">
        <v>608</v>
      </c>
      <c r="B609" s="11">
        <v>40571</v>
      </c>
      <c r="C609" s="12" t="s">
        <v>4</v>
      </c>
      <c r="D609" s="12" t="str">
        <f t="shared" si="18"/>
        <v>January</v>
      </c>
      <c r="E609" s="12">
        <v>13</v>
      </c>
      <c r="F609" s="12" t="b">
        <v>0</v>
      </c>
      <c r="G609" s="12" t="str">
        <f t="shared" si="19"/>
        <v>Friday</v>
      </c>
      <c r="H609" s="12" t="s">
        <v>2</v>
      </c>
      <c r="I609" s="18">
        <v>0.18</v>
      </c>
      <c r="J609" s="19">
        <v>0.21210000000000001</v>
      </c>
      <c r="K609" s="18">
        <v>0.93</v>
      </c>
      <c r="L609" s="12">
        <v>0.1045</v>
      </c>
      <c r="M609" s="12">
        <v>0</v>
      </c>
      <c r="N609" s="12">
        <v>31</v>
      </c>
      <c r="O609" s="13">
        <v>31</v>
      </c>
    </row>
    <row r="610" spans="1:15" x14ac:dyDescent="0.35">
      <c r="A610" s="10">
        <v>609</v>
      </c>
      <c r="B610" s="11">
        <v>40571</v>
      </c>
      <c r="C610" s="12" t="s">
        <v>4</v>
      </c>
      <c r="D610" s="12" t="str">
        <f t="shared" si="18"/>
        <v>January</v>
      </c>
      <c r="E610" s="12">
        <v>14</v>
      </c>
      <c r="F610" s="12" t="b">
        <v>0</v>
      </c>
      <c r="G610" s="12" t="str">
        <f t="shared" si="19"/>
        <v>Friday</v>
      </c>
      <c r="H610" s="12" t="s">
        <v>2</v>
      </c>
      <c r="I610" s="18">
        <v>0.22</v>
      </c>
      <c r="J610" s="19">
        <v>0.2727</v>
      </c>
      <c r="K610" s="18">
        <v>0.8</v>
      </c>
      <c r="L610" s="12">
        <v>0</v>
      </c>
      <c r="M610" s="12">
        <v>2</v>
      </c>
      <c r="N610" s="12">
        <v>36</v>
      </c>
      <c r="O610" s="13">
        <v>38</v>
      </c>
    </row>
    <row r="611" spans="1:15" x14ac:dyDescent="0.35">
      <c r="A611" s="14">
        <v>610</v>
      </c>
      <c r="B611" s="15">
        <v>40571</v>
      </c>
      <c r="C611" s="16" t="s">
        <v>4</v>
      </c>
      <c r="D611" s="16" t="str">
        <f t="shared" si="18"/>
        <v>January</v>
      </c>
      <c r="E611" s="16">
        <v>15</v>
      </c>
      <c r="F611" s="16" t="b">
        <v>0</v>
      </c>
      <c r="G611" s="16" t="str">
        <f t="shared" si="19"/>
        <v>Friday</v>
      </c>
      <c r="H611" s="16" t="s">
        <v>1</v>
      </c>
      <c r="I611" s="20">
        <v>0.2</v>
      </c>
      <c r="J611" s="21">
        <v>0.2576</v>
      </c>
      <c r="K611" s="20">
        <v>0.86</v>
      </c>
      <c r="L611" s="16">
        <v>0</v>
      </c>
      <c r="M611" s="16">
        <v>1</v>
      </c>
      <c r="N611" s="16">
        <v>40</v>
      </c>
      <c r="O611" s="17">
        <v>41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36B9C-5A1D-43A6-A399-64C29F3B1FE9}">
  <dimension ref="A1:U611"/>
  <sheetViews>
    <sheetView workbookViewId="0">
      <pane ySplit="1" topLeftCell="A2" activePane="bottomLeft" state="frozen"/>
      <selection pane="bottomLeft" activeCell="K1" sqref="K1"/>
    </sheetView>
  </sheetViews>
  <sheetFormatPr defaultRowHeight="14.5" x14ac:dyDescent="0.35"/>
  <cols>
    <col min="1" max="1" width="11.453125" bestFit="1" customWidth="1"/>
    <col min="2" max="2" width="12.1796875" style="1" customWidth="1"/>
    <col min="3" max="3" width="13.1796875" bestFit="1" customWidth="1"/>
    <col min="4" max="4" width="11.54296875" bestFit="1" customWidth="1"/>
    <col min="5" max="5" width="8.26953125" bestFit="1" customWidth="1"/>
    <col min="6" max="6" width="10.81640625" bestFit="1" customWidth="1"/>
    <col min="7" max="7" width="14.1796875" bestFit="1" customWidth="1"/>
    <col min="8" max="8" width="13.54296875" bestFit="1" customWidth="1"/>
    <col min="9" max="9" width="17" bestFit="1" customWidth="1"/>
    <col min="10" max="10" width="17.7265625" bestFit="1" customWidth="1"/>
    <col min="11" max="11" width="14.7265625" bestFit="1" customWidth="1"/>
    <col min="12" max="12" width="18.453125" bestFit="1" customWidth="1"/>
    <col min="13" max="13" width="17" customWidth="1"/>
    <col min="16" max="16" width="10.81640625" bestFit="1" customWidth="1"/>
    <col min="17" max="17" width="13.7265625" bestFit="1" customWidth="1"/>
    <col min="20" max="20" width="10.81640625" hidden="1" customWidth="1"/>
    <col min="21" max="21" width="13.7265625" hidden="1" customWidth="1"/>
  </cols>
  <sheetData>
    <row r="1" spans="1:21" x14ac:dyDescent="0.35">
      <c r="A1" s="6" t="s">
        <v>7</v>
      </c>
      <c r="B1" s="7" t="s">
        <v>5</v>
      </c>
      <c r="C1" s="8" t="s">
        <v>11</v>
      </c>
      <c r="D1" s="8" t="s">
        <v>10</v>
      </c>
      <c r="E1" s="8" t="s">
        <v>18</v>
      </c>
      <c r="F1" s="8" t="s">
        <v>16</v>
      </c>
      <c r="G1" s="8" t="s">
        <v>17</v>
      </c>
      <c r="H1" s="8" t="s">
        <v>20</v>
      </c>
      <c r="I1" s="8" t="s">
        <v>21</v>
      </c>
      <c r="J1" s="8" t="s">
        <v>22</v>
      </c>
      <c r="K1" s="8" t="s">
        <v>12</v>
      </c>
      <c r="L1" s="9" t="s">
        <v>23</v>
      </c>
      <c r="T1" t="s">
        <v>12</v>
      </c>
      <c r="U1" t="s">
        <v>23</v>
      </c>
    </row>
    <row r="2" spans="1:21" x14ac:dyDescent="0.35">
      <c r="A2" s="10">
        <v>1</v>
      </c>
      <c r="B2" s="11">
        <f>INDEX('Combined_Data'!B:B, MATCH(Derived_Data!A2, 'Combined_Data'!A:A, 0))</f>
        <v>40544</v>
      </c>
      <c r="C2" s="12" t="str">
        <f>INDEX('Combined_Data'!G:G, MATCH(A2, 'Combined_Data'!A:A, 0))</f>
        <v>Saturday</v>
      </c>
      <c r="D2" s="12" t="b">
        <f>INDEX('Combined_Data'!F:F, MATCH(A2, 'Combined_Data'!A:A, 0))</f>
        <v>0</v>
      </c>
      <c r="E2" s="12">
        <f>INDEX('Combined_Data'!O:O, MATCH(A2, 'Combined_Data'!A:A, 0))</f>
        <v>16</v>
      </c>
      <c r="F2" s="12">
        <f>INDEX('Combined_Data'!M:M, MATCH(A2, 'Combined_Data'!A:A, 0))</f>
        <v>3</v>
      </c>
      <c r="G2" s="12">
        <f>INDEX('Combined_Data'!N:N, MATCH(A2, 'Combined_Data'!A:A, 0))</f>
        <v>13</v>
      </c>
      <c r="H2" s="12" t="str">
        <f>IF(OR(TRIM(C2)="Saturday",TRIM(C2)="Sunday"),"Weekend","Weekday")</f>
        <v>Weekend</v>
      </c>
      <c r="I2" s="12" t="str">
        <f>IF(D2=TRUE,"Holiday","Working Day")</f>
        <v>Working Day</v>
      </c>
      <c r="J2" s="12" t="str">
        <f>IF(E2&lt;100,"Low",IF(E2&lt;=150,"Medium","High"))</f>
        <v>Low</v>
      </c>
      <c r="K2" s="12" t="str">
        <f>INDEX('Combined_Data'!H:H, MATCH(A2, 'Combined_Data'!A:A, 0))</f>
        <v>Clear</v>
      </c>
      <c r="L2" s="13">
        <f>VLOOKUP(TRIM(K2), $T$2:$U$5, 2, FALSE)</f>
        <v>1</v>
      </c>
      <c r="T2" t="s">
        <v>0</v>
      </c>
      <c r="U2">
        <v>1</v>
      </c>
    </row>
    <row r="3" spans="1:21" x14ac:dyDescent="0.35">
      <c r="A3" s="10">
        <v>2</v>
      </c>
      <c r="B3" s="11">
        <f>INDEX('Combined_Data'!B:B, MATCH(Derived_Data!A3, 'Combined_Data'!A:A, 0))</f>
        <v>40544</v>
      </c>
      <c r="C3" s="12" t="str">
        <f>INDEX('Combined_Data'!G:G, MATCH(A3, 'Combined_Data'!A:A, 0))</f>
        <v>Saturday</v>
      </c>
      <c r="D3" s="12" t="b">
        <f>INDEX('Combined_Data'!F:F, MATCH(A3, 'Combined_Data'!A:A, 0))</f>
        <v>0</v>
      </c>
      <c r="E3" s="12">
        <f>INDEX('Combined_Data'!O:O, MATCH(A3, 'Combined_Data'!A:A, 0))</f>
        <v>40</v>
      </c>
      <c r="F3" s="12">
        <f>INDEX('Combined_Data'!M:M, MATCH(A3, 'Combined_Data'!A:A, 0))</f>
        <v>8</v>
      </c>
      <c r="G3" s="12">
        <f>INDEX('Combined_Data'!N:N, MATCH(A3, 'Combined_Data'!A:A, 0))</f>
        <v>32</v>
      </c>
      <c r="H3" s="12" t="str">
        <f t="shared" ref="H3:H66" si="0">IF(OR(TRIM(C3)="Saturday",TRIM(C3)="Sunday"),"Weekend","Weekday")</f>
        <v>Weekend</v>
      </c>
      <c r="I3" s="12" t="str">
        <f t="shared" ref="I3:I66" si="1">IF(D3=TRUE,"Holiday","Working Day")</f>
        <v>Working Day</v>
      </c>
      <c r="J3" s="12" t="str">
        <f t="shared" ref="J3:J66" si="2">IF(E3&lt;100,"Low",IF(E3&lt;=150,"Medium","High"))</f>
        <v>Low</v>
      </c>
      <c r="K3" s="12" t="str">
        <f>INDEX('Combined_Data'!H:H, MATCH(A3, 'Combined_Data'!A:A, 0))</f>
        <v>Clear</v>
      </c>
      <c r="L3" s="13">
        <f t="shared" ref="L3:L66" si="3">VLOOKUP(TRIM(K3), $T$2:$U$5, 2, FALSE)</f>
        <v>1</v>
      </c>
      <c r="T3" t="s">
        <v>1</v>
      </c>
      <c r="U3">
        <v>2</v>
      </c>
    </row>
    <row r="4" spans="1:21" x14ac:dyDescent="0.35">
      <c r="A4" s="10">
        <v>3</v>
      </c>
      <c r="B4" s="11">
        <f>INDEX('Combined_Data'!B:B, MATCH(Derived_Data!A4, 'Combined_Data'!A:A, 0))</f>
        <v>40544</v>
      </c>
      <c r="C4" s="12" t="str">
        <f>INDEX('Combined_Data'!G:G, MATCH(A4, 'Combined_Data'!A:A, 0))</f>
        <v>Saturday</v>
      </c>
      <c r="D4" s="12" t="b">
        <f>INDEX('Combined_Data'!F:F, MATCH(A4, 'Combined_Data'!A:A, 0))</f>
        <v>0</v>
      </c>
      <c r="E4" s="12">
        <f>INDEX('Combined_Data'!O:O, MATCH(A4, 'Combined_Data'!A:A, 0))</f>
        <v>32</v>
      </c>
      <c r="F4" s="12">
        <f>INDEX('Combined_Data'!M:M, MATCH(A4, 'Combined_Data'!A:A, 0))</f>
        <v>5</v>
      </c>
      <c r="G4" s="12">
        <f>INDEX('Combined_Data'!N:N, MATCH(A4, 'Combined_Data'!A:A, 0))</f>
        <v>27</v>
      </c>
      <c r="H4" s="12" t="str">
        <f t="shared" si="0"/>
        <v>Weekend</v>
      </c>
      <c r="I4" s="12" t="str">
        <f t="shared" si="1"/>
        <v>Working Day</v>
      </c>
      <c r="J4" s="12" t="str">
        <f t="shared" si="2"/>
        <v>Low</v>
      </c>
      <c r="K4" s="12" t="str">
        <f>INDEX('Combined_Data'!H:H, MATCH(A4, 'Combined_Data'!A:A, 0))</f>
        <v>Clear</v>
      </c>
      <c r="L4" s="13">
        <f t="shared" si="3"/>
        <v>1</v>
      </c>
      <c r="T4" t="s">
        <v>2</v>
      </c>
      <c r="U4">
        <v>3</v>
      </c>
    </row>
    <row r="5" spans="1:21" x14ac:dyDescent="0.35">
      <c r="A5" s="10">
        <v>4</v>
      </c>
      <c r="B5" s="11">
        <f>INDEX('Combined_Data'!B:B, MATCH(Derived_Data!A5, 'Combined_Data'!A:A, 0))</f>
        <v>40544</v>
      </c>
      <c r="C5" s="12" t="str">
        <f>INDEX('Combined_Data'!G:G, MATCH(A5, 'Combined_Data'!A:A, 0))</f>
        <v>Saturday</v>
      </c>
      <c r="D5" s="12" t="b">
        <f>INDEX('Combined_Data'!F:F, MATCH(A5, 'Combined_Data'!A:A, 0))</f>
        <v>0</v>
      </c>
      <c r="E5" s="12">
        <f>INDEX('Combined_Data'!O:O, MATCH(A5, 'Combined_Data'!A:A, 0))</f>
        <v>13</v>
      </c>
      <c r="F5" s="12">
        <f>INDEX('Combined_Data'!M:M, MATCH(A5, 'Combined_Data'!A:A, 0))</f>
        <v>3</v>
      </c>
      <c r="G5" s="12">
        <f>INDEX('Combined_Data'!N:N, MATCH(A5, 'Combined_Data'!A:A, 0))</f>
        <v>10</v>
      </c>
      <c r="H5" s="12" t="str">
        <f t="shared" si="0"/>
        <v>Weekend</v>
      </c>
      <c r="I5" s="12" t="str">
        <f t="shared" si="1"/>
        <v>Working Day</v>
      </c>
      <c r="J5" s="12" t="str">
        <f t="shared" si="2"/>
        <v>Low</v>
      </c>
      <c r="K5" s="12" t="str">
        <f>INDEX('Combined_Data'!H:H, MATCH(A5, 'Combined_Data'!A:A, 0))</f>
        <v>Clear</v>
      </c>
      <c r="L5" s="13">
        <f t="shared" si="3"/>
        <v>1</v>
      </c>
      <c r="T5" t="s">
        <v>3</v>
      </c>
      <c r="U5">
        <v>4</v>
      </c>
    </row>
    <row r="6" spans="1:21" x14ac:dyDescent="0.35">
      <c r="A6" s="10">
        <v>5</v>
      </c>
      <c r="B6" s="11">
        <f>INDEX('Combined_Data'!B:B, MATCH(Derived_Data!A6, 'Combined_Data'!A:A, 0))</f>
        <v>40544</v>
      </c>
      <c r="C6" s="12" t="str">
        <f>INDEX('Combined_Data'!G:G, MATCH(A6, 'Combined_Data'!A:A, 0))</f>
        <v>Saturday</v>
      </c>
      <c r="D6" s="12" t="b">
        <f>INDEX('Combined_Data'!F:F, MATCH(A6, 'Combined_Data'!A:A, 0))</f>
        <v>0</v>
      </c>
      <c r="E6" s="12">
        <f>INDEX('Combined_Data'!O:O, MATCH(A6, 'Combined_Data'!A:A, 0))</f>
        <v>1</v>
      </c>
      <c r="F6" s="12">
        <f>INDEX('Combined_Data'!M:M, MATCH(A6, 'Combined_Data'!A:A, 0))</f>
        <v>0</v>
      </c>
      <c r="G6" s="12">
        <f>INDEX('Combined_Data'!N:N, MATCH(A6, 'Combined_Data'!A:A, 0))</f>
        <v>1</v>
      </c>
      <c r="H6" s="12" t="str">
        <f t="shared" si="0"/>
        <v>Weekend</v>
      </c>
      <c r="I6" s="12" t="str">
        <f t="shared" si="1"/>
        <v>Working Day</v>
      </c>
      <c r="J6" s="12" t="str">
        <f t="shared" si="2"/>
        <v>Low</v>
      </c>
      <c r="K6" s="12" t="str">
        <f>INDEX('Combined_Data'!H:H, MATCH(A6, 'Combined_Data'!A:A, 0))</f>
        <v>Clear</v>
      </c>
      <c r="L6" s="13">
        <f t="shared" si="3"/>
        <v>1</v>
      </c>
    </row>
    <row r="7" spans="1:21" x14ac:dyDescent="0.35">
      <c r="A7" s="10">
        <v>6</v>
      </c>
      <c r="B7" s="11">
        <f>INDEX('Combined_Data'!B:B, MATCH(Derived_Data!A7, 'Combined_Data'!A:A, 0))</f>
        <v>40544</v>
      </c>
      <c r="C7" s="12" t="str">
        <f>INDEX('Combined_Data'!G:G, MATCH(A7, 'Combined_Data'!A:A, 0))</f>
        <v>Saturday</v>
      </c>
      <c r="D7" s="12" t="b">
        <f>INDEX('Combined_Data'!F:F, MATCH(A7, 'Combined_Data'!A:A, 0))</f>
        <v>0</v>
      </c>
      <c r="E7" s="12">
        <f>INDEX('Combined_Data'!O:O, MATCH(A7, 'Combined_Data'!A:A, 0))</f>
        <v>1</v>
      </c>
      <c r="F7" s="12">
        <f>INDEX('Combined_Data'!M:M, MATCH(A7, 'Combined_Data'!A:A, 0))</f>
        <v>0</v>
      </c>
      <c r="G7" s="12">
        <f>INDEX('Combined_Data'!N:N, MATCH(A7, 'Combined_Data'!A:A, 0))</f>
        <v>1</v>
      </c>
      <c r="H7" s="12" t="str">
        <f t="shared" si="0"/>
        <v>Weekend</v>
      </c>
      <c r="I7" s="12" t="str">
        <f t="shared" si="1"/>
        <v>Working Day</v>
      </c>
      <c r="J7" s="12" t="str">
        <f t="shared" si="2"/>
        <v>Low</v>
      </c>
      <c r="K7" s="12" t="str">
        <f>INDEX('Combined_Data'!H:H, MATCH(A7, 'Combined_Data'!A:A, 0))</f>
        <v>Mist</v>
      </c>
      <c r="L7" s="13">
        <f t="shared" si="3"/>
        <v>2</v>
      </c>
    </row>
    <row r="8" spans="1:21" x14ac:dyDescent="0.35">
      <c r="A8" s="10">
        <v>7</v>
      </c>
      <c r="B8" s="11">
        <f>INDEX('Combined_Data'!B:B, MATCH(Derived_Data!A8, 'Combined_Data'!A:A, 0))</f>
        <v>40544</v>
      </c>
      <c r="C8" s="12" t="str">
        <f>INDEX('Combined_Data'!G:G, MATCH(A8, 'Combined_Data'!A:A, 0))</f>
        <v>Saturday</v>
      </c>
      <c r="D8" s="12" t="b">
        <f>INDEX('Combined_Data'!F:F, MATCH(A8, 'Combined_Data'!A:A, 0))</f>
        <v>0</v>
      </c>
      <c r="E8" s="12">
        <f>INDEX('Combined_Data'!O:O, MATCH(A8, 'Combined_Data'!A:A, 0))</f>
        <v>2</v>
      </c>
      <c r="F8" s="12">
        <f>INDEX('Combined_Data'!M:M, MATCH(A8, 'Combined_Data'!A:A, 0))</f>
        <v>2</v>
      </c>
      <c r="G8" s="12">
        <f>INDEX('Combined_Data'!N:N, MATCH(A8, 'Combined_Data'!A:A, 0))</f>
        <v>0</v>
      </c>
      <c r="H8" s="12" t="str">
        <f t="shared" si="0"/>
        <v>Weekend</v>
      </c>
      <c r="I8" s="12" t="str">
        <f t="shared" si="1"/>
        <v>Working Day</v>
      </c>
      <c r="J8" s="12" t="str">
        <f t="shared" si="2"/>
        <v>Low</v>
      </c>
      <c r="K8" s="12" t="str">
        <f>INDEX('Combined_Data'!H:H, MATCH(A8, 'Combined_Data'!A:A, 0))</f>
        <v>Clear</v>
      </c>
      <c r="L8" s="13">
        <f t="shared" si="3"/>
        <v>1</v>
      </c>
    </row>
    <row r="9" spans="1:21" x14ac:dyDescent="0.35">
      <c r="A9" s="10">
        <v>8</v>
      </c>
      <c r="B9" s="11">
        <f>INDEX('Combined_Data'!B:B, MATCH(Derived_Data!A9, 'Combined_Data'!A:A, 0))</f>
        <v>40544</v>
      </c>
      <c r="C9" s="12" t="str">
        <f>INDEX('Combined_Data'!G:G, MATCH(A9, 'Combined_Data'!A:A, 0))</f>
        <v>Saturday</v>
      </c>
      <c r="D9" s="12" t="b">
        <f>INDEX('Combined_Data'!F:F, MATCH(A9, 'Combined_Data'!A:A, 0))</f>
        <v>0</v>
      </c>
      <c r="E9" s="12">
        <f>INDEX('Combined_Data'!O:O, MATCH(A9, 'Combined_Data'!A:A, 0))</f>
        <v>3</v>
      </c>
      <c r="F9" s="12">
        <f>INDEX('Combined_Data'!M:M, MATCH(A9, 'Combined_Data'!A:A, 0))</f>
        <v>1</v>
      </c>
      <c r="G9" s="12">
        <f>INDEX('Combined_Data'!N:N, MATCH(A9, 'Combined_Data'!A:A, 0))</f>
        <v>2</v>
      </c>
      <c r="H9" s="12" t="str">
        <f t="shared" si="0"/>
        <v>Weekend</v>
      </c>
      <c r="I9" s="12" t="str">
        <f t="shared" si="1"/>
        <v>Working Day</v>
      </c>
      <c r="J9" s="12" t="str">
        <f t="shared" si="2"/>
        <v>Low</v>
      </c>
      <c r="K9" s="12" t="str">
        <f>INDEX('Combined_Data'!H:H, MATCH(A9, 'Combined_Data'!A:A, 0))</f>
        <v>Clear</v>
      </c>
      <c r="L9" s="13">
        <f t="shared" si="3"/>
        <v>1</v>
      </c>
    </row>
    <row r="10" spans="1:21" x14ac:dyDescent="0.35">
      <c r="A10" s="10">
        <v>9</v>
      </c>
      <c r="B10" s="11">
        <f>INDEX('Combined_Data'!B:B, MATCH(Derived_Data!A10, 'Combined_Data'!A:A, 0))</f>
        <v>40544</v>
      </c>
      <c r="C10" s="12" t="str">
        <f>INDEX('Combined_Data'!G:G, MATCH(A10, 'Combined_Data'!A:A, 0))</f>
        <v>Saturday</v>
      </c>
      <c r="D10" s="12" t="b">
        <f>INDEX('Combined_Data'!F:F, MATCH(A10, 'Combined_Data'!A:A, 0))</f>
        <v>0</v>
      </c>
      <c r="E10" s="12">
        <f>INDEX('Combined_Data'!O:O, MATCH(A10, 'Combined_Data'!A:A, 0))</f>
        <v>8</v>
      </c>
      <c r="F10" s="12">
        <f>INDEX('Combined_Data'!M:M, MATCH(A10, 'Combined_Data'!A:A, 0))</f>
        <v>1</v>
      </c>
      <c r="G10" s="12">
        <f>INDEX('Combined_Data'!N:N, MATCH(A10, 'Combined_Data'!A:A, 0))</f>
        <v>7</v>
      </c>
      <c r="H10" s="12" t="str">
        <f t="shared" si="0"/>
        <v>Weekend</v>
      </c>
      <c r="I10" s="12" t="str">
        <f t="shared" si="1"/>
        <v>Working Day</v>
      </c>
      <c r="J10" s="12" t="str">
        <f t="shared" si="2"/>
        <v>Low</v>
      </c>
      <c r="K10" s="12" t="str">
        <f>INDEX('Combined_Data'!H:H, MATCH(A10, 'Combined_Data'!A:A, 0))</f>
        <v>Clear</v>
      </c>
      <c r="L10" s="13">
        <f t="shared" si="3"/>
        <v>1</v>
      </c>
    </row>
    <row r="11" spans="1:21" x14ac:dyDescent="0.35">
      <c r="A11" s="10">
        <v>10</v>
      </c>
      <c r="B11" s="11">
        <f>INDEX('Combined_Data'!B:B, MATCH(Derived_Data!A11, 'Combined_Data'!A:A, 0))</f>
        <v>40544</v>
      </c>
      <c r="C11" s="12" t="str">
        <f>INDEX('Combined_Data'!G:G, MATCH(A11, 'Combined_Data'!A:A, 0))</f>
        <v>Saturday</v>
      </c>
      <c r="D11" s="12" t="b">
        <f>INDEX('Combined_Data'!F:F, MATCH(A11, 'Combined_Data'!A:A, 0))</f>
        <v>0</v>
      </c>
      <c r="E11" s="12">
        <f>INDEX('Combined_Data'!O:O, MATCH(A11, 'Combined_Data'!A:A, 0))</f>
        <v>14</v>
      </c>
      <c r="F11" s="12">
        <f>INDEX('Combined_Data'!M:M, MATCH(A11, 'Combined_Data'!A:A, 0))</f>
        <v>8</v>
      </c>
      <c r="G11" s="12">
        <f>INDEX('Combined_Data'!N:N, MATCH(A11, 'Combined_Data'!A:A, 0))</f>
        <v>6</v>
      </c>
      <c r="H11" s="12" t="str">
        <f t="shared" si="0"/>
        <v>Weekend</v>
      </c>
      <c r="I11" s="12" t="str">
        <f t="shared" si="1"/>
        <v>Working Day</v>
      </c>
      <c r="J11" s="12" t="str">
        <f t="shared" si="2"/>
        <v>Low</v>
      </c>
      <c r="K11" s="12" t="str">
        <f>INDEX('Combined_Data'!H:H, MATCH(A11, 'Combined_Data'!A:A, 0))</f>
        <v>Clear</v>
      </c>
      <c r="L11" s="13">
        <f t="shared" si="3"/>
        <v>1</v>
      </c>
    </row>
    <row r="12" spans="1:21" x14ac:dyDescent="0.35">
      <c r="A12" s="10">
        <v>11</v>
      </c>
      <c r="B12" s="11">
        <f>INDEX('Combined_Data'!B:B, MATCH(Derived_Data!A12, 'Combined_Data'!A:A, 0))</f>
        <v>40544</v>
      </c>
      <c r="C12" s="12" t="str">
        <f>INDEX('Combined_Data'!G:G, MATCH(A12, 'Combined_Data'!A:A, 0))</f>
        <v>Saturday</v>
      </c>
      <c r="D12" s="12" t="b">
        <f>INDEX('Combined_Data'!F:F, MATCH(A12, 'Combined_Data'!A:A, 0))</f>
        <v>0</v>
      </c>
      <c r="E12" s="12">
        <f>INDEX('Combined_Data'!O:O, MATCH(A12, 'Combined_Data'!A:A, 0))</f>
        <v>36</v>
      </c>
      <c r="F12" s="12">
        <f>INDEX('Combined_Data'!M:M, MATCH(A12, 'Combined_Data'!A:A, 0))</f>
        <v>12</v>
      </c>
      <c r="G12" s="12">
        <f>INDEX('Combined_Data'!N:N, MATCH(A12, 'Combined_Data'!A:A, 0))</f>
        <v>24</v>
      </c>
      <c r="H12" s="12" t="str">
        <f t="shared" si="0"/>
        <v>Weekend</v>
      </c>
      <c r="I12" s="12" t="str">
        <f t="shared" si="1"/>
        <v>Working Day</v>
      </c>
      <c r="J12" s="12" t="str">
        <f t="shared" si="2"/>
        <v>Low</v>
      </c>
      <c r="K12" s="12" t="str">
        <f>INDEX('Combined_Data'!H:H, MATCH(A12, 'Combined_Data'!A:A, 0))</f>
        <v>Clear</v>
      </c>
      <c r="L12" s="13">
        <f t="shared" si="3"/>
        <v>1</v>
      </c>
    </row>
    <row r="13" spans="1:21" x14ac:dyDescent="0.35">
      <c r="A13" s="10">
        <v>12</v>
      </c>
      <c r="B13" s="11">
        <f>INDEX('Combined_Data'!B:B, MATCH(Derived_Data!A13, 'Combined_Data'!A:A, 0))</f>
        <v>40544</v>
      </c>
      <c r="C13" s="12" t="str">
        <f>INDEX('Combined_Data'!G:G, MATCH(A13, 'Combined_Data'!A:A, 0))</f>
        <v>Saturday</v>
      </c>
      <c r="D13" s="12" t="b">
        <f>INDEX('Combined_Data'!F:F, MATCH(A13, 'Combined_Data'!A:A, 0))</f>
        <v>0</v>
      </c>
      <c r="E13" s="12">
        <f>INDEX('Combined_Data'!O:O, MATCH(A13, 'Combined_Data'!A:A, 0))</f>
        <v>56</v>
      </c>
      <c r="F13" s="12">
        <f>INDEX('Combined_Data'!M:M, MATCH(A13, 'Combined_Data'!A:A, 0))</f>
        <v>26</v>
      </c>
      <c r="G13" s="12">
        <f>INDEX('Combined_Data'!N:N, MATCH(A13, 'Combined_Data'!A:A, 0))</f>
        <v>30</v>
      </c>
      <c r="H13" s="12" t="str">
        <f t="shared" si="0"/>
        <v>Weekend</v>
      </c>
      <c r="I13" s="12" t="str">
        <f t="shared" si="1"/>
        <v>Working Day</v>
      </c>
      <c r="J13" s="12" t="str">
        <f t="shared" si="2"/>
        <v>Low</v>
      </c>
      <c r="K13" s="12" t="str">
        <f>INDEX('Combined_Data'!H:H, MATCH(A13, 'Combined_Data'!A:A, 0))</f>
        <v>Clear</v>
      </c>
      <c r="L13" s="13">
        <f t="shared" si="3"/>
        <v>1</v>
      </c>
    </row>
    <row r="14" spans="1:21" x14ac:dyDescent="0.35">
      <c r="A14" s="10">
        <v>13</v>
      </c>
      <c r="B14" s="11">
        <f>INDEX('Combined_Data'!B:B, MATCH(Derived_Data!A14, 'Combined_Data'!A:A, 0))</f>
        <v>40544</v>
      </c>
      <c r="C14" s="12" t="str">
        <f>INDEX('Combined_Data'!G:G, MATCH(A14, 'Combined_Data'!A:A, 0))</f>
        <v>Saturday</v>
      </c>
      <c r="D14" s="12" t="b">
        <f>INDEX('Combined_Data'!F:F, MATCH(A14, 'Combined_Data'!A:A, 0))</f>
        <v>0</v>
      </c>
      <c r="E14" s="12">
        <f>INDEX('Combined_Data'!O:O, MATCH(A14, 'Combined_Data'!A:A, 0))</f>
        <v>84</v>
      </c>
      <c r="F14" s="12">
        <f>INDEX('Combined_Data'!M:M, MATCH(A14, 'Combined_Data'!A:A, 0))</f>
        <v>29</v>
      </c>
      <c r="G14" s="12">
        <f>INDEX('Combined_Data'!N:N, MATCH(A14, 'Combined_Data'!A:A, 0))</f>
        <v>55</v>
      </c>
      <c r="H14" s="12" t="str">
        <f t="shared" si="0"/>
        <v>Weekend</v>
      </c>
      <c r="I14" s="12" t="str">
        <f t="shared" si="1"/>
        <v>Working Day</v>
      </c>
      <c r="J14" s="12" t="str">
        <f t="shared" si="2"/>
        <v>Low</v>
      </c>
      <c r="K14" s="12" t="str">
        <f>INDEX('Combined_Data'!H:H, MATCH(A14, 'Combined_Data'!A:A, 0))</f>
        <v>Clear</v>
      </c>
      <c r="L14" s="13">
        <f t="shared" si="3"/>
        <v>1</v>
      </c>
    </row>
    <row r="15" spans="1:21" x14ac:dyDescent="0.35">
      <c r="A15" s="10">
        <v>14</v>
      </c>
      <c r="B15" s="11">
        <f>INDEX('Combined_Data'!B:B, MATCH(Derived_Data!A15, 'Combined_Data'!A:A, 0))</f>
        <v>40544</v>
      </c>
      <c r="C15" s="12" t="str">
        <f>INDEX('Combined_Data'!G:G, MATCH(A15, 'Combined_Data'!A:A, 0))</f>
        <v>Saturday</v>
      </c>
      <c r="D15" s="12" t="b">
        <f>INDEX('Combined_Data'!F:F, MATCH(A15, 'Combined_Data'!A:A, 0))</f>
        <v>0</v>
      </c>
      <c r="E15" s="12">
        <f>INDEX('Combined_Data'!O:O, MATCH(A15, 'Combined_Data'!A:A, 0))</f>
        <v>94</v>
      </c>
      <c r="F15" s="12">
        <f>INDEX('Combined_Data'!M:M, MATCH(A15, 'Combined_Data'!A:A, 0))</f>
        <v>47</v>
      </c>
      <c r="G15" s="12">
        <f>INDEX('Combined_Data'!N:N, MATCH(A15, 'Combined_Data'!A:A, 0))</f>
        <v>47</v>
      </c>
      <c r="H15" s="12" t="str">
        <f t="shared" si="0"/>
        <v>Weekend</v>
      </c>
      <c r="I15" s="12" t="str">
        <f t="shared" si="1"/>
        <v>Working Day</v>
      </c>
      <c r="J15" s="12" t="str">
        <f t="shared" si="2"/>
        <v>Low</v>
      </c>
      <c r="K15" s="12" t="str">
        <f>INDEX('Combined_Data'!H:H, MATCH(A15, 'Combined_Data'!A:A, 0))</f>
        <v>Mist</v>
      </c>
      <c r="L15" s="13">
        <f t="shared" si="3"/>
        <v>2</v>
      </c>
    </row>
    <row r="16" spans="1:21" x14ac:dyDescent="0.35">
      <c r="A16" s="10">
        <v>15</v>
      </c>
      <c r="B16" s="11">
        <f>INDEX('Combined_Data'!B:B, MATCH(Derived_Data!A16, 'Combined_Data'!A:A, 0))</f>
        <v>40544</v>
      </c>
      <c r="C16" s="12" t="str">
        <f>INDEX('Combined_Data'!G:G, MATCH(A16, 'Combined_Data'!A:A, 0))</f>
        <v>Saturday</v>
      </c>
      <c r="D16" s="12" t="b">
        <f>INDEX('Combined_Data'!F:F, MATCH(A16, 'Combined_Data'!A:A, 0))</f>
        <v>0</v>
      </c>
      <c r="E16" s="12">
        <f>INDEX('Combined_Data'!O:O, MATCH(A16, 'Combined_Data'!A:A, 0))</f>
        <v>106</v>
      </c>
      <c r="F16" s="12">
        <f>INDEX('Combined_Data'!M:M, MATCH(A16, 'Combined_Data'!A:A, 0))</f>
        <v>35</v>
      </c>
      <c r="G16" s="12">
        <f>INDEX('Combined_Data'!N:N, MATCH(A16, 'Combined_Data'!A:A, 0))</f>
        <v>71</v>
      </c>
      <c r="H16" s="12" t="str">
        <f t="shared" si="0"/>
        <v>Weekend</v>
      </c>
      <c r="I16" s="12" t="str">
        <f t="shared" si="1"/>
        <v>Working Day</v>
      </c>
      <c r="J16" s="12" t="str">
        <f t="shared" si="2"/>
        <v>Medium</v>
      </c>
      <c r="K16" s="12" t="str">
        <f>INDEX('Combined_Data'!H:H, MATCH(A16, 'Combined_Data'!A:A, 0))</f>
        <v>Mist</v>
      </c>
      <c r="L16" s="13">
        <f t="shared" si="3"/>
        <v>2</v>
      </c>
    </row>
    <row r="17" spans="1:12" x14ac:dyDescent="0.35">
      <c r="A17" s="10">
        <v>16</v>
      </c>
      <c r="B17" s="11">
        <f>INDEX('Combined_Data'!B:B, MATCH(Derived_Data!A17, 'Combined_Data'!A:A, 0))</f>
        <v>40544</v>
      </c>
      <c r="C17" s="12" t="str">
        <f>INDEX('Combined_Data'!G:G, MATCH(A17, 'Combined_Data'!A:A, 0))</f>
        <v>Saturday</v>
      </c>
      <c r="D17" s="12" t="b">
        <f>INDEX('Combined_Data'!F:F, MATCH(A17, 'Combined_Data'!A:A, 0))</f>
        <v>0</v>
      </c>
      <c r="E17" s="12">
        <f>INDEX('Combined_Data'!O:O, MATCH(A17, 'Combined_Data'!A:A, 0))</f>
        <v>110</v>
      </c>
      <c r="F17" s="12">
        <f>INDEX('Combined_Data'!M:M, MATCH(A17, 'Combined_Data'!A:A, 0))</f>
        <v>40</v>
      </c>
      <c r="G17" s="12">
        <f>INDEX('Combined_Data'!N:N, MATCH(A17, 'Combined_Data'!A:A, 0))</f>
        <v>70</v>
      </c>
      <c r="H17" s="12" t="str">
        <f t="shared" si="0"/>
        <v>Weekend</v>
      </c>
      <c r="I17" s="12" t="str">
        <f t="shared" si="1"/>
        <v>Working Day</v>
      </c>
      <c r="J17" s="12" t="str">
        <f t="shared" si="2"/>
        <v>Medium</v>
      </c>
      <c r="K17" s="12" t="str">
        <f>INDEX('Combined_Data'!H:H, MATCH(A17, 'Combined_Data'!A:A, 0))</f>
        <v>Mist</v>
      </c>
      <c r="L17" s="13">
        <f t="shared" si="3"/>
        <v>2</v>
      </c>
    </row>
    <row r="18" spans="1:12" x14ac:dyDescent="0.35">
      <c r="A18" s="10">
        <v>17</v>
      </c>
      <c r="B18" s="11">
        <f>INDEX('Combined_Data'!B:B, MATCH(Derived_Data!A18, 'Combined_Data'!A:A, 0))</f>
        <v>40544</v>
      </c>
      <c r="C18" s="12" t="str">
        <f>INDEX('Combined_Data'!G:G, MATCH(A18, 'Combined_Data'!A:A, 0))</f>
        <v>Saturday</v>
      </c>
      <c r="D18" s="12" t="b">
        <f>INDEX('Combined_Data'!F:F, MATCH(A18, 'Combined_Data'!A:A, 0))</f>
        <v>0</v>
      </c>
      <c r="E18" s="12">
        <f>INDEX('Combined_Data'!O:O, MATCH(A18, 'Combined_Data'!A:A, 0))</f>
        <v>93</v>
      </c>
      <c r="F18" s="12">
        <f>INDEX('Combined_Data'!M:M, MATCH(A18, 'Combined_Data'!A:A, 0))</f>
        <v>41</v>
      </c>
      <c r="G18" s="12">
        <f>INDEX('Combined_Data'!N:N, MATCH(A18, 'Combined_Data'!A:A, 0))</f>
        <v>52</v>
      </c>
      <c r="H18" s="12" t="str">
        <f t="shared" si="0"/>
        <v>Weekend</v>
      </c>
      <c r="I18" s="12" t="str">
        <f t="shared" si="1"/>
        <v>Working Day</v>
      </c>
      <c r="J18" s="12" t="str">
        <f t="shared" si="2"/>
        <v>Low</v>
      </c>
      <c r="K18" s="12" t="str">
        <f>INDEX('Combined_Data'!H:H, MATCH(A18, 'Combined_Data'!A:A, 0))</f>
        <v>Mist</v>
      </c>
      <c r="L18" s="13">
        <f t="shared" si="3"/>
        <v>2</v>
      </c>
    </row>
    <row r="19" spans="1:12" x14ac:dyDescent="0.35">
      <c r="A19" s="10">
        <v>18</v>
      </c>
      <c r="B19" s="11">
        <f>INDEX('Combined_Data'!B:B, MATCH(Derived_Data!A19, 'Combined_Data'!A:A, 0))</f>
        <v>40544</v>
      </c>
      <c r="C19" s="12" t="str">
        <f>INDEX('Combined_Data'!G:G, MATCH(A19, 'Combined_Data'!A:A, 0))</f>
        <v>Saturday</v>
      </c>
      <c r="D19" s="12" t="b">
        <f>INDEX('Combined_Data'!F:F, MATCH(A19, 'Combined_Data'!A:A, 0))</f>
        <v>0</v>
      </c>
      <c r="E19" s="12">
        <f>INDEX('Combined_Data'!O:O, MATCH(A19, 'Combined_Data'!A:A, 0))</f>
        <v>67</v>
      </c>
      <c r="F19" s="12">
        <f>INDEX('Combined_Data'!M:M, MATCH(A19, 'Combined_Data'!A:A, 0))</f>
        <v>15</v>
      </c>
      <c r="G19" s="12">
        <f>INDEX('Combined_Data'!N:N, MATCH(A19, 'Combined_Data'!A:A, 0))</f>
        <v>52</v>
      </c>
      <c r="H19" s="12" t="str">
        <f t="shared" si="0"/>
        <v>Weekend</v>
      </c>
      <c r="I19" s="12" t="str">
        <f t="shared" si="1"/>
        <v>Working Day</v>
      </c>
      <c r="J19" s="12" t="str">
        <f t="shared" si="2"/>
        <v>Low</v>
      </c>
      <c r="K19" s="12" t="str">
        <f>INDEX('Combined_Data'!H:H, MATCH(A19, 'Combined_Data'!A:A, 0))</f>
        <v>Mist</v>
      </c>
      <c r="L19" s="13">
        <f t="shared" si="3"/>
        <v>2</v>
      </c>
    </row>
    <row r="20" spans="1:12" x14ac:dyDescent="0.35">
      <c r="A20" s="10">
        <v>19</v>
      </c>
      <c r="B20" s="11">
        <f>INDEX('Combined_Data'!B:B, MATCH(Derived_Data!A20, 'Combined_Data'!A:A, 0))</f>
        <v>40544</v>
      </c>
      <c r="C20" s="12" t="str">
        <f>INDEX('Combined_Data'!G:G, MATCH(A20, 'Combined_Data'!A:A, 0))</f>
        <v>Saturday</v>
      </c>
      <c r="D20" s="12" t="b">
        <f>INDEX('Combined_Data'!F:F, MATCH(A20, 'Combined_Data'!A:A, 0))</f>
        <v>0</v>
      </c>
      <c r="E20" s="12">
        <f>INDEX('Combined_Data'!O:O, MATCH(A20, 'Combined_Data'!A:A, 0))</f>
        <v>35</v>
      </c>
      <c r="F20" s="12">
        <f>INDEX('Combined_Data'!M:M, MATCH(A20, 'Combined_Data'!A:A, 0))</f>
        <v>9</v>
      </c>
      <c r="G20" s="12">
        <f>INDEX('Combined_Data'!N:N, MATCH(A20, 'Combined_Data'!A:A, 0))</f>
        <v>26</v>
      </c>
      <c r="H20" s="12" t="str">
        <f t="shared" si="0"/>
        <v>Weekend</v>
      </c>
      <c r="I20" s="12" t="str">
        <f t="shared" si="1"/>
        <v>Working Day</v>
      </c>
      <c r="J20" s="12" t="str">
        <f t="shared" si="2"/>
        <v>Low</v>
      </c>
      <c r="K20" s="12" t="str">
        <f>INDEX('Combined_Data'!H:H, MATCH(A20, 'Combined_Data'!A:A, 0))</f>
        <v>Light Snow</v>
      </c>
      <c r="L20" s="13">
        <f t="shared" si="3"/>
        <v>3</v>
      </c>
    </row>
    <row r="21" spans="1:12" x14ac:dyDescent="0.35">
      <c r="A21" s="10">
        <v>20</v>
      </c>
      <c r="B21" s="11">
        <f>INDEX('Combined_Data'!B:B, MATCH(Derived_Data!A21, 'Combined_Data'!A:A, 0))</f>
        <v>40544</v>
      </c>
      <c r="C21" s="12" t="str">
        <f>INDEX('Combined_Data'!G:G, MATCH(A21, 'Combined_Data'!A:A, 0))</f>
        <v>Saturday</v>
      </c>
      <c r="D21" s="12" t="b">
        <f>INDEX('Combined_Data'!F:F, MATCH(A21, 'Combined_Data'!A:A, 0))</f>
        <v>0</v>
      </c>
      <c r="E21" s="12">
        <f>INDEX('Combined_Data'!O:O, MATCH(A21, 'Combined_Data'!A:A, 0))</f>
        <v>37</v>
      </c>
      <c r="F21" s="12">
        <f>INDEX('Combined_Data'!M:M, MATCH(A21, 'Combined_Data'!A:A, 0))</f>
        <v>6</v>
      </c>
      <c r="G21" s="12">
        <f>INDEX('Combined_Data'!N:N, MATCH(A21, 'Combined_Data'!A:A, 0))</f>
        <v>31</v>
      </c>
      <c r="H21" s="12" t="str">
        <f t="shared" si="0"/>
        <v>Weekend</v>
      </c>
      <c r="I21" s="12" t="str">
        <f t="shared" si="1"/>
        <v>Working Day</v>
      </c>
      <c r="J21" s="12" t="str">
        <f t="shared" si="2"/>
        <v>Low</v>
      </c>
      <c r="K21" s="12" t="str">
        <f>INDEX('Combined_Data'!H:H, MATCH(A21, 'Combined_Data'!A:A, 0))</f>
        <v>Light Snow</v>
      </c>
      <c r="L21" s="13">
        <f t="shared" si="3"/>
        <v>3</v>
      </c>
    </row>
    <row r="22" spans="1:12" x14ac:dyDescent="0.35">
      <c r="A22" s="10">
        <v>21</v>
      </c>
      <c r="B22" s="11">
        <f>INDEX('Combined_Data'!B:B, MATCH(Derived_Data!A22, 'Combined_Data'!A:A, 0))</f>
        <v>40544</v>
      </c>
      <c r="C22" s="12" t="str">
        <f>INDEX('Combined_Data'!G:G, MATCH(A22, 'Combined_Data'!A:A, 0))</f>
        <v>Saturday</v>
      </c>
      <c r="D22" s="12" t="b">
        <f>INDEX('Combined_Data'!F:F, MATCH(A22, 'Combined_Data'!A:A, 0))</f>
        <v>0</v>
      </c>
      <c r="E22" s="12">
        <f>INDEX('Combined_Data'!O:O, MATCH(A22, 'Combined_Data'!A:A, 0))</f>
        <v>36</v>
      </c>
      <c r="F22" s="12">
        <f>INDEX('Combined_Data'!M:M, MATCH(A22, 'Combined_Data'!A:A, 0))</f>
        <v>11</v>
      </c>
      <c r="G22" s="12">
        <f>INDEX('Combined_Data'!N:N, MATCH(A22, 'Combined_Data'!A:A, 0))</f>
        <v>25</v>
      </c>
      <c r="H22" s="12" t="str">
        <f t="shared" si="0"/>
        <v>Weekend</v>
      </c>
      <c r="I22" s="12" t="str">
        <f t="shared" si="1"/>
        <v>Working Day</v>
      </c>
      <c r="J22" s="12" t="str">
        <f t="shared" si="2"/>
        <v>Low</v>
      </c>
      <c r="K22" s="12" t="str">
        <f>INDEX('Combined_Data'!H:H, MATCH(A22, 'Combined_Data'!A:A, 0))</f>
        <v>Mist</v>
      </c>
      <c r="L22" s="13">
        <f t="shared" si="3"/>
        <v>2</v>
      </c>
    </row>
    <row r="23" spans="1:12" x14ac:dyDescent="0.35">
      <c r="A23" s="10">
        <v>22</v>
      </c>
      <c r="B23" s="11">
        <f>INDEX('Combined_Data'!B:B, MATCH(Derived_Data!A23, 'Combined_Data'!A:A, 0))</f>
        <v>40544</v>
      </c>
      <c r="C23" s="12" t="str">
        <f>INDEX('Combined_Data'!G:G, MATCH(A23, 'Combined_Data'!A:A, 0))</f>
        <v>Saturday</v>
      </c>
      <c r="D23" s="12" t="b">
        <f>INDEX('Combined_Data'!F:F, MATCH(A23, 'Combined_Data'!A:A, 0))</f>
        <v>0</v>
      </c>
      <c r="E23" s="12">
        <f>INDEX('Combined_Data'!O:O, MATCH(A23, 'Combined_Data'!A:A, 0))</f>
        <v>34</v>
      </c>
      <c r="F23" s="12">
        <f>INDEX('Combined_Data'!M:M, MATCH(A23, 'Combined_Data'!A:A, 0))</f>
        <v>3</v>
      </c>
      <c r="G23" s="12">
        <f>INDEX('Combined_Data'!N:N, MATCH(A23, 'Combined_Data'!A:A, 0))</f>
        <v>31</v>
      </c>
      <c r="H23" s="12" t="str">
        <f t="shared" si="0"/>
        <v>Weekend</v>
      </c>
      <c r="I23" s="12" t="str">
        <f t="shared" si="1"/>
        <v>Working Day</v>
      </c>
      <c r="J23" s="12" t="str">
        <f t="shared" si="2"/>
        <v>Low</v>
      </c>
      <c r="K23" s="12" t="str">
        <f>INDEX('Combined_Data'!H:H, MATCH(A23, 'Combined_Data'!A:A, 0))</f>
        <v>Mist</v>
      </c>
      <c r="L23" s="13">
        <f t="shared" si="3"/>
        <v>2</v>
      </c>
    </row>
    <row r="24" spans="1:12" x14ac:dyDescent="0.35">
      <c r="A24" s="10">
        <v>23</v>
      </c>
      <c r="B24" s="11">
        <f>INDEX('Combined_Data'!B:B, MATCH(Derived_Data!A24, 'Combined_Data'!A:A, 0))</f>
        <v>40544</v>
      </c>
      <c r="C24" s="12" t="str">
        <f>INDEX('Combined_Data'!G:G, MATCH(A24, 'Combined_Data'!A:A, 0))</f>
        <v>Saturday</v>
      </c>
      <c r="D24" s="12" t="b">
        <f>INDEX('Combined_Data'!F:F, MATCH(A24, 'Combined_Data'!A:A, 0))</f>
        <v>0</v>
      </c>
      <c r="E24" s="12">
        <f>INDEX('Combined_Data'!O:O, MATCH(A24, 'Combined_Data'!A:A, 0))</f>
        <v>28</v>
      </c>
      <c r="F24" s="12">
        <f>INDEX('Combined_Data'!M:M, MATCH(A24, 'Combined_Data'!A:A, 0))</f>
        <v>11</v>
      </c>
      <c r="G24" s="12">
        <f>INDEX('Combined_Data'!N:N, MATCH(A24, 'Combined_Data'!A:A, 0))</f>
        <v>17</v>
      </c>
      <c r="H24" s="12" t="str">
        <f t="shared" si="0"/>
        <v>Weekend</v>
      </c>
      <c r="I24" s="12" t="str">
        <f t="shared" si="1"/>
        <v>Working Day</v>
      </c>
      <c r="J24" s="12" t="str">
        <f t="shared" si="2"/>
        <v>Low</v>
      </c>
      <c r="K24" s="12" t="str">
        <f>INDEX('Combined_Data'!H:H, MATCH(A24, 'Combined_Data'!A:A, 0))</f>
        <v>Mist</v>
      </c>
      <c r="L24" s="13">
        <f t="shared" si="3"/>
        <v>2</v>
      </c>
    </row>
    <row r="25" spans="1:12" x14ac:dyDescent="0.35">
      <c r="A25" s="10">
        <v>24</v>
      </c>
      <c r="B25" s="11">
        <f>INDEX('Combined_Data'!B:B, MATCH(Derived_Data!A25, 'Combined_Data'!A:A, 0))</f>
        <v>40544</v>
      </c>
      <c r="C25" s="12" t="str">
        <f>INDEX('Combined_Data'!G:G, MATCH(A25, 'Combined_Data'!A:A, 0))</f>
        <v>Saturday</v>
      </c>
      <c r="D25" s="12" t="b">
        <f>INDEX('Combined_Data'!F:F, MATCH(A25, 'Combined_Data'!A:A, 0))</f>
        <v>0</v>
      </c>
      <c r="E25" s="12">
        <f>INDEX('Combined_Data'!O:O, MATCH(A25, 'Combined_Data'!A:A, 0))</f>
        <v>39</v>
      </c>
      <c r="F25" s="12">
        <f>INDEX('Combined_Data'!M:M, MATCH(A25, 'Combined_Data'!A:A, 0))</f>
        <v>15</v>
      </c>
      <c r="G25" s="12">
        <f>INDEX('Combined_Data'!N:N, MATCH(A25, 'Combined_Data'!A:A, 0))</f>
        <v>24</v>
      </c>
      <c r="H25" s="12" t="str">
        <f t="shared" si="0"/>
        <v>Weekend</v>
      </c>
      <c r="I25" s="12" t="str">
        <f t="shared" si="1"/>
        <v>Working Day</v>
      </c>
      <c r="J25" s="12" t="str">
        <f t="shared" si="2"/>
        <v>Low</v>
      </c>
      <c r="K25" s="12" t="str">
        <f>INDEX('Combined_Data'!H:H, MATCH(A25, 'Combined_Data'!A:A, 0))</f>
        <v>Mist</v>
      </c>
      <c r="L25" s="13">
        <f t="shared" si="3"/>
        <v>2</v>
      </c>
    </row>
    <row r="26" spans="1:12" x14ac:dyDescent="0.35">
      <c r="A26" s="10">
        <v>25</v>
      </c>
      <c r="B26" s="11">
        <f>INDEX('Combined_Data'!B:B, MATCH(Derived_Data!A26, 'Combined_Data'!A:A, 0))</f>
        <v>40545</v>
      </c>
      <c r="C26" s="12" t="str">
        <f>INDEX('Combined_Data'!G:G, MATCH(A26, 'Combined_Data'!A:A, 0))</f>
        <v>Sunday</v>
      </c>
      <c r="D26" s="12" t="b">
        <f>INDEX('Combined_Data'!F:F, MATCH(A26, 'Combined_Data'!A:A, 0))</f>
        <v>0</v>
      </c>
      <c r="E26" s="12">
        <f>INDEX('Combined_Data'!O:O, MATCH(A26, 'Combined_Data'!A:A, 0))</f>
        <v>17</v>
      </c>
      <c r="F26" s="12">
        <f>INDEX('Combined_Data'!M:M, MATCH(A26, 'Combined_Data'!A:A, 0))</f>
        <v>4</v>
      </c>
      <c r="G26" s="12">
        <f>INDEX('Combined_Data'!N:N, MATCH(A26, 'Combined_Data'!A:A, 0))</f>
        <v>13</v>
      </c>
      <c r="H26" s="12" t="str">
        <f t="shared" si="0"/>
        <v>Weekend</v>
      </c>
      <c r="I26" s="12" t="str">
        <f t="shared" si="1"/>
        <v>Working Day</v>
      </c>
      <c r="J26" s="12" t="str">
        <f t="shared" si="2"/>
        <v>Low</v>
      </c>
      <c r="K26" s="12" t="str">
        <f>INDEX('Combined_Data'!H:H, MATCH(A26, 'Combined_Data'!A:A, 0))</f>
        <v>Mist</v>
      </c>
      <c r="L26" s="13">
        <f t="shared" si="3"/>
        <v>2</v>
      </c>
    </row>
    <row r="27" spans="1:12" x14ac:dyDescent="0.35">
      <c r="A27" s="10">
        <v>26</v>
      </c>
      <c r="B27" s="11">
        <f>INDEX('Combined_Data'!B:B, MATCH(Derived_Data!A27, 'Combined_Data'!A:A, 0))</f>
        <v>40545</v>
      </c>
      <c r="C27" s="12" t="str">
        <f>INDEX('Combined_Data'!G:G, MATCH(A27, 'Combined_Data'!A:A, 0))</f>
        <v>Sunday</v>
      </c>
      <c r="D27" s="12" t="b">
        <f>INDEX('Combined_Data'!F:F, MATCH(A27, 'Combined_Data'!A:A, 0))</f>
        <v>0</v>
      </c>
      <c r="E27" s="12">
        <f>INDEX('Combined_Data'!O:O, MATCH(A27, 'Combined_Data'!A:A, 0))</f>
        <v>17</v>
      </c>
      <c r="F27" s="12">
        <f>INDEX('Combined_Data'!M:M, MATCH(A27, 'Combined_Data'!A:A, 0))</f>
        <v>1</v>
      </c>
      <c r="G27" s="12">
        <f>INDEX('Combined_Data'!N:N, MATCH(A27, 'Combined_Data'!A:A, 0))</f>
        <v>16</v>
      </c>
      <c r="H27" s="12" t="str">
        <f t="shared" si="0"/>
        <v>Weekend</v>
      </c>
      <c r="I27" s="12" t="str">
        <f t="shared" si="1"/>
        <v>Working Day</v>
      </c>
      <c r="J27" s="12" t="str">
        <f t="shared" si="2"/>
        <v>Low</v>
      </c>
      <c r="K27" s="12" t="str">
        <f>INDEX('Combined_Data'!H:H, MATCH(A27, 'Combined_Data'!A:A, 0))</f>
        <v>Mist</v>
      </c>
      <c r="L27" s="13">
        <f t="shared" si="3"/>
        <v>2</v>
      </c>
    </row>
    <row r="28" spans="1:12" x14ac:dyDescent="0.35">
      <c r="A28" s="10">
        <v>27</v>
      </c>
      <c r="B28" s="11">
        <f>INDEX('Combined_Data'!B:B, MATCH(Derived_Data!A28, 'Combined_Data'!A:A, 0))</f>
        <v>40545</v>
      </c>
      <c r="C28" s="12" t="str">
        <f>INDEX('Combined_Data'!G:G, MATCH(A28, 'Combined_Data'!A:A, 0))</f>
        <v>Sunday</v>
      </c>
      <c r="D28" s="12" t="b">
        <f>INDEX('Combined_Data'!F:F, MATCH(A28, 'Combined_Data'!A:A, 0))</f>
        <v>0</v>
      </c>
      <c r="E28" s="12">
        <f>INDEX('Combined_Data'!O:O, MATCH(A28, 'Combined_Data'!A:A, 0))</f>
        <v>9</v>
      </c>
      <c r="F28" s="12">
        <f>INDEX('Combined_Data'!M:M, MATCH(A28, 'Combined_Data'!A:A, 0))</f>
        <v>1</v>
      </c>
      <c r="G28" s="12">
        <f>INDEX('Combined_Data'!N:N, MATCH(A28, 'Combined_Data'!A:A, 0))</f>
        <v>8</v>
      </c>
      <c r="H28" s="12" t="str">
        <f t="shared" si="0"/>
        <v>Weekend</v>
      </c>
      <c r="I28" s="12" t="str">
        <f t="shared" si="1"/>
        <v>Working Day</v>
      </c>
      <c r="J28" s="12" t="str">
        <f t="shared" si="2"/>
        <v>Low</v>
      </c>
      <c r="K28" s="12" t="str">
        <f>INDEX('Combined_Data'!H:H, MATCH(A28, 'Combined_Data'!A:A, 0))</f>
        <v>Mist</v>
      </c>
      <c r="L28" s="13">
        <f t="shared" si="3"/>
        <v>2</v>
      </c>
    </row>
    <row r="29" spans="1:12" x14ac:dyDescent="0.35">
      <c r="A29" s="10">
        <v>28</v>
      </c>
      <c r="B29" s="11">
        <f>INDEX('Combined_Data'!B:B, MATCH(Derived_Data!A29, 'Combined_Data'!A:A, 0))</f>
        <v>40545</v>
      </c>
      <c r="C29" s="12" t="str">
        <f>INDEX('Combined_Data'!G:G, MATCH(A29, 'Combined_Data'!A:A, 0))</f>
        <v>Sunday</v>
      </c>
      <c r="D29" s="12" t="b">
        <f>INDEX('Combined_Data'!F:F, MATCH(A29, 'Combined_Data'!A:A, 0))</f>
        <v>0</v>
      </c>
      <c r="E29" s="12">
        <f>INDEX('Combined_Data'!O:O, MATCH(A29, 'Combined_Data'!A:A, 0))</f>
        <v>6</v>
      </c>
      <c r="F29" s="12">
        <f>INDEX('Combined_Data'!M:M, MATCH(A29, 'Combined_Data'!A:A, 0))</f>
        <v>2</v>
      </c>
      <c r="G29" s="12">
        <f>INDEX('Combined_Data'!N:N, MATCH(A29, 'Combined_Data'!A:A, 0))</f>
        <v>4</v>
      </c>
      <c r="H29" s="12" t="str">
        <f t="shared" si="0"/>
        <v>Weekend</v>
      </c>
      <c r="I29" s="12" t="str">
        <f t="shared" si="1"/>
        <v>Working Day</v>
      </c>
      <c r="J29" s="12" t="str">
        <f t="shared" si="2"/>
        <v>Low</v>
      </c>
      <c r="K29" s="12" t="str">
        <f>INDEX('Combined_Data'!H:H, MATCH(A29, 'Combined_Data'!A:A, 0))</f>
        <v>Mist</v>
      </c>
      <c r="L29" s="13">
        <f t="shared" si="3"/>
        <v>2</v>
      </c>
    </row>
    <row r="30" spans="1:12" x14ac:dyDescent="0.35">
      <c r="A30" s="10">
        <v>29</v>
      </c>
      <c r="B30" s="11">
        <f>INDEX('Combined_Data'!B:B, MATCH(Derived_Data!A30, 'Combined_Data'!A:A, 0))</f>
        <v>40545</v>
      </c>
      <c r="C30" s="12" t="str">
        <f>INDEX('Combined_Data'!G:G, MATCH(A30, 'Combined_Data'!A:A, 0))</f>
        <v>Sunday</v>
      </c>
      <c r="D30" s="12" t="b">
        <f>INDEX('Combined_Data'!F:F, MATCH(A30, 'Combined_Data'!A:A, 0))</f>
        <v>0</v>
      </c>
      <c r="E30" s="12">
        <f>INDEX('Combined_Data'!O:O, MATCH(A30, 'Combined_Data'!A:A, 0))</f>
        <v>3</v>
      </c>
      <c r="F30" s="12">
        <f>INDEX('Combined_Data'!M:M, MATCH(A30, 'Combined_Data'!A:A, 0))</f>
        <v>2</v>
      </c>
      <c r="G30" s="12">
        <f>INDEX('Combined_Data'!N:N, MATCH(A30, 'Combined_Data'!A:A, 0))</f>
        <v>1</v>
      </c>
      <c r="H30" s="12" t="str">
        <f t="shared" si="0"/>
        <v>Weekend</v>
      </c>
      <c r="I30" s="12" t="str">
        <f t="shared" si="1"/>
        <v>Working Day</v>
      </c>
      <c r="J30" s="12" t="str">
        <f t="shared" si="2"/>
        <v>Low</v>
      </c>
      <c r="K30" s="12" t="str">
        <f>INDEX('Combined_Data'!H:H, MATCH(A30, 'Combined_Data'!A:A, 0))</f>
        <v>Mist</v>
      </c>
      <c r="L30" s="13">
        <f t="shared" si="3"/>
        <v>2</v>
      </c>
    </row>
    <row r="31" spans="1:12" x14ac:dyDescent="0.35">
      <c r="A31" s="10">
        <v>30</v>
      </c>
      <c r="B31" s="11">
        <f>INDEX('Combined_Data'!B:B, MATCH(Derived_Data!A31, 'Combined_Data'!A:A, 0))</f>
        <v>40545</v>
      </c>
      <c r="C31" s="12" t="str">
        <f>INDEX('Combined_Data'!G:G, MATCH(A31, 'Combined_Data'!A:A, 0))</f>
        <v>Sunday</v>
      </c>
      <c r="D31" s="12" t="b">
        <f>INDEX('Combined_Data'!F:F, MATCH(A31, 'Combined_Data'!A:A, 0))</f>
        <v>0</v>
      </c>
      <c r="E31" s="12">
        <f>INDEX('Combined_Data'!O:O, MATCH(A31, 'Combined_Data'!A:A, 0))</f>
        <v>2</v>
      </c>
      <c r="F31" s="12">
        <f>INDEX('Combined_Data'!M:M, MATCH(A31, 'Combined_Data'!A:A, 0))</f>
        <v>0</v>
      </c>
      <c r="G31" s="12">
        <f>INDEX('Combined_Data'!N:N, MATCH(A31, 'Combined_Data'!A:A, 0))</f>
        <v>2</v>
      </c>
      <c r="H31" s="12" t="str">
        <f t="shared" si="0"/>
        <v>Weekend</v>
      </c>
      <c r="I31" s="12" t="str">
        <f t="shared" si="1"/>
        <v>Working Day</v>
      </c>
      <c r="J31" s="12" t="str">
        <f t="shared" si="2"/>
        <v>Low</v>
      </c>
      <c r="K31" s="12" t="str">
        <f>INDEX('Combined_Data'!H:H, MATCH(A31, 'Combined_Data'!A:A, 0))</f>
        <v>Light Snow</v>
      </c>
      <c r="L31" s="13">
        <f t="shared" si="3"/>
        <v>3</v>
      </c>
    </row>
    <row r="32" spans="1:12" x14ac:dyDescent="0.35">
      <c r="A32" s="10">
        <v>31</v>
      </c>
      <c r="B32" s="11">
        <f>INDEX('Combined_Data'!B:B, MATCH(Derived_Data!A32, 'Combined_Data'!A:A, 0))</f>
        <v>40545</v>
      </c>
      <c r="C32" s="12" t="str">
        <f>INDEX('Combined_Data'!G:G, MATCH(A32, 'Combined_Data'!A:A, 0))</f>
        <v>Sunday</v>
      </c>
      <c r="D32" s="12" t="b">
        <f>INDEX('Combined_Data'!F:F, MATCH(A32, 'Combined_Data'!A:A, 0))</f>
        <v>0</v>
      </c>
      <c r="E32" s="12">
        <f>INDEX('Combined_Data'!O:O, MATCH(A32, 'Combined_Data'!A:A, 0))</f>
        <v>1</v>
      </c>
      <c r="F32" s="12">
        <f>INDEX('Combined_Data'!M:M, MATCH(A32, 'Combined_Data'!A:A, 0))</f>
        <v>0</v>
      </c>
      <c r="G32" s="12">
        <f>INDEX('Combined_Data'!N:N, MATCH(A32, 'Combined_Data'!A:A, 0))</f>
        <v>1</v>
      </c>
      <c r="H32" s="12" t="str">
        <f t="shared" si="0"/>
        <v>Weekend</v>
      </c>
      <c r="I32" s="12" t="str">
        <f t="shared" si="1"/>
        <v>Working Day</v>
      </c>
      <c r="J32" s="12" t="str">
        <f t="shared" si="2"/>
        <v>Low</v>
      </c>
      <c r="K32" s="12" t="str">
        <f>INDEX('Combined_Data'!H:H, MATCH(A32, 'Combined_Data'!A:A, 0))</f>
        <v>Mist</v>
      </c>
      <c r="L32" s="13">
        <f t="shared" si="3"/>
        <v>2</v>
      </c>
    </row>
    <row r="33" spans="1:12" x14ac:dyDescent="0.35">
      <c r="A33" s="10">
        <v>32</v>
      </c>
      <c r="B33" s="11">
        <f>INDEX('Combined_Data'!B:B, MATCH(Derived_Data!A33, 'Combined_Data'!A:A, 0))</f>
        <v>40545</v>
      </c>
      <c r="C33" s="12" t="str">
        <f>INDEX('Combined_Data'!G:G, MATCH(A33, 'Combined_Data'!A:A, 0))</f>
        <v>Sunday</v>
      </c>
      <c r="D33" s="12" t="b">
        <f>INDEX('Combined_Data'!F:F, MATCH(A33, 'Combined_Data'!A:A, 0))</f>
        <v>0</v>
      </c>
      <c r="E33" s="12">
        <f>INDEX('Combined_Data'!O:O, MATCH(A33, 'Combined_Data'!A:A, 0))</f>
        <v>8</v>
      </c>
      <c r="F33" s="12">
        <f>INDEX('Combined_Data'!M:M, MATCH(A33, 'Combined_Data'!A:A, 0))</f>
        <v>0</v>
      </c>
      <c r="G33" s="12">
        <f>INDEX('Combined_Data'!N:N, MATCH(A33, 'Combined_Data'!A:A, 0))</f>
        <v>8</v>
      </c>
      <c r="H33" s="12" t="str">
        <f t="shared" si="0"/>
        <v>Weekend</v>
      </c>
      <c r="I33" s="12" t="str">
        <f t="shared" si="1"/>
        <v>Working Day</v>
      </c>
      <c r="J33" s="12" t="str">
        <f t="shared" si="2"/>
        <v>Low</v>
      </c>
      <c r="K33" s="12" t="str">
        <f>INDEX('Combined_Data'!H:H, MATCH(A33, 'Combined_Data'!A:A, 0))</f>
        <v>Light Snow</v>
      </c>
      <c r="L33" s="13">
        <f t="shared" si="3"/>
        <v>3</v>
      </c>
    </row>
    <row r="34" spans="1:12" x14ac:dyDescent="0.35">
      <c r="A34" s="10">
        <v>33</v>
      </c>
      <c r="B34" s="11">
        <f>INDEX('Combined_Data'!B:B, MATCH(Derived_Data!A34, 'Combined_Data'!A:A, 0))</f>
        <v>40545</v>
      </c>
      <c r="C34" s="12" t="str">
        <f>INDEX('Combined_Data'!G:G, MATCH(A34, 'Combined_Data'!A:A, 0))</f>
        <v>Sunday</v>
      </c>
      <c r="D34" s="12" t="b">
        <f>INDEX('Combined_Data'!F:F, MATCH(A34, 'Combined_Data'!A:A, 0))</f>
        <v>0</v>
      </c>
      <c r="E34" s="12">
        <f>INDEX('Combined_Data'!O:O, MATCH(A34, 'Combined_Data'!A:A, 0))</f>
        <v>20</v>
      </c>
      <c r="F34" s="12">
        <f>INDEX('Combined_Data'!M:M, MATCH(A34, 'Combined_Data'!A:A, 0))</f>
        <v>1</v>
      </c>
      <c r="G34" s="12">
        <f>INDEX('Combined_Data'!N:N, MATCH(A34, 'Combined_Data'!A:A, 0))</f>
        <v>19</v>
      </c>
      <c r="H34" s="12" t="str">
        <f t="shared" si="0"/>
        <v>Weekend</v>
      </c>
      <c r="I34" s="12" t="str">
        <f t="shared" si="1"/>
        <v>Working Day</v>
      </c>
      <c r="J34" s="12" t="str">
        <f t="shared" si="2"/>
        <v>Low</v>
      </c>
      <c r="K34" s="12" t="str">
        <f>INDEX('Combined_Data'!H:H, MATCH(A34, 'Combined_Data'!A:A, 0))</f>
        <v>Mist</v>
      </c>
      <c r="L34" s="13">
        <f t="shared" si="3"/>
        <v>2</v>
      </c>
    </row>
    <row r="35" spans="1:12" x14ac:dyDescent="0.35">
      <c r="A35" s="10">
        <v>34</v>
      </c>
      <c r="B35" s="11">
        <f>INDEX('Combined_Data'!B:B, MATCH(Derived_Data!A35, 'Combined_Data'!A:A, 0))</f>
        <v>40545</v>
      </c>
      <c r="C35" s="12" t="str">
        <f>INDEX('Combined_Data'!G:G, MATCH(A35, 'Combined_Data'!A:A, 0))</f>
        <v>Sunday</v>
      </c>
      <c r="D35" s="12" t="b">
        <f>INDEX('Combined_Data'!F:F, MATCH(A35, 'Combined_Data'!A:A, 0))</f>
        <v>0</v>
      </c>
      <c r="E35" s="12">
        <f>INDEX('Combined_Data'!O:O, MATCH(A35, 'Combined_Data'!A:A, 0))</f>
        <v>53</v>
      </c>
      <c r="F35" s="12">
        <f>INDEX('Combined_Data'!M:M, MATCH(A35, 'Combined_Data'!A:A, 0))</f>
        <v>7</v>
      </c>
      <c r="G35" s="12">
        <f>INDEX('Combined_Data'!N:N, MATCH(A35, 'Combined_Data'!A:A, 0))</f>
        <v>46</v>
      </c>
      <c r="H35" s="12" t="str">
        <f t="shared" si="0"/>
        <v>Weekend</v>
      </c>
      <c r="I35" s="12" t="str">
        <f t="shared" si="1"/>
        <v>Working Day</v>
      </c>
      <c r="J35" s="12" t="str">
        <f t="shared" si="2"/>
        <v>Low</v>
      </c>
      <c r="K35" s="12" t="str">
        <f>INDEX('Combined_Data'!H:H, MATCH(A35, 'Combined_Data'!A:A, 0))</f>
        <v>Mist</v>
      </c>
      <c r="L35" s="13">
        <f t="shared" si="3"/>
        <v>2</v>
      </c>
    </row>
    <row r="36" spans="1:12" x14ac:dyDescent="0.35">
      <c r="A36" s="10">
        <v>35</v>
      </c>
      <c r="B36" s="11">
        <f>INDEX('Combined_Data'!B:B, MATCH(Derived_Data!A36, 'Combined_Data'!A:A, 0))</f>
        <v>40545</v>
      </c>
      <c r="C36" s="12" t="str">
        <f>INDEX('Combined_Data'!G:G, MATCH(A36, 'Combined_Data'!A:A, 0))</f>
        <v>Sunday</v>
      </c>
      <c r="D36" s="12" t="b">
        <f>INDEX('Combined_Data'!F:F, MATCH(A36, 'Combined_Data'!A:A, 0))</f>
        <v>0</v>
      </c>
      <c r="E36" s="12">
        <f>INDEX('Combined_Data'!O:O, MATCH(A36, 'Combined_Data'!A:A, 0))</f>
        <v>70</v>
      </c>
      <c r="F36" s="12">
        <f>INDEX('Combined_Data'!M:M, MATCH(A36, 'Combined_Data'!A:A, 0))</f>
        <v>16</v>
      </c>
      <c r="G36" s="12">
        <f>INDEX('Combined_Data'!N:N, MATCH(A36, 'Combined_Data'!A:A, 0))</f>
        <v>54</v>
      </c>
      <c r="H36" s="12" t="str">
        <f t="shared" si="0"/>
        <v>Weekend</v>
      </c>
      <c r="I36" s="12" t="str">
        <f t="shared" si="1"/>
        <v>Working Day</v>
      </c>
      <c r="J36" s="12" t="str">
        <f t="shared" si="2"/>
        <v>Low</v>
      </c>
      <c r="K36" s="12" t="str">
        <f>INDEX('Combined_Data'!H:H, MATCH(A36, 'Combined_Data'!A:A, 0))</f>
        <v>Mist</v>
      </c>
      <c r="L36" s="13">
        <f t="shared" si="3"/>
        <v>2</v>
      </c>
    </row>
    <row r="37" spans="1:12" x14ac:dyDescent="0.35">
      <c r="A37" s="10">
        <v>36</v>
      </c>
      <c r="B37" s="11">
        <f>INDEX('Combined_Data'!B:B, MATCH(Derived_Data!A37, 'Combined_Data'!A:A, 0))</f>
        <v>40545</v>
      </c>
      <c r="C37" s="12" t="str">
        <f>INDEX('Combined_Data'!G:G, MATCH(A37, 'Combined_Data'!A:A, 0))</f>
        <v>Sunday</v>
      </c>
      <c r="D37" s="12" t="b">
        <f>INDEX('Combined_Data'!F:F, MATCH(A37, 'Combined_Data'!A:A, 0))</f>
        <v>0</v>
      </c>
      <c r="E37" s="12">
        <f>INDEX('Combined_Data'!O:O, MATCH(A37, 'Combined_Data'!A:A, 0))</f>
        <v>93</v>
      </c>
      <c r="F37" s="12">
        <f>INDEX('Combined_Data'!M:M, MATCH(A37, 'Combined_Data'!A:A, 0))</f>
        <v>20</v>
      </c>
      <c r="G37" s="12">
        <f>INDEX('Combined_Data'!N:N, MATCH(A37, 'Combined_Data'!A:A, 0))</f>
        <v>73</v>
      </c>
      <c r="H37" s="12" t="str">
        <f t="shared" si="0"/>
        <v>Weekend</v>
      </c>
      <c r="I37" s="12" t="str">
        <f t="shared" si="1"/>
        <v>Working Day</v>
      </c>
      <c r="J37" s="12" t="str">
        <f t="shared" si="2"/>
        <v>Low</v>
      </c>
      <c r="K37" s="12" t="str">
        <f>INDEX('Combined_Data'!H:H, MATCH(A37, 'Combined_Data'!A:A, 0))</f>
        <v>Mist</v>
      </c>
      <c r="L37" s="13">
        <f t="shared" si="3"/>
        <v>2</v>
      </c>
    </row>
    <row r="38" spans="1:12" x14ac:dyDescent="0.35">
      <c r="A38" s="10">
        <v>37</v>
      </c>
      <c r="B38" s="11">
        <f>INDEX('Combined_Data'!B:B, MATCH(Derived_Data!A38, 'Combined_Data'!A:A, 0))</f>
        <v>40545</v>
      </c>
      <c r="C38" s="12" t="str">
        <f>INDEX('Combined_Data'!G:G, MATCH(A38, 'Combined_Data'!A:A, 0))</f>
        <v>Sunday</v>
      </c>
      <c r="D38" s="12" t="b">
        <f>INDEX('Combined_Data'!F:F, MATCH(A38, 'Combined_Data'!A:A, 0))</f>
        <v>0</v>
      </c>
      <c r="E38" s="12">
        <f>INDEX('Combined_Data'!O:O, MATCH(A38, 'Combined_Data'!A:A, 0))</f>
        <v>75</v>
      </c>
      <c r="F38" s="12">
        <f>INDEX('Combined_Data'!M:M, MATCH(A38, 'Combined_Data'!A:A, 0))</f>
        <v>11</v>
      </c>
      <c r="G38" s="12">
        <f>INDEX('Combined_Data'!N:N, MATCH(A38, 'Combined_Data'!A:A, 0))</f>
        <v>64</v>
      </c>
      <c r="H38" s="12" t="str">
        <f t="shared" si="0"/>
        <v>Weekend</v>
      </c>
      <c r="I38" s="12" t="str">
        <f t="shared" si="1"/>
        <v>Working Day</v>
      </c>
      <c r="J38" s="12" t="str">
        <f t="shared" si="2"/>
        <v>Low</v>
      </c>
      <c r="K38" s="12" t="str">
        <f>INDEX('Combined_Data'!H:H, MATCH(A38, 'Combined_Data'!A:A, 0))</f>
        <v>Mist</v>
      </c>
      <c r="L38" s="13">
        <f t="shared" si="3"/>
        <v>2</v>
      </c>
    </row>
    <row r="39" spans="1:12" x14ac:dyDescent="0.35">
      <c r="A39" s="10">
        <v>38</v>
      </c>
      <c r="B39" s="11">
        <f>INDEX('Combined_Data'!B:B, MATCH(Derived_Data!A39, 'Combined_Data'!A:A, 0))</f>
        <v>40545</v>
      </c>
      <c r="C39" s="12" t="str">
        <f>INDEX('Combined_Data'!G:G, MATCH(A39, 'Combined_Data'!A:A, 0))</f>
        <v>Sunday</v>
      </c>
      <c r="D39" s="12" t="b">
        <f>INDEX('Combined_Data'!F:F, MATCH(A39, 'Combined_Data'!A:A, 0))</f>
        <v>0</v>
      </c>
      <c r="E39" s="12">
        <f>INDEX('Combined_Data'!O:O, MATCH(A39, 'Combined_Data'!A:A, 0))</f>
        <v>59</v>
      </c>
      <c r="F39" s="12">
        <f>INDEX('Combined_Data'!M:M, MATCH(A39, 'Combined_Data'!A:A, 0))</f>
        <v>4</v>
      </c>
      <c r="G39" s="12">
        <f>INDEX('Combined_Data'!N:N, MATCH(A39, 'Combined_Data'!A:A, 0))</f>
        <v>55</v>
      </c>
      <c r="H39" s="12" t="str">
        <f t="shared" si="0"/>
        <v>Weekend</v>
      </c>
      <c r="I39" s="12" t="str">
        <f t="shared" si="1"/>
        <v>Working Day</v>
      </c>
      <c r="J39" s="12" t="str">
        <f t="shared" si="2"/>
        <v>Low</v>
      </c>
      <c r="K39" s="12" t="str">
        <f>INDEX('Combined_Data'!H:H, MATCH(A39, 'Combined_Data'!A:A, 0))</f>
        <v>Light Snow</v>
      </c>
      <c r="L39" s="13">
        <f t="shared" si="3"/>
        <v>3</v>
      </c>
    </row>
    <row r="40" spans="1:12" x14ac:dyDescent="0.35">
      <c r="A40" s="10">
        <v>39</v>
      </c>
      <c r="B40" s="11">
        <f>INDEX('Combined_Data'!B:B, MATCH(Derived_Data!A40, 'Combined_Data'!A:A, 0))</f>
        <v>40545</v>
      </c>
      <c r="C40" s="12" t="str">
        <f>INDEX('Combined_Data'!G:G, MATCH(A40, 'Combined_Data'!A:A, 0))</f>
        <v>Sunday</v>
      </c>
      <c r="D40" s="12" t="b">
        <f>INDEX('Combined_Data'!F:F, MATCH(A40, 'Combined_Data'!A:A, 0))</f>
        <v>0</v>
      </c>
      <c r="E40" s="12">
        <f>INDEX('Combined_Data'!O:O, MATCH(A40, 'Combined_Data'!A:A, 0))</f>
        <v>74</v>
      </c>
      <c r="F40" s="12">
        <f>INDEX('Combined_Data'!M:M, MATCH(A40, 'Combined_Data'!A:A, 0))</f>
        <v>19</v>
      </c>
      <c r="G40" s="12">
        <f>INDEX('Combined_Data'!N:N, MATCH(A40, 'Combined_Data'!A:A, 0))</f>
        <v>55</v>
      </c>
      <c r="H40" s="12" t="str">
        <f t="shared" si="0"/>
        <v>Weekend</v>
      </c>
      <c r="I40" s="12" t="str">
        <f t="shared" si="1"/>
        <v>Working Day</v>
      </c>
      <c r="J40" s="12" t="str">
        <f t="shared" si="2"/>
        <v>Low</v>
      </c>
      <c r="K40" s="12" t="str">
        <f>INDEX('Combined_Data'!H:H, MATCH(A40, 'Combined_Data'!A:A, 0))</f>
        <v>Light Snow</v>
      </c>
      <c r="L40" s="13">
        <f t="shared" si="3"/>
        <v>3</v>
      </c>
    </row>
    <row r="41" spans="1:12" x14ac:dyDescent="0.35">
      <c r="A41" s="10">
        <v>40</v>
      </c>
      <c r="B41" s="11">
        <f>INDEX('Combined_Data'!B:B, MATCH(Derived_Data!A41, 'Combined_Data'!A:A, 0))</f>
        <v>40545</v>
      </c>
      <c r="C41" s="12" t="str">
        <f>INDEX('Combined_Data'!G:G, MATCH(A41, 'Combined_Data'!A:A, 0))</f>
        <v>Sunday</v>
      </c>
      <c r="D41" s="12" t="b">
        <f>INDEX('Combined_Data'!F:F, MATCH(A41, 'Combined_Data'!A:A, 0))</f>
        <v>0</v>
      </c>
      <c r="E41" s="12">
        <f>INDEX('Combined_Data'!O:O, MATCH(A41, 'Combined_Data'!A:A, 0))</f>
        <v>76</v>
      </c>
      <c r="F41" s="12">
        <f>INDEX('Combined_Data'!M:M, MATCH(A41, 'Combined_Data'!A:A, 0))</f>
        <v>9</v>
      </c>
      <c r="G41" s="12">
        <f>INDEX('Combined_Data'!N:N, MATCH(A41, 'Combined_Data'!A:A, 0))</f>
        <v>67</v>
      </c>
      <c r="H41" s="12" t="str">
        <f t="shared" si="0"/>
        <v>Weekend</v>
      </c>
      <c r="I41" s="12" t="str">
        <f t="shared" si="1"/>
        <v>Working Day</v>
      </c>
      <c r="J41" s="12" t="str">
        <f t="shared" si="2"/>
        <v>Low</v>
      </c>
      <c r="K41" s="12" t="str">
        <f>INDEX('Combined_Data'!H:H, MATCH(A41, 'Combined_Data'!A:A, 0))</f>
        <v>Light Snow</v>
      </c>
      <c r="L41" s="13">
        <f t="shared" si="3"/>
        <v>3</v>
      </c>
    </row>
    <row r="42" spans="1:12" x14ac:dyDescent="0.35">
      <c r="A42" s="10">
        <v>41</v>
      </c>
      <c r="B42" s="11">
        <f>INDEX('Combined_Data'!B:B, MATCH(Derived_Data!A42, 'Combined_Data'!A:A, 0))</f>
        <v>40545</v>
      </c>
      <c r="C42" s="12" t="str">
        <f>INDEX('Combined_Data'!G:G, MATCH(A42, 'Combined_Data'!A:A, 0))</f>
        <v>Sunday</v>
      </c>
      <c r="D42" s="12" t="b">
        <f>INDEX('Combined_Data'!F:F, MATCH(A42, 'Combined_Data'!A:A, 0))</f>
        <v>0</v>
      </c>
      <c r="E42" s="12">
        <f>INDEX('Combined_Data'!O:O, MATCH(A42, 'Combined_Data'!A:A, 0))</f>
        <v>65</v>
      </c>
      <c r="F42" s="12">
        <f>INDEX('Combined_Data'!M:M, MATCH(A42, 'Combined_Data'!A:A, 0))</f>
        <v>7</v>
      </c>
      <c r="G42" s="12">
        <f>INDEX('Combined_Data'!N:N, MATCH(A42, 'Combined_Data'!A:A, 0))</f>
        <v>58</v>
      </c>
      <c r="H42" s="12" t="str">
        <f t="shared" si="0"/>
        <v>Weekend</v>
      </c>
      <c r="I42" s="12" t="str">
        <f t="shared" si="1"/>
        <v>Working Day</v>
      </c>
      <c r="J42" s="12" t="str">
        <f t="shared" si="2"/>
        <v>Low</v>
      </c>
      <c r="K42" s="12" t="str">
        <f>INDEX('Combined_Data'!H:H, MATCH(A42, 'Combined_Data'!A:A, 0))</f>
        <v>Clear</v>
      </c>
      <c r="L42" s="13">
        <f t="shared" si="3"/>
        <v>1</v>
      </c>
    </row>
    <row r="43" spans="1:12" x14ac:dyDescent="0.35">
      <c r="A43" s="10">
        <v>42</v>
      </c>
      <c r="B43" s="11">
        <f>INDEX('Combined_Data'!B:B, MATCH(Derived_Data!A43, 'Combined_Data'!A:A, 0))</f>
        <v>40545</v>
      </c>
      <c r="C43" s="12" t="str">
        <f>INDEX('Combined_Data'!G:G, MATCH(A43, 'Combined_Data'!A:A, 0))</f>
        <v>Sunday</v>
      </c>
      <c r="D43" s="12" t="b">
        <f>INDEX('Combined_Data'!F:F, MATCH(A43, 'Combined_Data'!A:A, 0))</f>
        <v>0</v>
      </c>
      <c r="E43" s="12">
        <f>INDEX('Combined_Data'!O:O, MATCH(A43, 'Combined_Data'!A:A, 0))</f>
        <v>53</v>
      </c>
      <c r="F43" s="12">
        <f>INDEX('Combined_Data'!M:M, MATCH(A43, 'Combined_Data'!A:A, 0))</f>
        <v>10</v>
      </c>
      <c r="G43" s="12">
        <f>INDEX('Combined_Data'!N:N, MATCH(A43, 'Combined_Data'!A:A, 0))</f>
        <v>43</v>
      </c>
      <c r="H43" s="12" t="str">
        <f t="shared" si="0"/>
        <v>Weekend</v>
      </c>
      <c r="I43" s="12" t="str">
        <f t="shared" si="1"/>
        <v>Working Day</v>
      </c>
      <c r="J43" s="12" t="str">
        <f t="shared" si="2"/>
        <v>Low</v>
      </c>
      <c r="K43" s="12" t="str">
        <f>INDEX('Combined_Data'!H:H, MATCH(A43, 'Combined_Data'!A:A, 0))</f>
        <v>Mist</v>
      </c>
      <c r="L43" s="13">
        <f t="shared" si="3"/>
        <v>2</v>
      </c>
    </row>
    <row r="44" spans="1:12" x14ac:dyDescent="0.35">
      <c r="A44" s="10">
        <v>43</v>
      </c>
      <c r="B44" s="11">
        <f>INDEX('Combined_Data'!B:B, MATCH(Derived_Data!A44, 'Combined_Data'!A:A, 0))</f>
        <v>40545</v>
      </c>
      <c r="C44" s="12" t="str">
        <f>INDEX('Combined_Data'!G:G, MATCH(A44, 'Combined_Data'!A:A, 0))</f>
        <v>Sunday</v>
      </c>
      <c r="D44" s="12" t="b">
        <f>INDEX('Combined_Data'!F:F, MATCH(A44, 'Combined_Data'!A:A, 0))</f>
        <v>0</v>
      </c>
      <c r="E44" s="12">
        <f>INDEX('Combined_Data'!O:O, MATCH(A44, 'Combined_Data'!A:A, 0))</f>
        <v>30</v>
      </c>
      <c r="F44" s="12">
        <f>INDEX('Combined_Data'!M:M, MATCH(A44, 'Combined_Data'!A:A, 0))</f>
        <v>1</v>
      </c>
      <c r="G44" s="12">
        <f>INDEX('Combined_Data'!N:N, MATCH(A44, 'Combined_Data'!A:A, 0))</f>
        <v>29</v>
      </c>
      <c r="H44" s="12" t="str">
        <f t="shared" si="0"/>
        <v>Weekend</v>
      </c>
      <c r="I44" s="12" t="str">
        <f t="shared" si="1"/>
        <v>Working Day</v>
      </c>
      <c r="J44" s="12" t="str">
        <f t="shared" si="2"/>
        <v>Low</v>
      </c>
      <c r="K44" s="12" t="str">
        <f>INDEX('Combined_Data'!H:H, MATCH(A44, 'Combined_Data'!A:A, 0))</f>
        <v>Clear</v>
      </c>
      <c r="L44" s="13">
        <f t="shared" si="3"/>
        <v>1</v>
      </c>
    </row>
    <row r="45" spans="1:12" x14ac:dyDescent="0.35">
      <c r="A45" s="10">
        <v>44</v>
      </c>
      <c r="B45" s="11">
        <f>INDEX('Combined_Data'!B:B, MATCH(Derived_Data!A45, 'Combined_Data'!A:A, 0))</f>
        <v>40545</v>
      </c>
      <c r="C45" s="12" t="str">
        <f>INDEX('Combined_Data'!G:G, MATCH(A45, 'Combined_Data'!A:A, 0))</f>
        <v>Sunday</v>
      </c>
      <c r="D45" s="12" t="b">
        <f>INDEX('Combined_Data'!F:F, MATCH(A45, 'Combined_Data'!A:A, 0))</f>
        <v>0</v>
      </c>
      <c r="E45" s="12">
        <f>INDEX('Combined_Data'!O:O, MATCH(A45, 'Combined_Data'!A:A, 0))</f>
        <v>22</v>
      </c>
      <c r="F45" s="12">
        <f>INDEX('Combined_Data'!M:M, MATCH(A45, 'Combined_Data'!A:A, 0))</f>
        <v>5</v>
      </c>
      <c r="G45" s="12">
        <f>INDEX('Combined_Data'!N:N, MATCH(A45, 'Combined_Data'!A:A, 0))</f>
        <v>17</v>
      </c>
      <c r="H45" s="12" t="str">
        <f t="shared" si="0"/>
        <v>Weekend</v>
      </c>
      <c r="I45" s="12" t="str">
        <f t="shared" si="1"/>
        <v>Working Day</v>
      </c>
      <c r="J45" s="12" t="str">
        <f t="shared" si="2"/>
        <v>Low</v>
      </c>
      <c r="K45" s="12" t="str">
        <f>INDEX('Combined_Data'!H:H, MATCH(A45, 'Combined_Data'!A:A, 0))</f>
        <v>Clear</v>
      </c>
      <c r="L45" s="13">
        <f t="shared" si="3"/>
        <v>1</v>
      </c>
    </row>
    <row r="46" spans="1:12" x14ac:dyDescent="0.35">
      <c r="A46" s="10">
        <v>45</v>
      </c>
      <c r="B46" s="11">
        <f>INDEX('Combined_Data'!B:B, MATCH(Derived_Data!A46, 'Combined_Data'!A:A, 0))</f>
        <v>40545</v>
      </c>
      <c r="C46" s="12" t="str">
        <f>INDEX('Combined_Data'!G:G, MATCH(A46, 'Combined_Data'!A:A, 0))</f>
        <v>Sunday</v>
      </c>
      <c r="D46" s="12" t="b">
        <f>INDEX('Combined_Data'!F:F, MATCH(A46, 'Combined_Data'!A:A, 0))</f>
        <v>0</v>
      </c>
      <c r="E46" s="12">
        <f>INDEX('Combined_Data'!O:O, MATCH(A46, 'Combined_Data'!A:A, 0))</f>
        <v>31</v>
      </c>
      <c r="F46" s="12">
        <f>INDEX('Combined_Data'!M:M, MATCH(A46, 'Combined_Data'!A:A, 0))</f>
        <v>11</v>
      </c>
      <c r="G46" s="12">
        <f>INDEX('Combined_Data'!N:N, MATCH(A46, 'Combined_Data'!A:A, 0))</f>
        <v>20</v>
      </c>
      <c r="H46" s="12" t="str">
        <f t="shared" si="0"/>
        <v>Weekend</v>
      </c>
      <c r="I46" s="12" t="str">
        <f t="shared" si="1"/>
        <v>Working Day</v>
      </c>
      <c r="J46" s="12" t="str">
        <f t="shared" si="2"/>
        <v>Low</v>
      </c>
      <c r="K46" s="12" t="str">
        <f>INDEX('Combined_Data'!H:H, MATCH(A46, 'Combined_Data'!A:A, 0))</f>
        <v>Clear</v>
      </c>
      <c r="L46" s="13">
        <f t="shared" si="3"/>
        <v>1</v>
      </c>
    </row>
    <row r="47" spans="1:12" x14ac:dyDescent="0.35">
      <c r="A47" s="10">
        <v>46</v>
      </c>
      <c r="B47" s="11">
        <f>INDEX('Combined_Data'!B:B, MATCH(Derived_Data!A47, 'Combined_Data'!A:A, 0))</f>
        <v>40545</v>
      </c>
      <c r="C47" s="12" t="str">
        <f>INDEX('Combined_Data'!G:G, MATCH(A47, 'Combined_Data'!A:A, 0))</f>
        <v>Sunday</v>
      </c>
      <c r="D47" s="12" t="b">
        <f>INDEX('Combined_Data'!F:F, MATCH(A47, 'Combined_Data'!A:A, 0))</f>
        <v>0</v>
      </c>
      <c r="E47" s="12">
        <f>INDEX('Combined_Data'!O:O, MATCH(A47, 'Combined_Data'!A:A, 0))</f>
        <v>9</v>
      </c>
      <c r="F47" s="12">
        <f>INDEX('Combined_Data'!M:M, MATCH(A47, 'Combined_Data'!A:A, 0))</f>
        <v>0</v>
      </c>
      <c r="G47" s="12">
        <f>INDEX('Combined_Data'!N:N, MATCH(A47, 'Combined_Data'!A:A, 0))</f>
        <v>9</v>
      </c>
      <c r="H47" s="12" t="str">
        <f t="shared" si="0"/>
        <v>Weekend</v>
      </c>
      <c r="I47" s="12" t="str">
        <f t="shared" si="1"/>
        <v>Working Day</v>
      </c>
      <c r="J47" s="12" t="str">
        <f t="shared" si="2"/>
        <v>Low</v>
      </c>
      <c r="K47" s="12" t="str">
        <f>INDEX('Combined_Data'!H:H, MATCH(A47, 'Combined_Data'!A:A, 0))</f>
        <v>Clear</v>
      </c>
      <c r="L47" s="13">
        <f t="shared" si="3"/>
        <v>1</v>
      </c>
    </row>
    <row r="48" spans="1:12" x14ac:dyDescent="0.35">
      <c r="A48" s="10">
        <v>47</v>
      </c>
      <c r="B48" s="11">
        <f>INDEX('Combined_Data'!B:B, MATCH(Derived_Data!A48, 'Combined_Data'!A:A, 0))</f>
        <v>40545</v>
      </c>
      <c r="C48" s="12" t="str">
        <f>INDEX('Combined_Data'!G:G, MATCH(A48, 'Combined_Data'!A:A, 0))</f>
        <v>Sunday</v>
      </c>
      <c r="D48" s="12" t="b">
        <f>INDEX('Combined_Data'!F:F, MATCH(A48, 'Combined_Data'!A:A, 0))</f>
        <v>0</v>
      </c>
      <c r="E48" s="12">
        <f>INDEX('Combined_Data'!O:O, MATCH(A48, 'Combined_Data'!A:A, 0))</f>
        <v>8</v>
      </c>
      <c r="F48" s="12">
        <f>INDEX('Combined_Data'!M:M, MATCH(A48, 'Combined_Data'!A:A, 0))</f>
        <v>0</v>
      </c>
      <c r="G48" s="12">
        <f>INDEX('Combined_Data'!N:N, MATCH(A48, 'Combined_Data'!A:A, 0))</f>
        <v>8</v>
      </c>
      <c r="H48" s="12" t="str">
        <f t="shared" si="0"/>
        <v>Weekend</v>
      </c>
      <c r="I48" s="12" t="str">
        <f t="shared" si="1"/>
        <v>Working Day</v>
      </c>
      <c r="J48" s="12" t="str">
        <f t="shared" si="2"/>
        <v>Low</v>
      </c>
      <c r="K48" s="12" t="str">
        <f>INDEX('Combined_Data'!H:H, MATCH(A48, 'Combined_Data'!A:A, 0))</f>
        <v>Clear</v>
      </c>
      <c r="L48" s="13">
        <f t="shared" si="3"/>
        <v>1</v>
      </c>
    </row>
    <row r="49" spans="1:12" x14ac:dyDescent="0.35">
      <c r="A49" s="10">
        <v>48</v>
      </c>
      <c r="B49" s="11">
        <f>INDEX('Combined_Data'!B:B, MATCH(Derived_Data!A49, 'Combined_Data'!A:A, 0))</f>
        <v>40546</v>
      </c>
      <c r="C49" s="12" t="str">
        <f>INDEX('Combined_Data'!G:G, MATCH(A49, 'Combined_Data'!A:A, 0))</f>
        <v>Monday</v>
      </c>
      <c r="D49" s="12" t="b">
        <f>INDEX('Combined_Data'!F:F, MATCH(A49, 'Combined_Data'!A:A, 0))</f>
        <v>0</v>
      </c>
      <c r="E49" s="12">
        <f>INDEX('Combined_Data'!O:O, MATCH(A49, 'Combined_Data'!A:A, 0))</f>
        <v>5</v>
      </c>
      <c r="F49" s="12">
        <f>INDEX('Combined_Data'!M:M, MATCH(A49, 'Combined_Data'!A:A, 0))</f>
        <v>0</v>
      </c>
      <c r="G49" s="12">
        <f>INDEX('Combined_Data'!N:N, MATCH(A49, 'Combined_Data'!A:A, 0))</f>
        <v>5</v>
      </c>
      <c r="H49" s="12" t="str">
        <f t="shared" si="0"/>
        <v>Weekday</v>
      </c>
      <c r="I49" s="12" t="str">
        <f t="shared" si="1"/>
        <v>Working Day</v>
      </c>
      <c r="J49" s="12" t="str">
        <f t="shared" si="2"/>
        <v>Low</v>
      </c>
      <c r="K49" s="12" t="str">
        <f>INDEX('Combined_Data'!H:H, MATCH(A49, 'Combined_Data'!A:A, 0))</f>
        <v>Clear</v>
      </c>
      <c r="L49" s="13">
        <f t="shared" si="3"/>
        <v>1</v>
      </c>
    </row>
    <row r="50" spans="1:12" x14ac:dyDescent="0.35">
      <c r="A50" s="10">
        <v>49</v>
      </c>
      <c r="B50" s="11">
        <f>INDEX('Combined_Data'!B:B, MATCH(Derived_Data!A50, 'Combined_Data'!A:A, 0))</f>
        <v>40546</v>
      </c>
      <c r="C50" s="12" t="str">
        <f>INDEX('Combined_Data'!G:G, MATCH(A50, 'Combined_Data'!A:A, 0))</f>
        <v>Monday</v>
      </c>
      <c r="D50" s="12" t="b">
        <f>INDEX('Combined_Data'!F:F, MATCH(A50, 'Combined_Data'!A:A, 0))</f>
        <v>0</v>
      </c>
      <c r="E50" s="12">
        <f>INDEX('Combined_Data'!O:O, MATCH(A50, 'Combined_Data'!A:A, 0))</f>
        <v>2</v>
      </c>
      <c r="F50" s="12">
        <f>INDEX('Combined_Data'!M:M, MATCH(A50, 'Combined_Data'!A:A, 0))</f>
        <v>0</v>
      </c>
      <c r="G50" s="12">
        <f>INDEX('Combined_Data'!N:N, MATCH(A50, 'Combined_Data'!A:A, 0))</f>
        <v>2</v>
      </c>
      <c r="H50" s="12" t="str">
        <f t="shared" si="0"/>
        <v>Weekday</v>
      </c>
      <c r="I50" s="12" t="str">
        <f t="shared" si="1"/>
        <v>Working Day</v>
      </c>
      <c r="J50" s="12" t="str">
        <f t="shared" si="2"/>
        <v>Low</v>
      </c>
      <c r="K50" s="12" t="str">
        <f>INDEX('Combined_Data'!H:H, MATCH(A50, 'Combined_Data'!A:A, 0))</f>
        <v>Clear</v>
      </c>
      <c r="L50" s="13">
        <f t="shared" si="3"/>
        <v>1</v>
      </c>
    </row>
    <row r="51" spans="1:12" x14ac:dyDescent="0.35">
      <c r="A51" s="10">
        <v>50</v>
      </c>
      <c r="B51" s="11">
        <f>INDEX('Combined_Data'!B:B, MATCH(Derived_Data!A51, 'Combined_Data'!A:A, 0))</f>
        <v>40546</v>
      </c>
      <c r="C51" s="12" t="str">
        <f>INDEX('Combined_Data'!G:G, MATCH(A51, 'Combined_Data'!A:A, 0))</f>
        <v>Monday</v>
      </c>
      <c r="D51" s="12" t="b">
        <f>INDEX('Combined_Data'!F:F, MATCH(A51, 'Combined_Data'!A:A, 0))</f>
        <v>0</v>
      </c>
      <c r="E51" s="12">
        <f>INDEX('Combined_Data'!O:O, MATCH(A51, 'Combined_Data'!A:A, 0))</f>
        <v>1</v>
      </c>
      <c r="F51" s="12">
        <f>INDEX('Combined_Data'!M:M, MATCH(A51, 'Combined_Data'!A:A, 0))</f>
        <v>0</v>
      </c>
      <c r="G51" s="12">
        <f>INDEX('Combined_Data'!N:N, MATCH(A51, 'Combined_Data'!A:A, 0))</f>
        <v>1</v>
      </c>
      <c r="H51" s="12" t="str">
        <f t="shared" si="0"/>
        <v>Weekday</v>
      </c>
      <c r="I51" s="12" t="str">
        <f t="shared" si="1"/>
        <v>Working Day</v>
      </c>
      <c r="J51" s="12" t="str">
        <f t="shared" si="2"/>
        <v>Low</v>
      </c>
      <c r="K51" s="12" t="str">
        <f>INDEX('Combined_Data'!H:H, MATCH(A51, 'Combined_Data'!A:A, 0))</f>
        <v>Clear</v>
      </c>
      <c r="L51" s="13">
        <f t="shared" si="3"/>
        <v>1</v>
      </c>
    </row>
    <row r="52" spans="1:12" x14ac:dyDescent="0.35">
      <c r="A52" s="10">
        <v>51</v>
      </c>
      <c r="B52" s="11">
        <f>INDEX('Combined_Data'!B:B, MATCH(Derived_Data!A52, 'Combined_Data'!A:A, 0))</f>
        <v>40546</v>
      </c>
      <c r="C52" s="12" t="str">
        <f>INDEX('Combined_Data'!G:G, MATCH(A52, 'Combined_Data'!A:A, 0))</f>
        <v>Monday</v>
      </c>
      <c r="D52" s="12" t="b">
        <f>INDEX('Combined_Data'!F:F, MATCH(A52, 'Combined_Data'!A:A, 0))</f>
        <v>0</v>
      </c>
      <c r="E52" s="12">
        <f>INDEX('Combined_Data'!O:O, MATCH(A52, 'Combined_Data'!A:A, 0))</f>
        <v>3</v>
      </c>
      <c r="F52" s="12">
        <f>INDEX('Combined_Data'!M:M, MATCH(A52, 'Combined_Data'!A:A, 0))</f>
        <v>0</v>
      </c>
      <c r="G52" s="12">
        <f>INDEX('Combined_Data'!N:N, MATCH(A52, 'Combined_Data'!A:A, 0))</f>
        <v>3</v>
      </c>
      <c r="H52" s="12" t="str">
        <f t="shared" si="0"/>
        <v>Weekday</v>
      </c>
      <c r="I52" s="12" t="str">
        <f t="shared" si="1"/>
        <v>Working Day</v>
      </c>
      <c r="J52" s="12" t="str">
        <f t="shared" si="2"/>
        <v>Low</v>
      </c>
      <c r="K52" s="12" t="str">
        <f>INDEX('Combined_Data'!H:H, MATCH(A52, 'Combined_Data'!A:A, 0))</f>
        <v>Clear</v>
      </c>
      <c r="L52" s="13">
        <f t="shared" si="3"/>
        <v>1</v>
      </c>
    </row>
    <row r="53" spans="1:12" x14ac:dyDescent="0.35">
      <c r="A53" s="10">
        <v>52</v>
      </c>
      <c r="B53" s="11">
        <f>INDEX('Combined_Data'!B:B, MATCH(Derived_Data!A53, 'Combined_Data'!A:A, 0))</f>
        <v>40546</v>
      </c>
      <c r="C53" s="12" t="str">
        <f>INDEX('Combined_Data'!G:G, MATCH(A53, 'Combined_Data'!A:A, 0))</f>
        <v>Monday</v>
      </c>
      <c r="D53" s="12" t="b">
        <f>INDEX('Combined_Data'!F:F, MATCH(A53, 'Combined_Data'!A:A, 0))</f>
        <v>0</v>
      </c>
      <c r="E53" s="12">
        <f>INDEX('Combined_Data'!O:O, MATCH(A53, 'Combined_Data'!A:A, 0))</f>
        <v>30</v>
      </c>
      <c r="F53" s="12">
        <f>INDEX('Combined_Data'!M:M, MATCH(A53, 'Combined_Data'!A:A, 0))</f>
        <v>0</v>
      </c>
      <c r="G53" s="12">
        <f>INDEX('Combined_Data'!N:N, MATCH(A53, 'Combined_Data'!A:A, 0))</f>
        <v>30</v>
      </c>
      <c r="H53" s="12" t="str">
        <f t="shared" si="0"/>
        <v>Weekday</v>
      </c>
      <c r="I53" s="12" t="str">
        <f t="shared" si="1"/>
        <v>Working Day</v>
      </c>
      <c r="J53" s="12" t="str">
        <f t="shared" si="2"/>
        <v>Low</v>
      </c>
      <c r="K53" s="12" t="str">
        <f>INDEX('Combined_Data'!H:H, MATCH(A53, 'Combined_Data'!A:A, 0))</f>
        <v>Clear</v>
      </c>
      <c r="L53" s="13">
        <f t="shared" si="3"/>
        <v>1</v>
      </c>
    </row>
    <row r="54" spans="1:12" x14ac:dyDescent="0.35">
      <c r="A54" s="10">
        <v>53</v>
      </c>
      <c r="B54" s="11">
        <f>INDEX('Combined_Data'!B:B, MATCH(Derived_Data!A54, 'Combined_Data'!A:A, 0))</f>
        <v>40546</v>
      </c>
      <c r="C54" s="12" t="str">
        <f>INDEX('Combined_Data'!G:G, MATCH(A54, 'Combined_Data'!A:A, 0))</f>
        <v>Monday</v>
      </c>
      <c r="D54" s="12" t="b">
        <f>INDEX('Combined_Data'!F:F, MATCH(A54, 'Combined_Data'!A:A, 0))</f>
        <v>0</v>
      </c>
      <c r="E54" s="12">
        <f>INDEX('Combined_Data'!O:O, MATCH(A54, 'Combined_Data'!A:A, 0))</f>
        <v>64</v>
      </c>
      <c r="F54" s="12">
        <f>INDEX('Combined_Data'!M:M, MATCH(A54, 'Combined_Data'!A:A, 0))</f>
        <v>1</v>
      </c>
      <c r="G54" s="12">
        <f>INDEX('Combined_Data'!N:N, MATCH(A54, 'Combined_Data'!A:A, 0))</f>
        <v>63</v>
      </c>
      <c r="H54" s="12" t="str">
        <f t="shared" si="0"/>
        <v>Weekday</v>
      </c>
      <c r="I54" s="12" t="str">
        <f t="shared" si="1"/>
        <v>Working Day</v>
      </c>
      <c r="J54" s="12" t="str">
        <f t="shared" si="2"/>
        <v>Low</v>
      </c>
      <c r="K54" s="12" t="str">
        <f>INDEX('Combined_Data'!H:H, MATCH(A54, 'Combined_Data'!A:A, 0))</f>
        <v>Clear</v>
      </c>
      <c r="L54" s="13">
        <f t="shared" si="3"/>
        <v>1</v>
      </c>
    </row>
    <row r="55" spans="1:12" x14ac:dyDescent="0.35">
      <c r="A55" s="10">
        <v>54</v>
      </c>
      <c r="B55" s="11">
        <f>INDEX('Combined_Data'!B:B, MATCH(Derived_Data!A55, 'Combined_Data'!A:A, 0))</f>
        <v>40546</v>
      </c>
      <c r="C55" s="12" t="str">
        <f>INDEX('Combined_Data'!G:G, MATCH(A55, 'Combined_Data'!A:A, 0))</f>
        <v>Monday</v>
      </c>
      <c r="D55" s="12" t="b">
        <f>INDEX('Combined_Data'!F:F, MATCH(A55, 'Combined_Data'!A:A, 0))</f>
        <v>0</v>
      </c>
      <c r="E55" s="12">
        <f>INDEX('Combined_Data'!O:O, MATCH(A55, 'Combined_Data'!A:A, 0))</f>
        <v>154</v>
      </c>
      <c r="F55" s="12">
        <f>INDEX('Combined_Data'!M:M, MATCH(A55, 'Combined_Data'!A:A, 0))</f>
        <v>1</v>
      </c>
      <c r="G55" s="12">
        <f>INDEX('Combined_Data'!N:N, MATCH(A55, 'Combined_Data'!A:A, 0))</f>
        <v>153</v>
      </c>
      <c r="H55" s="12" t="str">
        <f t="shared" si="0"/>
        <v>Weekday</v>
      </c>
      <c r="I55" s="12" t="str">
        <f t="shared" si="1"/>
        <v>Working Day</v>
      </c>
      <c r="J55" s="12" t="str">
        <f t="shared" si="2"/>
        <v>High</v>
      </c>
      <c r="K55" s="12" t="str">
        <f>INDEX('Combined_Data'!H:H, MATCH(A55, 'Combined_Data'!A:A, 0))</f>
        <v>Clear</v>
      </c>
      <c r="L55" s="13">
        <f t="shared" si="3"/>
        <v>1</v>
      </c>
    </row>
    <row r="56" spans="1:12" x14ac:dyDescent="0.35">
      <c r="A56" s="10">
        <v>55</v>
      </c>
      <c r="B56" s="11">
        <f>INDEX('Combined_Data'!B:B, MATCH(Derived_Data!A56, 'Combined_Data'!A:A, 0))</f>
        <v>40546</v>
      </c>
      <c r="C56" s="12" t="str">
        <f>INDEX('Combined_Data'!G:G, MATCH(A56, 'Combined_Data'!A:A, 0))</f>
        <v>Monday</v>
      </c>
      <c r="D56" s="12" t="b">
        <f>INDEX('Combined_Data'!F:F, MATCH(A56, 'Combined_Data'!A:A, 0))</f>
        <v>0</v>
      </c>
      <c r="E56" s="12">
        <f>INDEX('Combined_Data'!O:O, MATCH(A56, 'Combined_Data'!A:A, 0))</f>
        <v>88</v>
      </c>
      <c r="F56" s="12">
        <f>INDEX('Combined_Data'!M:M, MATCH(A56, 'Combined_Data'!A:A, 0))</f>
        <v>7</v>
      </c>
      <c r="G56" s="12">
        <f>INDEX('Combined_Data'!N:N, MATCH(A56, 'Combined_Data'!A:A, 0))</f>
        <v>81</v>
      </c>
      <c r="H56" s="12" t="str">
        <f t="shared" si="0"/>
        <v>Weekday</v>
      </c>
      <c r="I56" s="12" t="str">
        <f t="shared" si="1"/>
        <v>Working Day</v>
      </c>
      <c r="J56" s="12" t="str">
        <f t="shared" si="2"/>
        <v>Low</v>
      </c>
      <c r="K56" s="12" t="str">
        <f>INDEX('Combined_Data'!H:H, MATCH(A56, 'Combined_Data'!A:A, 0))</f>
        <v>Clear</v>
      </c>
      <c r="L56" s="13">
        <f t="shared" si="3"/>
        <v>1</v>
      </c>
    </row>
    <row r="57" spans="1:12" x14ac:dyDescent="0.35">
      <c r="A57" s="10">
        <v>56</v>
      </c>
      <c r="B57" s="11">
        <f>INDEX('Combined_Data'!B:B, MATCH(Derived_Data!A57, 'Combined_Data'!A:A, 0))</f>
        <v>40546</v>
      </c>
      <c r="C57" s="12" t="str">
        <f>INDEX('Combined_Data'!G:G, MATCH(A57, 'Combined_Data'!A:A, 0))</f>
        <v>Monday</v>
      </c>
      <c r="D57" s="12" t="b">
        <f>INDEX('Combined_Data'!F:F, MATCH(A57, 'Combined_Data'!A:A, 0))</f>
        <v>0</v>
      </c>
      <c r="E57" s="12">
        <f>INDEX('Combined_Data'!O:O, MATCH(A57, 'Combined_Data'!A:A, 0))</f>
        <v>44</v>
      </c>
      <c r="F57" s="12">
        <f>INDEX('Combined_Data'!M:M, MATCH(A57, 'Combined_Data'!A:A, 0))</f>
        <v>11</v>
      </c>
      <c r="G57" s="12">
        <f>INDEX('Combined_Data'!N:N, MATCH(A57, 'Combined_Data'!A:A, 0))</f>
        <v>33</v>
      </c>
      <c r="H57" s="12" t="str">
        <f t="shared" si="0"/>
        <v>Weekday</v>
      </c>
      <c r="I57" s="12" t="str">
        <f t="shared" si="1"/>
        <v>Working Day</v>
      </c>
      <c r="J57" s="12" t="str">
        <f t="shared" si="2"/>
        <v>Low</v>
      </c>
      <c r="K57" s="12" t="str">
        <f>INDEX('Combined_Data'!H:H, MATCH(A57, 'Combined_Data'!A:A, 0))</f>
        <v>Clear</v>
      </c>
      <c r="L57" s="13">
        <f t="shared" si="3"/>
        <v>1</v>
      </c>
    </row>
    <row r="58" spans="1:12" x14ac:dyDescent="0.35">
      <c r="A58" s="10">
        <v>57</v>
      </c>
      <c r="B58" s="11">
        <f>INDEX('Combined_Data'!B:B, MATCH(Derived_Data!A58, 'Combined_Data'!A:A, 0))</f>
        <v>40546</v>
      </c>
      <c r="C58" s="12" t="str">
        <f>INDEX('Combined_Data'!G:G, MATCH(A58, 'Combined_Data'!A:A, 0))</f>
        <v>Monday</v>
      </c>
      <c r="D58" s="12" t="b">
        <f>INDEX('Combined_Data'!F:F, MATCH(A58, 'Combined_Data'!A:A, 0))</f>
        <v>0</v>
      </c>
      <c r="E58" s="12">
        <f>INDEX('Combined_Data'!O:O, MATCH(A58, 'Combined_Data'!A:A, 0))</f>
        <v>51</v>
      </c>
      <c r="F58" s="12">
        <f>INDEX('Combined_Data'!M:M, MATCH(A58, 'Combined_Data'!A:A, 0))</f>
        <v>10</v>
      </c>
      <c r="G58" s="12">
        <f>INDEX('Combined_Data'!N:N, MATCH(A58, 'Combined_Data'!A:A, 0))</f>
        <v>41</v>
      </c>
      <c r="H58" s="12" t="str">
        <f t="shared" si="0"/>
        <v>Weekday</v>
      </c>
      <c r="I58" s="12" t="str">
        <f t="shared" si="1"/>
        <v>Working Day</v>
      </c>
      <c r="J58" s="12" t="str">
        <f t="shared" si="2"/>
        <v>Low</v>
      </c>
      <c r="K58" s="12" t="str">
        <f>INDEX('Combined_Data'!H:H, MATCH(A58, 'Combined_Data'!A:A, 0))</f>
        <v>Clear</v>
      </c>
      <c r="L58" s="13">
        <f t="shared" si="3"/>
        <v>1</v>
      </c>
    </row>
    <row r="59" spans="1:12" x14ac:dyDescent="0.35">
      <c r="A59" s="10">
        <v>58</v>
      </c>
      <c r="B59" s="11">
        <f>INDEX('Combined_Data'!B:B, MATCH(Derived_Data!A59, 'Combined_Data'!A:A, 0))</f>
        <v>40546</v>
      </c>
      <c r="C59" s="12" t="str">
        <f>INDEX('Combined_Data'!G:G, MATCH(A59, 'Combined_Data'!A:A, 0))</f>
        <v>Monday</v>
      </c>
      <c r="D59" s="12" t="b">
        <f>INDEX('Combined_Data'!F:F, MATCH(A59, 'Combined_Data'!A:A, 0))</f>
        <v>0</v>
      </c>
      <c r="E59" s="12">
        <f>INDEX('Combined_Data'!O:O, MATCH(A59, 'Combined_Data'!A:A, 0))</f>
        <v>61</v>
      </c>
      <c r="F59" s="12">
        <f>INDEX('Combined_Data'!M:M, MATCH(A59, 'Combined_Data'!A:A, 0))</f>
        <v>13</v>
      </c>
      <c r="G59" s="12">
        <f>INDEX('Combined_Data'!N:N, MATCH(A59, 'Combined_Data'!A:A, 0))</f>
        <v>48</v>
      </c>
      <c r="H59" s="12" t="str">
        <f t="shared" si="0"/>
        <v>Weekday</v>
      </c>
      <c r="I59" s="12" t="str">
        <f t="shared" si="1"/>
        <v>Working Day</v>
      </c>
      <c r="J59" s="12" t="str">
        <f t="shared" si="2"/>
        <v>Low</v>
      </c>
      <c r="K59" s="12" t="str">
        <f>INDEX('Combined_Data'!H:H, MATCH(A59, 'Combined_Data'!A:A, 0))</f>
        <v>Clear</v>
      </c>
      <c r="L59" s="13">
        <f t="shared" si="3"/>
        <v>1</v>
      </c>
    </row>
    <row r="60" spans="1:12" x14ac:dyDescent="0.35">
      <c r="A60" s="10">
        <v>59</v>
      </c>
      <c r="B60" s="11">
        <f>INDEX('Combined_Data'!B:B, MATCH(Derived_Data!A60, 'Combined_Data'!A:A, 0))</f>
        <v>40546</v>
      </c>
      <c r="C60" s="12" t="str">
        <f>INDEX('Combined_Data'!G:G, MATCH(A60, 'Combined_Data'!A:A, 0))</f>
        <v>Monday</v>
      </c>
      <c r="D60" s="12" t="b">
        <f>INDEX('Combined_Data'!F:F, MATCH(A60, 'Combined_Data'!A:A, 0))</f>
        <v>0</v>
      </c>
      <c r="E60" s="12">
        <f>INDEX('Combined_Data'!O:O, MATCH(A60, 'Combined_Data'!A:A, 0))</f>
        <v>61</v>
      </c>
      <c r="F60" s="12">
        <f>INDEX('Combined_Data'!M:M, MATCH(A60, 'Combined_Data'!A:A, 0))</f>
        <v>8</v>
      </c>
      <c r="G60" s="12">
        <f>INDEX('Combined_Data'!N:N, MATCH(A60, 'Combined_Data'!A:A, 0))</f>
        <v>53</v>
      </c>
      <c r="H60" s="12" t="str">
        <f t="shared" si="0"/>
        <v>Weekday</v>
      </c>
      <c r="I60" s="12" t="str">
        <f t="shared" si="1"/>
        <v>Working Day</v>
      </c>
      <c r="J60" s="12" t="str">
        <f t="shared" si="2"/>
        <v>Low</v>
      </c>
      <c r="K60" s="12" t="str">
        <f>INDEX('Combined_Data'!H:H, MATCH(A60, 'Combined_Data'!A:A, 0))</f>
        <v>Clear</v>
      </c>
      <c r="L60" s="13">
        <f t="shared" si="3"/>
        <v>1</v>
      </c>
    </row>
    <row r="61" spans="1:12" x14ac:dyDescent="0.35">
      <c r="A61" s="10">
        <v>60</v>
      </c>
      <c r="B61" s="11">
        <f>INDEX('Combined_Data'!B:B, MATCH(Derived_Data!A61, 'Combined_Data'!A:A, 0))</f>
        <v>40546</v>
      </c>
      <c r="C61" s="12" t="str">
        <f>INDEX('Combined_Data'!G:G, MATCH(A61, 'Combined_Data'!A:A, 0))</f>
        <v>Monday</v>
      </c>
      <c r="D61" s="12" t="b">
        <f>INDEX('Combined_Data'!F:F, MATCH(A61, 'Combined_Data'!A:A, 0))</f>
        <v>0</v>
      </c>
      <c r="E61" s="12">
        <f>INDEX('Combined_Data'!O:O, MATCH(A61, 'Combined_Data'!A:A, 0))</f>
        <v>77</v>
      </c>
      <c r="F61" s="12">
        <f>INDEX('Combined_Data'!M:M, MATCH(A61, 'Combined_Data'!A:A, 0))</f>
        <v>11</v>
      </c>
      <c r="G61" s="12">
        <f>INDEX('Combined_Data'!N:N, MATCH(A61, 'Combined_Data'!A:A, 0))</f>
        <v>66</v>
      </c>
      <c r="H61" s="12" t="str">
        <f t="shared" si="0"/>
        <v>Weekday</v>
      </c>
      <c r="I61" s="12" t="str">
        <f t="shared" si="1"/>
        <v>Working Day</v>
      </c>
      <c r="J61" s="12" t="str">
        <f t="shared" si="2"/>
        <v>Low</v>
      </c>
      <c r="K61" s="12" t="str">
        <f>INDEX('Combined_Data'!H:H, MATCH(A61, 'Combined_Data'!A:A, 0))</f>
        <v>Clear</v>
      </c>
      <c r="L61" s="13">
        <f t="shared" si="3"/>
        <v>1</v>
      </c>
    </row>
    <row r="62" spans="1:12" x14ac:dyDescent="0.35">
      <c r="A62" s="10">
        <v>61</v>
      </c>
      <c r="B62" s="11">
        <f>INDEX('Combined_Data'!B:B, MATCH(Derived_Data!A62, 'Combined_Data'!A:A, 0))</f>
        <v>40546</v>
      </c>
      <c r="C62" s="12" t="str">
        <f>INDEX('Combined_Data'!G:G, MATCH(A62, 'Combined_Data'!A:A, 0))</f>
        <v>Monday</v>
      </c>
      <c r="D62" s="12" t="b">
        <f>INDEX('Combined_Data'!F:F, MATCH(A62, 'Combined_Data'!A:A, 0))</f>
        <v>0</v>
      </c>
      <c r="E62" s="12">
        <f>INDEX('Combined_Data'!O:O, MATCH(A62, 'Combined_Data'!A:A, 0))</f>
        <v>72</v>
      </c>
      <c r="F62" s="12">
        <f>INDEX('Combined_Data'!M:M, MATCH(A62, 'Combined_Data'!A:A, 0))</f>
        <v>14</v>
      </c>
      <c r="G62" s="12">
        <f>INDEX('Combined_Data'!N:N, MATCH(A62, 'Combined_Data'!A:A, 0))</f>
        <v>58</v>
      </c>
      <c r="H62" s="12" t="str">
        <f t="shared" si="0"/>
        <v>Weekday</v>
      </c>
      <c r="I62" s="12" t="str">
        <f t="shared" si="1"/>
        <v>Working Day</v>
      </c>
      <c r="J62" s="12" t="str">
        <f t="shared" si="2"/>
        <v>Low</v>
      </c>
      <c r="K62" s="12" t="str">
        <f>INDEX('Combined_Data'!H:H, MATCH(A62, 'Combined_Data'!A:A, 0))</f>
        <v>Clear</v>
      </c>
      <c r="L62" s="13">
        <f t="shared" si="3"/>
        <v>1</v>
      </c>
    </row>
    <row r="63" spans="1:12" x14ac:dyDescent="0.35">
      <c r="A63" s="10">
        <v>62</v>
      </c>
      <c r="B63" s="11">
        <f>INDEX('Combined_Data'!B:B, MATCH(Derived_Data!A63, 'Combined_Data'!A:A, 0))</f>
        <v>40546</v>
      </c>
      <c r="C63" s="12" t="str">
        <f>INDEX('Combined_Data'!G:G, MATCH(A63, 'Combined_Data'!A:A, 0))</f>
        <v>Monday</v>
      </c>
      <c r="D63" s="12" t="b">
        <f>INDEX('Combined_Data'!F:F, MATCH(A63, 'Combined_Data'!A:A, 0))</f>
        <v>0</v>
      </c>
      <c r="E63" s="12">
        <f>INDEX('Combined_Data'!O:O, MATCH(A63, 'Combined_Data'!A:A, 0))</f>
        <v>76</v>
      </c>
      <c r="F63" s="12">
        <f>INDEX('Combined_Data'!M:M, MATCH(A63, 'Combined_Data'!A:A, 0))</f>
        <v>9</v>
      </c>
      <c r="G63" s="12">
        <f>INDEX('Combined_Data'!N:N, MATCH(A63, 'Combined_Data'!A:A, 0))</f>
        <v>67</v>
      </c>
      <c r="H63" s="12" t="str">
        <f t="shared" si="0"/>
        <v>Weekday</v>
      </c>
      <c r="I63" s="12" t="str">
        <f t="shared" si="1"/>
        <v>Working Day</v>
      </c>
      <c r="J63" s="12" t="str">
        <f t="shared" si="2"/>
        <v>Low</v>
      </c>
      <c r="K63" s="12" t="str">
        <f>INDEX('Combined_Data'!H:H, MATCH(A63, 'Combined_Data'!A:A, 0))</f>
        <v>Clear</v>
      </c>
      <c r="L63" s="13">
        <f t="shared" si="3"/>
        <v>1</v>
      </c>
    </row>
    <row r="64" spans="1:12" x14ac:dyDescent="0.35">
      <c r="A64" s="10">
        <v>63</v>
      </c>
      <c r="B64" s="11">
        <f>INDEX('Combined_Data'!B:B, MATCH(Derived_Data!A64, 'Combined_Data'!A:A, 0))</f>
        <v>40546</v>
      </c>
      <c r="C64" s="12" t="str">
        <f>INDEX('Combined_Data'!G:G, MATCH(A64, 'Combined_Data'!A:A, 0))</f>
        <v>Monday</v>
      </c>
      <c r="D64" s="12" t="b">
        <f>INDEX('Combined_Data'!F:F, MATCH(A64, 'Combined_Data'!A:A, 0))</f>
        <v>0</v>
      </c>
      <c r="E64" s="12">
        <f>INDEX('Combined_Data'!O:O, MATCH(A64, 'Combined_Data'!A:A, 0))</f>
        <v>157</v>
      </c>
      <c r="F64" s="12">
        <f>INDEX('Combined_Data'!M:M, MATCH(A64, 'Combined_Data'!A:A, 0))</f>
        <v>11</v>
      </c>
      <c r="G64" s="12">
        <f>INDEX('Combined_Data'!N:N, MATCH(A64, 'Combined_Data'!A:A, 0))</f>
        <v>146</v>
      </c>
      <c r="H64" s="12" t="str">
        <f t="shared" si="0"/>
        <v>Weekday</v>
      </c>
      <c r="I64" s="12" t="str">
        <f t="shared" si="1"/>
        <v>Working Day</v>
      </c>
      <c r="J64" s="12" t="str">
        <f t="shared" si="2"/>
        <v>High</v>
      </c>
      <c r="K64" s="12" t="str">
        <f>INDEX('Combined_Data'!H:H, MATCH(A64, 'Combined_Data'!A:A, 0))</f>
        <v>Clear</v>
      </c>
      <c r="L64" s="13">
        <f t="shared" si="3"/>
        <v>1</v>
      </c>
    </row>
    <row r="65" spans="1:12" x14ac:dyDescent="0.35">
      <c r="A65" s="10">
        <v>64</v>
      </c>
      <c r="B65" s="11">
        <f>INDEX('Combined_Data'!B:B, MATCH(Derived_Data!A65, 'Combined_Data'!A:A, 0))</f>
        <v>40546</v>
      </c>
      <c r="C65" s="12" t="str">
        <f>INDEX('Combined_Data'!G:G, MATCH(A65, 'Combined_Data'!A:A, 0))</f>
        <v>Monday</v>
      </c>
      <c r="D65" s="12" t="b">
        <f>INDEX('Combined_Data'!F:F, MATCH(A65, 'Combined_Data'!A:A, 0))</f>
        <v>0</v>
      </c>
      <c r="E65" s="12">
        <f>INDEX('Combined_Data'!O:O, MATCH(A65, 'Combined_Data'!A:A, 0))</f>
        <v>157</v>
      </c>
      <c r="F65" s="12">
        <f>INDEX('Combined_Data'!M:M, MATCH(A65, 'Combined_Data'!A:A, 0))</f>
        <v>9</v>
      </c>
      <c r="G65" s="12">
        <f>INDEX('Combined_Data'!N:N, MATCH(A65, 'Combined_Data'!A:A, 0))</f>
        <v>148</v>
      </c>
      <c r="H65" s="12" t="str">
        <f t="shared" si="0"/>
        <v>Weekday</v>
      </c>
      <c r="I65" s="12" t="str">
        <f t="shared" si="1"/>
        <v>Working Day</v>
      </c>
      <c r="J65" s="12" t="str">
        <f t="shared" si="2"/>
        <v>High</v>
      </c>
      <c r="K65" s="12" t="str">
        <f>INDEX('Combined_Data'!H:H, MATCH(A65, 'Combined_Data'!A:A, 0))</f>
        <v>Clear</v>
      </c>
      <c r="L65" s="13">
        <f t="shared" si="3"/>
        <v>1</v>
      </c>
    </row>
    <row r="66" spans="1:12" x14ac:dyDescent="0.35">
      <c r="A66" s="10">
        <v>65</v>
      </c>
      <c r="B66" s="11">
        <f>INDEX('Combined_Data'!B:B, MATCH(Derived_Data!A66, 'Combined_Data'!A:A, 0))</f>
        <v>40546</v>
      </c>
      <c r="C66" s="12" t="str">
        <f>INDEX('Combined_Data'!G:G, MATCH(A66, 'Combined_Data'!A:A, 0))</f>
        <v>Monday</v>
      </c>
      <c r="D66" s="12" t="b">
        <f>INDEX('Combined_Data'!F:F, MATCH(A66, 'Combined_Data'!A:A, 0))</f>
        <v>0</v>
      </c>
      <c r="E66" s="12">
        <f>INDEX('Combined_Data'!O:O, MATCH(A66, 'Combined_Data'!A:A, 0))</f>
        <v>110</v>
      </c>
      <c r="F66" s="12">
        <f>INDEX('Combined_Data'!M:M, MATCH(A66, 'Combined_Data'!A:A, 0))</f>
        <v>8</v>
      </c>
      <c r="G66" s="12">
        <f>INDEX('Combined_Data'!N:N, MATCH(A66, 'Combined_Data'!A:A, 0))</f>
        <v>102</v>
      </c>
      <c r="H66" s="12" t="str">
        <f t="shared" si="0"/>
        <v>Weekday</v>
      </c>
      <c r="I66" s="12" t="str">
        <f t="shared" si="1"/>
        <v>Working Day</v>
      </c>
      <c r="J66" s="12" t="str">
        <f t="shared" si="2"/>
        <v>Medium</v>
      </c>
      <c r="K66" s="12" t="str">
        <f>INDEX('Combined_Data'!H:H, MATCH(A66, 'Combined_Data'!A:A, 0))</f>
        <v>Clear</v>
      </c>
      <c r="L66" s="13">
        <f t="shared" si="3"/>
        <v>1</v>
      </c>
    </row>
    <row r="67" spans="1:12" x14ac:dyDescent="0.35">
      <c r="A67" s="10">
        <v>66</v>
      </c>
      <c r="B67" s="11">
        <f>INDEX('Combined_Data'!B:B, MATCH(Derived_Data!A67, 'Combined_Data'!A:A, 0))</f>
        <v>40546</v>
      </c>
      <c r="C67" s="12" t="str">
        <f>INDEX('Combined_Data'!G:G, MATCH(A67, 'Combined_Data'!A:A, 0))</f>
        <v>Monday</v>
      </c>
      <c r="D67" s="12" t="b">
        <f>INDEX('Combined_Data'!F:F, MATCH(A67, 'Combined_Data'!A:A, 0))</f>
        <v>0</v>
      </c>
      <c r="E67" s="12">
        <f>INDEX('Combined_Data'!O:O, MATCH(A67, 'Combined_Data'!A:A, 0))</f>
        <v>52</v>
      </c>
      <c r="F67" s="12">
        <f>INDEX('Combined_Data'!M:M, MATCH(A67, 'Combined_Data'!A:A, 0))</f>
        <v>3</v>
      </c>
      <c r="G67" s="12">
        <f>INDEX('Combined_Data'!N:N, MATCH(A67, 'Combined_Data'!A:A, 0))</f>
        <v>49</v>
      </c>
      <c r="H67" s="12" t="str">
        <f t="shared" ref="H67:H130" si="4">IF(OR(TRIM(C67)="Saturday",TRIM(C67)="Sunday"),"Weekend","Weekday")</f>
        <v>Weekday</v>
      </c>
      <c r="I67" s="12" t="str">
        <f t="shared" ref="I67:I130" si="5">IF(D67=TRUE,"Holiday","Working Day")</f>
        <v>Working Day</v>
      </c>
      <c r="J67" s="12" t="str">
        <f t="shared" ref="J67:J130" si="6">IF(E67&lt;100,"Low",IF(E67&lt;=150,"Medium","High"))</f>
        <v>Low</v>
      </c>
      <c r="K67" s="12" t="str">
        <f>INDEX('Combined_Data'!H:H, MATCH(A67, 'Combined_Data'!A:A, 0))</f>
        <v>Clear</v>
      </c>
      <c r="L67" s="13">
        <f t="shared" ref="L67:L130" si="7">VLOOKUP(TRIM(K67), $T$2:$U$5, 2, FALSE)</f>
        <v>1</v>
      </c>
    </row>
    <row r="68" spans="1:12" x14ac:dyDescent="0.35">
      <c r="A68" s="10">
        <v>67</v>
      </c>
      <c r="B68" s="11">
        <f>INDEX('Combined_Data'!B:B, MATCH(Derived_Data!A68, 'Combined_Data'!A:A, 0))</f>
        <v>40546</v>
      </c>
      <c r="C68" s="12" t="str">
        <f>INDEX('Combined_Data'!G:G, MATCH(A68, 'Combined_Data'!A:A, 0))</f>
        <v>Monday</v>
      </c>
      <c r="D68" s="12" t="b">
        <f>INDEX('Combined_Data'!F:F, MATCH(A68, 'Combined_Data'!A:A, 0))</f>
        <v>0</v>
      </c>
      <c r="E68" s="12">
        <f>INDEX('Combined_Data'!O:O, MATCH(A68, 'Combined_Data'!A:A, 0))</f>
        <v>52</v>
      </c>
      <c r="F68" s="12">
        <f>INDEX('Combined_Data'!M:M, MATCH(A68, 'Combined_Data'!A:A, 0))</f>
        <v>3</v>
      </c>
      <c r="G68" s="12">
        <f>INDEX('Combined_Data'!N:N, MATCH(A68, 'Combined_Data'!A:A, 0))</f>
        <v>49</v>
      </c>
      <c r="H68" s="12" t="str">
        <f t="shared" si="4"/>
        <v>Weekday</v>
      </c>
      <c r="I68" s="12" t="str">
        <f t="shared" si="5"/>
        <v>Working Day</v>
      </c>
      <c r="J68" s="12" t="str">
        <f t="shared" si="6"/>
        <v>Low</v>
      </c>
      <c r="K68" s="12" t="str">
        <f>INDEX('Combined_Data'!H:H, MATCH(A68, 'Combined_Data'!A:A, 0))</f>
        <v>Clear</v>
      </c>
      <c r="L68" s="13">
        <f t="shared" si="7"/>
        <v>1</v>
      </c>
    </row>
    <row r="69" spans="1:12" x14ac:dyDescent="0.35">
      <c r="A69" s="10">
        <v>68</v>
      </c>
      <c r="B69" s="11">
        <f>INDEX('Combined_Data'!B:B, MATCH(Derived_Data!A69, 'Combined_Data'!A:A, 0))</f>
        <v>40546</v>
      </c>
      <c r="C69" s="12" t="str">
        <f>INDEX('Combined_Data'!G:G, MATCH(A69, 'Combined_Data'!A:A, 0))</f>
        <v>Monday</v>
      </c>
      <c r="D69" s="12" t="b">
        <f>INDEX('Combined_Data'!F:F, MATCH(A69, 'Combined_Data'!A:A, 0))</f>
        <v>0</v>
      </c>
      <c r="E69" s="12">
        <f>INDEX('Combined_Data'!O:O, MATCH(A69, 'Combined_Data'!A:A, 0))</f>
        <v>20</v>
      </c>
      <c r="F69" s="12">
        <f>INDEX('Combined_Data'!M:M, MATCH(A69, 'Combined_Data'!A:A, 0))</f>
        <v>0</v>
      </c>
      <c r="G69" s="12">
        <f>INDEX('Combined_Data'!N:N, MATCH(A69, 'Combined_Data'!A:A, 0))</f>
        <v>20</v>
      </c>
      <c r="H69" s="12" t="str">
        <f t="shared" si="4"/>
        <v>Weekday</v>
      </c>
      <c r="I69" s="12" t="str">
        <f t="shared" si="5"/>
        <v>Working Day</v>
      </c>
      <c r="J69" s="12" t="str">
        <f t="shared" si="6"/>
        <v>Low</v>
      </c>
      <c r="K69" s="12" t="str">
        <f>INDEX('Combined_Data'!H:H, MATCH(A69, 'Combined_Data'!A:A, 0))</f>
        <v>Clear</v>
      </c>
      <c r="L69" s="13">
        <f t="shared" si="7"/>
        <v>1</v>
      </c>
    </row>
    <row r="70" spans="1:12" x14ac:dyDescent="0.35">
      <c r="A70" s="10">
        <v>69</v>
      </c>
      <c r="B70" s="11">
        <f>INDEX('Combined_Data'!B:B, MATCH(Derived_Data!A70, 'Combined_Data'!A:A, 0))</f>
        <v>40546</v>
      </c>
      <c r="C70" s="12" t="str">
        <f>INDEX('Combined_Data'!G:G, MATCH(A70, 'Combined_Data'!A:A, 0))</f>
        <v>Monday</v>
      </c>
      <c r="D70" s="12" t="b">
        <f>INDEX('Combined_Data'!F:F, MATCH(A70, 'Combined_Data'!A:A, 0))</f>
        <v>0</v>
      </c>
      <c r="E70" s="12">
        <f>INDEX('Combined_Data'!O:O, MATCH(A70, 'Combined_Data'!A:A, 0))</f>
        <v>12</v>
      </c>
      <c r="F70" s="12">
        <f>INDEX('Combined_Data'!M:M, MATCH(A70, 'Combined_Data'!A:A, 0))</f>
        <v>1</v>
      </c>
      <c r="G70" s="12">
        <f>INDEX('Combined_Data'!N:N, MATCH(A70, 'Combined_Data'!A:A, 0))</f>
        <v>11</v>
      </c>
      <c r="H70" s="12" t="str">
        <f t="shared" si="4"/>
        <v>Weekday</v>
      </c>
      <c r="I70" s="12" t="str">
        <f t="shared" si="5"/>
        <v>Working Day</v>
      </c>
      <c r="J70" s="12" t="str">
        <f t="shared" si="6"/>
        <v>Low</v>
      </c>
      <c r="K70" s="12" t="str">
        <f>INDEX('Combined_Data'!H:H, MATCH(A70, 'Combined_Data'!A:A, 0))</f>
        <v>Clear</v>
      </c>
      <c r="L70" s="13">
        <f t="shared" si="7"/>
        <v>1</v>
      </c>
    </row>
    <row r="71" spans="1:12" x14ac:dyDescent="0.35">
      <c r="A71" s="10">
        <v>70</v>
      </c>
      <c r="B71" s="11">
        <f>INDEX('Combined_Data'!B:B, MATCH(Derived_Data!A71, 'Combined_Data'!A:A, 0))</f>
        <v>40547</v>
      </c>
      <c r="C71" s="12" t="str">
        <f>INDEX('Combined_Data'!G:G, MATCH(A71, 'Combined_Data'!A:A, 0))</f>
        <v>Tuesday</v>
      </c>
      <c r="D71" s="12" t="b">
        <f>INDEX('Combined_Data'!F:F, MATCH(A71, 'Combined_Data'!A:A, 0))</f>
        <v>0</v>
      </c>
      <c r="E71" s="12">
        <f>INDEX('Combined_Data'!O:O, MATCH(A71, 'Combined_Data'!A:A, 0))</f>
        <v>5</v>
      </c>
      <c r="F71" s="12">
        <f>INDEX('Combined_Data'!M:M, MATCH(A71, 'Combined_Data'!A:A, 0))</f>
        <v>0</v>
      </c>
      <c r="G71" s="12">
        <f>INDEX('Combined_Data'!N:N, MATCH(A71, 'Combined_Data'!A:A, 0))</f>
        <v>5</v>
      </c>
      <c r="H71" s="12" t="str">
        <f t="shared" si="4"/>
        <v>Weekday</v>
      </c>
      <c r="I71" s="12" t="str">
        <f t="shared" si="5"/>
        <v>Working Day</v>
      </c>
      <c r="J71" s="12" t="str">
        <f t="shared" si="6"/>
        <v>Low</v>
      </c>
      <c r="K71" s="12" t="str">
        <f>INDEX('Combined_Data'!H:H, MATCH(A71, 'Combined_Data'!A:A, 0))</f>
        <v>Clear</v>
      </c>
      <c r="L71" s="13">
        <f t="shared" si="7"/>
        <v>1</v>
      </c>
    </row>
    <row r="72" spans="1:12" x14ac:dyDescent="0.35">
      <c r="A72" s="10">
        <v>71</v>
      </c>
      <c r="B72" s="11">
        <f>INDEX('Combined_Data'!B:B, MATCH(Derived_Data!A72, 'Combined_Data'!A:A, 0))</f>
        <v>40547</v>
      </c>
      <c r="C72" s="12" t="str">
        <f>INDEX('Combined_Data'!G:G, MATCH(A72, 'Combined_Data'!A:A, 0))</f>
        <v>Tuesday</v>
      </c>
      <c r="D72" s="12" t="b">
        <f>INDEX('Combined_Data'!F:F, MATCH(A72, 'Combined_Data'!A:A, 0))</f>
        <v>0</v>
      </c>
      <c r="E72" s="12">
        <f>INDEX('Combined_Data'!O:O, MATCH(A72, 'Combined_Data'!A:A, 0))</f>
        <v>2</v>
      </c>
      <c r="F72" s="12">
        <f>INDEX('Combined_Data'!M:M, MATCH(A72, 'Combined_Data'!A:A, 0))</f>
        <v>0</v>
      </c>
      <c r="G72" s="12">
        <f>INDEX('Combined_Data'!N:N, MATCH(A72, 'Combined_Data'!A:A, 0))</f>
        <v>2</v>
      </c>
      <c r="H72" s="12" t="str">
        <f t="shared" si="4"/>
        <v>Weekday</v>
      </c>
      <c r="I72" s="12" t="str">
        <f t="shared" si="5"/>
        <v>Working Day</v>
      </c>
      <c r="J72" s="12" t="str">
        <f t="shared" si="6"/>
        <v>Low</v>
      </c>
      <c r="K72" s="12" t="str">
        <f>INDEX('Combined_Data'!H:H, MATCH(A72, 'Combined_Data'!A:A, 0))</f>
        <v>Clear</v>
      </c>
      <c r="L72" s="13">
        <f t="shared" si="7"/>
        <v>1</v>
      </c>
    </row>
    <row r="73" spans="1:12" x14ac:dyDescent="0.35">
      <c r="A73" s="10">
        <v>72</v>
      </c>
      <c r="B73" s="11">
        <f>INDEX('Combined_Data'!B:B, MATCH(Derived_Data!A73, 'Combined_Data'!A:A, 0))</f>
        <v>40547</v>
      </c>
      <c r="C73" s="12" t="str">
        <f>INDEX('Combined_Data'!G:G, MATCH(A73, 'Combined_Data'!A:A, 0))</f>
        <v>Tuesday</v>
      </c>
      <c r="D73" s="12" t="b">
        <f>INDEX('Combined_Data'!F:F, MATCH(A73, 'Combined_Data'!A:A, 0))</f>
        <v>0</v>
      </c>
      <c r="E73" s="12">
        <f>INDEX('Combined_Data'!O:O, MATCH(A73, 'Combined_Data'!A:A, 0))</f>
        <v>1</v>
      </c>
      <c r="F73" s="12">
        <f>INDEX('Combined_Data'!M:M, MATCH(A73, 'Combined_Data'!A:A, 0))</f>
        <v>0</v>
      </c>
      <c r="G73" s="12">
        <f>INDEX('Combined_Data'!N:N, MATCH(A73, 'Combined_Data'!A:A, 0))</f>
        <v>1</v>
      </c>
      <c r="H73" s="12" t="str">
        <f t="shared" si="4"/>
        <v>Weekday</v>
      </c>
      <c r="I73" s="12" t="str">
        <f t="shared" si="5"/>
        <v>Working Day</v>
      </c>
      <c r="J73" s="12" t="str">
        <f t="shared" si="6"/>
        <v>Low</v>
      </c>
      <c r="K73" s="12" t="str">
        <f>INDEX('Combined_Data'!H:H, MATCH(A73, 'Combined_Data'!A:A, 0))</f>
        <v>Clear</v>
      </c>
      <c r="L73" s="13">
        <f t="shared" si="7"/>
        <v>1</v>
      </c>
    </row>
    <row r="74" spans="1:12" x14ac:dyDescent="0.35">
      <c r="A74" s="10">
        <v>73</v>
      </c>
      <c r="B74" s="11">
        <f>INDEX('Combined_Data'!B:B, MATCH(Derived_Data!A74, 'Combined_Data'!A:A, 0))</f>
        <v>40547</v>
      </c>
      <c r="C74" s="12" t="str">
        <f>INDEX('Combined_Data'!G:G, MATCH(A74, 'Combined_Data'!A:A, 0))</f>
        <v>Tuesday</v>
      </c>
      <c r="D74" s="12" t="b">
        <f>INDEX('Combined_Data'!F:F, MATCH(A74, 'Combined_Data'!A:A, 0))</f>
        <v>0</v>
      </c>
      <c r="E74" s="12">
        <f>INDEX('Combined_Data'!O:O, MATCH(A74, 'Combined_Data'!A:A, 0))</f>
        <v>2</v>
      </c>
      <c r="F74" s="12">
        <f>INDEX('Combined_Data'!M:M, MATCH(A74, 'Combined_Data'!A:A, 0))</f>
        <v>0</v>
      </c>
      <c r="G74" s="12">
        <f>INDEX('Combined_Data'!N:N, MATCH(A74, 'Combined_Data'!A:A, 0))</f>
        <v>2</v>
      </c>
      <c r="H74" s="12" t="str">
        <f t="shared" si="4"/>
        <v>Weekday</v>
      </c>
      <c r="I74" s="12" t="str">
        <f t="shared" si="5"/>
        <v>Working Day</v>
      </c>
      <c r="J74" s="12" t="str">
        <f t="shared" si="6"/>
        <v>Low</v>
      </c>
      <c r="K74" s="12" t="str">
        <f>INDEX('Combined_Data'!H:H, MATCH(A74, 'Combined_Data'!A:A, 0))</f>
        <v>Clear</v>
      </c>
      <c r="L74" s="13">
        <f t="shared" si="7"/>
        <v>1</v>
      </c>
    </row>
    <row r="75" spans="1:12" x14ac:dyDescent="0.35">
      <c r="A75" s="10">
        <v>74</v>
      </c>
      <c r="B75" s="11">
        <f>INDEX('Combined_Data'!B:B, MATCH(Derived_Data!A75, 'Combined_Data'!A:A, 0))</f>
        <v>40547</v>
      </c>
      <c r="C75" s="12" t="str">
        <f>INDEX('Combined_Data'!G:G, MATCH(A75, 'Combined_Data'!A:A, 0))</f>
        <v>Tuesday</v>
      </c>
      <c r="D75" s="12" t="b">
        <f>INDEX('Combined_Data'!F:F, MATCH(A75, 'Combined_Data'!A:A, 0))</f>
        <v>0</v>
      </c>
      <c r="E75" s="12">
        <f>INDEX('Combined_Data'!O:O, MATCH(A75, 'Combined_Data'!A:A, 0))</f>
        <v>4</v>
      </c>
      <c r="F75" s="12">
        <f>INDEX('Combined_Data'!M:M, MATCH(A75, 'Combined_Data'!A:A, 0))</f>
        <v>0</v>
      </c>
      <c r="G75" s="12">
        <f>INDEX('Combined_Data'!N:N, MATCH(A75, 'Combined_Data'!A:A, 0))</f>
        <v>4</v>
      </c>
      <c r="H75" s="12" t="str">
        <f t="shared" si="4"/>
        <v>Weekday</v>
      </c>
      <c r="I75" s="12" t="str">
        <f t="shared" si="5"/>
        <v>Working Day</v>
      </c>
      <c r="J75" s="12" t="str">
        <f t="shared" si="6"/>
        <v>Low</v>
      </c>
      <c r="K75" s="12" t="str">
        <f>INDEX('Combined_Data'!H:H, MATCH(A75, 'Combined_Data'!A:A, 0))</f>
        <v>Clear</v>
      </c>
      <c r="L75" s="13">
        <f t="shared" si="7"/>
        <v>1</v>
      </c>
    </row>
    <row r="76" spans="1:12" x14ac:dyDescent="0.35">
      <c r="A76" s="10">
        <v>75</v>
      </c>
      <c r="B76" s="11">
        <f>INDEX('Combined_Data'!B:B, MATCH(Derived_Data!A76, 'Combined_Data'!A:A, 0))</f>
        <v>40547</v>
      </c>
      <c r="C76" s="12" t="str">
        <f>INDEX('Combined_Data'!G:G, MATCH(A76, 'Combined_Data'!A:A, 0))</f>
        <v>Tuesday</v>
      </c>
      <c r="D76" s="12" t="b">
        <f>INDEX('Combined_Data'!F:F, MATCH(A76, 'Combined_Data'!A:A, 0))</f>
        <v>0</v>
      </c>
      <c r="E76" s="12">
        <f>INDEX('Combined_Data'!O:O, MATCH(A76, 'Combined_Data'!A:A, 0))</f>
        <v>36</v>
      </c>
      <c r="F76" s="12">
        <f>INDEX('Combined_Data'!M:M, MATCH(A76, 'Combined_Data'!A:A, 0))</f>
        <v>0</v>
      </c>
      <c r="G76" s="12">
        <f>INDEX('Combined_Data'!N:N, MATCH(A76, 'Combined_Data'!A:A, 0))</f>
        <v>36</v>
      </c>
      <c r="H76" s="12" t="str">
        <f t="shared" si="4"/>
        <v>Weekday</v>
      </c>
      <c r="I76" s="12" t="str">
        <f t="shared" si="5"/>
        <v>Working Day</v>
      </c>
      <c r="J76" s="12" t="str">
        <f t="shared" si="6"/>
        <v>Low</v>
      </c>
      <c r="K76" s="12" t="str">
        <f>INDEX('Combined_Data'!H:H, MATCH(A76, 'Combined_Data'!A:A, 0))</f>
        <v>Clear</v>
      </c>
      <c r="L76" s="13">
        <f t="shared" si="7"/>
        <v>1</v>
      </c>
    </row>
    <row r="77" spans="1:12" x14ac:dyDescent="0.35">
      <c r="A77" s="10">
        <v>76</v>
      </c>
      <c r="B77" s="11">
        <f>INDEX('Combined_Data'!B:B, MATCH(Derived_Data!A77, 'Combined_Data'!A:A, 0))</f>
        <v>40547</v>
      </c>
      <c r="C77" s="12" t="str">
        <f>INDEX('Combined_Data'!G:G, MATCH(A77, 'Combined_Data'!A:A, 0))</f>
        <v>Tuesday</v>
      </c>
      <c r="D77" s="12" t="b">
        <f>INDEX('Combined_Data'!F:F, MATCH(A77, 'Combined_Data'!A:A, 0))</f>
        <v>0</v>
      </c>
      <c r="E77" s="12">
        <f>INDEX('Combined_Data'!O:O, MATCH(A77, 'Combined_Data'!A:A, 0))</f>
        <v>94</v>
      </c>
      <c r="F77" s="12">
        <f>INDEX('Combined_Data'!M:M, MATCH(A77, 'Combined_Data'!A:A, 0))</f>
        <v>2</v>
      </c>
      <c r="G77" s="12">
        <f>INDEX('Combined_Data'!N:N, MATCH(A77, 'Combined_Data'!A:A, 0))</f>
        <v>92</v>
      </c>
      <c r="H77" s="12" t="str">
        <f t="shared" si="4"/>
        <v>Weekday</v>
      </c>
      <c r="I77" s="12" t="str">
        <f t="shared" si="5"/>
        <v>Working Day</v>
      </c>
      <c r="J77" s="12" t="str">
        <f t="shared" si="6"/>
        <v>Low</v>
      </c>
      <c r="K77" s="12" t="str">
        <f>INDEX('Combined_Data'!H:H, MATCH(A77, 'Combined_Data'!A:A, 0))</f>
        <v>Clear</v>
      </c>
      <c r="L77" s="13">
        <f t="shared" si="7"/>
        <v>1</v>
      </c>
    </row>
    <row r="78" spans="1:12" x14ac:dyDescent="0.35">
      <c r="A78" s="10">
        <v>77</v>
      </c>
      <c r="B78" s="11">
        <f>INDEX('Combined_Data'!B:B, MATCH(Derived_Data!A78, 'Combined_Data'!A:A, 0))</f>
        <v>40547</v>
      </c>
      <c r="C78" s="12" t="str">
        <f>INDEX('Combined_Data'!G:G, MATCH(A78, 'Combined_Data'!A:A, 0))</f>
        <v>Tuesday</v>
      </c>
      <c r="D78" s="12" t="b">
        <f>INDEX('Combined_Data'!F:F, MATCH(A78, 'Combined_Data'!A:A, 0))</f>
        <v>0</v>
      </c>
      <c r="E78" s="12">
        <f>INDEX('Combined_Data'!O:O, MATCH(A78, 'Combined_Data'!A:A, 0))</f>
        <v>179</v>
      </c>
      <c r="F78" s="12">
        <f>INDEX('Combined_Data'!M:M, MATCH(A78, 'Combined_Data'!A:A, 0))</f>
        <v>2</v>
      </c>
      <c r="G78" s="12">
        <f>INDEX('Combined_Data'!N:N, MATCH(A78, 'Combined_Data'!A:A, 0))</f>
        <v>177</v>
      </c>
      <c r="H78" s="12" t="str">
        <f t="shared" si="4"/>
        <v>Weekday</v>
      </c>
      <c r="I78" s="12" t="str">
        <f t="shared" si="5"/>
        <v>Working Day</v>
      </c>
      <c r="J78" s="12" t="str">
        <f t="shared" si="6"/>
        <v>High</v>
      </c>
      <c r="K78" s="12" t="str">
        <f>INDEX('Combined_Data'!H:H, MATCH(A78, 'Combined_Data'!A:A, 0))</f>
        <v>Clear</v>
      </c>
      <c r="L78" s="13">
        <f t="shared" si="7"/>
        <v>1</v>
      </c>
    </row>
    <row r="79" spans="1:12" x14ac:dyDescent="0.35">
      <c r="A79" s="10">
        <v>78</v>
      </c>
      <c r="B79" s="11">
        <f>INDEX('Combined_Data'!B:B, MATCH(Derived_Data!A79, 'Combined_Data'!A:A, 0))</f>
        <v>40547</v>
      </c>
      <c r="C79" s="12" t="str">
        <f>INDEX('Combined_Data'!G:G, MATCH(A79, 'Combined_Data'!A:A, 0))</f>
        <v>Tuesday</v>
      </c>
      <c r="D79" s="12" t="b">
        <f>INDEX('Combined_Data'!F:F, MATCH(A79, 'Combined_Data'!A:A, 0))</f>
        <v>0</v>
      </c>
      <c r="E79" s="12">
        <f>INDEX('Combined_Data'!O:O, MATCH(A79, 'Combined_Data'!A:A, 0))</f>
        <v>100</v>
      </c>
      <c r="F79" s="12">
        <f>INDEX('Combined_Data'!M:M, MATCH(A79, 'Combined_Data'!A:A, 0))</f>
        <v>2</v>
      </c>
      <c r="G79" s="12">
        <f>INDEX('Combined_Data'!N:N, MATCH(A79, 'Combined_Data'!A:A, 0))</f>
        <v>98</v>
      </c>
      <c r="H79" s="12" t="str">
        <f t="shared" si="4"/>
        <v>Weekday</v>
      </c>
      <c r="I79" s="12" t="str">
        <f t="shared" si="5"/>
        <v>Working Day</v>
      </c>
      <c r="J79" s="12" t="str">
        <f t="shared" si="6"/>
        <v>Medium</v>
      </c>
      <c r="K79" s="12" t="str">
        <f>INDEX('Combined_Data'!H:H, MATCH(A79, 'Combined_Data'!A:A, 0))</f>
        <v>Clear</v>
      </c>
      <c r="L79" s="13">
        <f t="shared" si="7"/>
        <v>1</v>
      </c>
    </row>
    <row r="80" spans="1:12" x14ac:dyDescent="0.35">
      <c r="A80" s="10">
        <v>79</v>
      </c>
      <c r="B80" s="11">
        <f>INDEX('Combined_Data'!B:B, MATCH(Derived_Data!A80, 'Combined_Data'!A:A, 0))</f>
        <v>40547</v>
      </c>
      <c r="C80" s="12" t="str">
        <f>INDEX('Combined_Data'!G:G, MATCH(A80, 'Combined_Data'!A:A, 0))</f>
        <v>Tuesday</v>
      </c>
      <c r="D80" s="12" t="b">
        <f>INDEX('Combined_Data'!F:F, MATCH(A80, 'Combined_Data'!A:A, 0))</f>
        <v>0</v>
      </c>
      <c r="E80" s="12">
        <f>INDEX('Combined_Data'!O:O, MATCH(A80, 'Combined_Data'!A:A, 0))</f>
        <v>42</v>
      </c>
      <c r="F80" s="12">
        <f>INDEX('Combined_Data'!M:M, MATCH(A80, 'Combined_Data'!A:A, 0))</f>
        <v>5</v>
      </c>
      <c r="G80" s="12">
        <f>INDEX('Combined_Data'!N:N, MATCH(A80, 'Combined_Data'!A:A, 0))</f>
        <v>37</v>
      </c>
      <c r="H80" s="12" t="str">
        <f t="shared" si="4"/>
        <v>Weekday</v>
      </c>
      <c r="I80" s="12" t="str">
        <f t="shared" si="5"/>
        <v>Working Day</v>
      </c>
      <c r="J80" s="12" t="str">
        <f t="shared" si="6"/>
        <v>Low</v>
      </c>
      <c r="K80" s="12" t="str">
        <f>INDEX('Combined_Data'!H:H, MATCH(A80, 'Combined_Data'!A:A, 0))</f>
        <v>Mist</v>
      </c>
      <c r="L80" s="13">
        <f t="shared" si="7"/>
        <v>2</v>
      </c>
    </row>
    <row r="81" spans="1:12" x14ac:dyDescent="0.35">
      <c r="A81" s="10">
        <v>80</v>
      </c>
      <c r="B81" s="11">
        <f>INDEX('Combined_Data'!B:B, MATCH(Derived_Data!A81, 'Combined_Data'!A:A, 0))</f>
        <v>40547</v>
      </c>
      <c r="C81" s="12" t="str">
        <f>INDEX('Combined_Data'!G:G, MATCH(A81, 'Combined_Data'!A:A, 0))</f>
        <v>Tuesday</v>
      </c>
      <c r="D81" s="12" t="b">
        <f>INDEX('Combined_Data'!F:F, MATCH(A81, 'Combined_Data'!A:A, 0))</f>
        <v>0</v>
      </c>
      <c r="E81" s="12">
        <f>INDEX('Combined_Data'!O:O, MATCH(A81, 'Combined_Data'!A:A, 0))</f>
        <v>57</v>
      </c>
      <c r="F81" s="12">
        <f>INDEX('Combined_Data'!M:M, MATCH(A81, 'Combined_Data'!A:A, 0))</f>
        <v>7</v>
      </c>
      <c r="G81" s="12">
        <f>INDEX('Combined_Data'!N:N, MATCH(A81, 'Combined_Data'!A:A, 0))</f>
        <v>50</v>
      </c>
      <c r="H81" s="12" t="str">
        <f t="shared" si="4"/>
        <v>Weekday</v>
      </c>
      <c r="I81" s="12" t="str">
        <f t="shared" si="5"/>
        <v>Working Day</v>
      </c>
      <c r="J81" s="12" t="str">
        <f t="shared" si="6"/>
        <v>Low</v>
      </c>
      <c r="K81" s="12" t="str">
        <f>INDEX('Combined_Data'!H:H, MATCH(A81, 'Combined_Data'!A:A, 0))</f>
        <v>Clear</v>
      </c>
      <c r="L81" s="13">
        <f t="shared" si="7"/>
        <v>1</v>
      </c>
    </row>
    <row r="82" spans="1:12" x14ac:dyDescent="0.35">
      <c r="A82" s="10">
        <v>81</v>
      </c>
      <c r="B82" s="11">
        <f>INDEX('Combined_Data'!B:B, MATCH(Derived_Data!A82, 'Combined_Data'!A:A, 0))</f>
        <v>40547</v>
      </c>
      <c r="C82" s="12" t="str">
        <f>INDEX('Combined_Data'!G:G, MATCH(A82, 'Combined_Data'!A:A, 0))</f>
        <v>Tuesday</v>
      </c>
      <c r="D82" s="12" t="b">
        <f>INDEX('Combined_Data'!F:F, MATCH(A82, 'Combined_Data'!A:A, 0))</f>
        <v>0</v>
      </c>
      <c r="E82" s="12">
        <f>INDEX('Combined_Data'!O:O, MATCH(A82, 'Combined_Data'!A:A, 0))</f>
        <v>78</v>
      </c>
      <c r="F82" s="12">
        <f>INDEX('Combined_Data'!M:M, MATCH(A82, 'Combined_Data'!A:A, 0))</f>
        <v>12</v>
      </c>
      <c r="G82" s="12">
        <f>INDEX('Combined_Data'!N:N, MATCH(A82, 'Combined_Data'!A:A, 0))</f>
        <v>66</v>
      </c>
      <c r="H82" s="12" t="str">
        <f t="shared" si="4"/>
        <v>Weekday</v>
      </c>
      <c r="I82" s="12" t="str">
        <f t="shared" si="5"/>
        <v>Working Day</v>
      </c>
      <c r="J82" s="12" t="str">
        <f t="shared" si="6"/>
        <v>Low</v>
      </c>
      <c r="K82" s="12" t="str">
        <f>INDEX('Combined_Data'!H:H, MATCH(A82, 'Combined_Data'!A:A, 0))</f>
        <v>Clear</v>
      </c>
      <c r="L82" s="13">
        <f t="shared" si="7"/>
        <v>1</v>
      </c>
    </row>
    <row r="83" spans="1:12" x14ac:dyDescent="0.35">
      <c r="A83" s="10">
        <v>82</v>
      </c>
      <c r="B83" s="11">
        <f>INDEX('Combined_Data'!B:B, MATCH(Derived_Data!A83, 'Combined_Data'!A:A, 0))</f>
        <v>40547</v>
      </c>
      <c r="C83" s="12" t="str">
        <f>INDEX('Combined_Data'!G:G, MATCH(A83, 'Combined_Data'!A:A, 0))</f>
        <v>Tuesday</v>
      </c>
      <c r="D83" s="12" t="b">
        <f>INDEX('Combined_Data'!F:F, MATCH(A83, 'Combined_Data'!A:A, 0))</f>
        <v>0</v>
      </c>
      <c r="E83" s="12">
        <f>INDEX('Combined_Data'!O:O, MATCH(A83, 'Combined_Data'!A:A, 0))</f>
        <v>97</v>
      </c>
      <c r="F83" s="12">
        <f>INDEX('Combined_Data'!M:M, MATCH(A83, 'Combined_Data'!A:A, 0))</f>
        <v>18</v>
      </c>
      <c r="G83" s="12">
        <f>INDEX('Combined_Data'!N:N, MATCH(A83, 'Combined_Data'!A:A, 0))</f>
        <v>79</v>
      </c>
      <c r="H83" s="12" t="str">
        <f t="shared" si="4"/>
        <v>Weekday</v>
      </c>
      <c r="I83" s="12" t="str">
        <f t="shared" si="5"/>
        <v>Working Day</v>
      </c>
      <c r="J83" s="12" t="str">
        <f t="shared" si="6"/>
        <v>Low</v>
      </c>
      <c r="K83" s="12" t="str">
        <f>INDEX('Combined_Data'!H:H, MATCH(A83, 'Combined_Data'!A:A, 0))</f>
        <v>Clear</v>
      </c>
      <c r="L83" s="13">
        <f t="shared" si="7"/>
        <v>1</v>
      </c>
    </row>
    <row r="84" spans="1:12" x14ac:dyDescent="0.35">
      <c r="A84" s="10">
        <v>83</v>
      </c>
      <c r="B84" s="11">
        <f>INDEX('Combined_Data'!B:B, MATCH(Derived_Data!A84, 'Combined_Data'!A:A, 0))</f>
        <v>40547</v>
      </c>
      <c r="C84" s="12" t="str">
        <f>INDEX('Combined_Data'!G:G, MATCH(A84, 'Combined_Data'!A:A, 0))</f>
        <v>Tuesday</v>
      </c>
      <c r="D84" s="12" t="b">
        <f>INDEX('Combined_Data'!F:F, MATCH(A84, 'Combined_Data'!A:A, 0))</f>
        <v>0</v>
      </c>
      <c r="E84" s="12">
        <f>INDEX('Combined_Data'!O:O, MATCH(A84, 'Combined_Data'!A:A, 0))</f>
        <v>63</v>
      </c>
      <c r="F84" s="12">
        <f>INDEX('Combined_Data'!M:M, MATCH(A84, 'Combined_Data'!A:A, 0))</f>
        <v>9</v>
      </c>
      <c r="G84" s="12">
        <f>INDEX('Combined_Data'!N:N, MATCH(A84, 'Combined_Data'!A:A, 0))</f>
        <v>54</v>
      </c>
      <c r="H84" s="12" t="str">
        <f t="shared" si="4"/>
        <v>Weekday</v>
      </c>
      <c r="I84" s="12" t="str">
        <f t="shared" si="5"/>
        <v>Working Day</v>
      </c>
      <c r="J84" s="12" t="str">
        <f t="shared" si="6"/>
        <v>Low</v>
      </c>
      <c r="K84" s="12" t="str">
        <f>INDEX('Combined_Data'!H:H, MATCH(A84, 'Combined_Data'!A:A, 0))</f>
        <v>Clear</v>
      </c>
      <c r="L84" s="13">
        <f t="shared" si="7"/>
        <v>1</v>
      </c>
    </row>
    <row r="85" spans="1:12" x14ac:dyDescent="0.35">
      <c r="A85" s="10">
        <v>84</v>
      </c>
      <c r="B85" s="11">
        <f>INDEX('Combined_Data'!B:B, MATCH(Derived_Data!A85, 'Combined_Data'!A:A, 0))</f>
        <v>40547</v>
      </c>
      <c r="C85" s="12" t="str">
        <f>INDEX('Combined_Data'!G:G, MATCH(A85, 'Combined_Data'!A:A, 0))</f>
        <v>Tuesday</v>
      </c>
      <c r="D85" s="12" t="b">
        <f>INDEX('Combined_Data'!F:F, MATCH(A85, 'Combined_Data'!A:A, 0))</f>
        <v>0</v>
      </c>
      <c r="E85" s="12">
        <f>INDEX('Combined_Data'!O:O, MATCH(A85, 'Combined_Data'!A:A, 0))</f>
        <v>65</v>
      </c>
      <c r="F85" s="12">
        <f>INDEX('Combined_Data'!M:M, MATCH(A85, 'Combined_Data'!A:A, 0))</f>
        <v>17</v>
      </c>
      <c r="G85" s="12">
        <f>INDEX('Combined_Data'!N:N, MATCH(A85, 'Combined_Data'!A:A, 0))</f>
        <v>48</v>
      </c>
      <c r="H85" s="12" t="str">
        <f t="shared" si="4"/>
        <v>Weekday</v>
      </c>
      <c r="I85" s="12" t="str">
        <f t="shared" si="5"/>
        <v>Working Day</v>
      </c>
      <c r="J85" s="12" t="str">
        <f t="shared" si="6"/>
        <v>Low</v>
      </c>
      <c r="K85" s="12" t="str">
        <f>INDEX('Combined_Data'!H:H, MATCH(A85, 'Combined_Data'!A:A, 0))</f>
        <v>Clear</v>
      </c>
      <c r="L85" s="13">
        <f t="shared" si="7"/>
        <v>1</v>
      </c>
    </row>
    <row r="86" spans="1:12" x14ac:dyDescent="0.35">
      <c r="A86" s="10">
        <v>85</v>
      </c>
      <c r="B86" s="11">
        <f>INDEX('Combined_Data'!B:B, MATCH(Derived_Data!A86, 'Combined_Data'!A:A, 0))</f>
        <v>40547</v>
      </c>
      <c r="C86" s="12" t="str">
        <f>INDEX('Combined_Data'!G:G, MATCH(A86, 'Combined_Data'!A:A, 0))</f>
        <v>Tuesday</v>
      </c>
      <c r="D86" s="12" t="b">
        <f>INDEX('Combined_Data'!F:F, MATCH(A86, 'Combined_Data'!A:A, 0))</f>
        <v>0</v>
      </c>
      <c r="E86" s="12">
        <f>INDEX('Combined_Data'!O:O, MATCH(A86, 'Combined_Data'!A:A, 0))</f>
        <v>83</v>
      </c>
      <c r="F86" s="12">
        <f>INDEX('Combined_Data'!M:M, MATCH(A86, 'Combined_Data'!A:A, 0))</f>
        <v>15</v>
      </c>
      <c r="G86" s="12">
        <f>INDEX('Combined_Data'!N:N, MATCH(A86, 'Combined_Data'!A:A, 0))</f>
        <v>68</v>
      </c>
      <c r="H86" s="12" t="str">
        <f t="shared" si="4"/>
        <v>Weekday</v>
      </c>
      <c r="I86" s="12" t="str">
        <f t="shared" si="5"/>
        <v>Working Day</v>
      </c>
      <c r="J86" s="12" t="str">
        <f t="shared" si="6"/>
        <v>Low</v>
      </c>
      <c r="K86" s="12" t="str">
        <f>INDEX('Combined_Data'!H:H, MATCH(A86, 'Combined_Data'!A:A, 0))</f>
        <v>Clear</v>
      </c>
      <c r="L86" s="13">
        <f t="shared" si="7"/>
        <v>1</v>
      </c>
    </row>
    <row r="87" spans="1:12" x14ac:dyDescent="0.35">
      <c r="A87" s="10">
        <v>86</v>
      </c>
      <c r="B87" s="11">
        <f>INDEX('Combined_Data'!B:B, MATCH(Derived_Data!A87, 'Combined_Data'!A:A, 0))</f>
        <v>40547</v>
      </c>
      <c r="C87" s="12" t="str">
        <f>INDEX('Combined_Data'!G:G, MATCH(A87, 'Combined_Data'!A:A, 0))</f>
        <v>Tuesday</v>
      </c>
      <c r="D87" s="12" t="b">
        <f>INDEX('Combined_Data'!F:F, MATCH(A87, 'Combined_Data'!A:A, 0))</f>
        <v>0</v>
      </c>
      <c r="E87" s="12">
        <f>INDEX('Combined_Data'!O:O, MATCH(A87, 'Combined_Data'!A:A, 0))</f>
        <v>212</v>
      </c>
      <c r="F87" s="12">
        <f>INDEX('Combined_Data'!M:M, MATCH(A87, 'Combined_Data'!A:A, 0))</f>
        <v>10</v>
      </c>
      <c r="G87" s="12">
        <f>INDEX('Combined_Data'!N:N, MATCH(A87, 'Combined_Data'!A:A, 0))</f>
        <v>202</v>
      </c>
      <c r="H87" s="12" t="str">
        <f t="shared" si="4"/>
        <v>Weekday</v>
      </c>
      <c r="I87" s="12" t="str">
        <f t="shared" si="5"/>
        <v>Working Day</v>
      </c>
      <c r="J87" s="12" t="str">
        <f t="shared" si="6"/>
        <v>High</v>
      </c>
      <c r="K87" s="12" t="str">
        <f>INDEX('Combined_Data'!H:H, MATCH(A87, 'Combined_Data'!A:A, 0))</f>
        <v>Clear</v>
      </c>
      <c r="L87" s="13">
        <f t="shared" si="7"/>
        <v>1</v>
      </c>
    </row>
    <row r="88" spans="1:12" x14ac:dyDescent="0.35">
      <c r="A88" s="10">
        <v>87</v>
      </c>
      <c r="B88" s="11">
        <f>INDEX('Combined_Data'!B:B, MATCH(Derived_Data!A88, 'Combined_Data'!A:A, 0))</f>
        <v>40547</v>
      </c>
      <c r="C88" s="12" t="str">
        <f>INDEX('Combined_Data'!G:G, MATCH(A88, 'Combined_Data'!A:A, 0))</f>
        <v>Tuesday</v>
      </c>
      <c r="D88" s="12" t="b">
        <f>INDEX('Combined_Data'!F:F, MATCH(A88, 'Combined_Data'!A:A, 0))</f>
        <v>0</v>
      </c>
      <c r="E88" s="12">
        <f>INDEX('Combined_Data'!O:O, MATCH(A88, 'Combined_Data'!A:A, 0))</f>
        <v>182</v>
      </c>
      <c r="F88" s="12">
        <f>INDEX('Combined_Data'!M:M, MATCH(A88, 'Combined_Data'!A:A, 0))</f>
        <v>3</v>
      </c>
      <c r="G88" s="12">
        <f>INDEX('Combined_Data'!N:N, MATCH(A88, 'Combined_Data'!A:A, 0))</f>
        <v>179</v>
      </c>
      <c r="H88" s="12" t="str">
        <f t="shared" si="4"/>
        <v>Weekday</v>
      </c>
      <c r="I88" s="12" t="str">
        <f t="shared" si="5"/>
        <v>Working Day</v>
      </c>
      <c r="J88" s="12" t="str">
        <f t="shared" si="6"/>
        <v>High</v>
      </c>
      <c r="K88" s="12" t="str">
        <f>INDEX('Combined_Data'!H:H, MATCH(A88, 'Combined_Data'!A:A, 0))</f>
        <v>Clear</v>
      </c>
      <c r="L88" s="13">
        <f t="shared" si="7"/>
        <v>1</v>
      </c>
    </row>
    <row r="89" spans="1:12" x14ac:dyDescent="0.35">
      <c r="A89" s="10">
        <v>88</v>
      </c>
      <c r="B89" s="11">
        <f>INDEX('Combined_Data'!B:B, MATCH(Derived_Data!A89, 'Combined_Data'!A:A, 0))</f>
        <v>40547</v>
      </c>
      <c r="C89" s="12" t="str">
        <f>INDEX('Combined_Data'!G:G, MATCH(A89, 'Combined_Data'!A:A, 0))</f>
        <v>Tuesday</v>
      </c>
      <c r="D89" s="12" t="b">
        <f>INDEX('Combined_Data'!F:F, MATCH(A89, 'Combined_Data'!A:A, 0))</f>
        <v>0</v>
      </c>
      <c r="E89" s="12">
        <f>INDEX('Combined_Data'!O:O, MATCH(A89, 'Combined_Data'!A:A, 0))</f>
        <v>112</v>
      </c>
      <c r="F89" s="12">
        <f>INDEX('Combined_Data'!M:M, MATCH(A89, 'Combined_Data'!A:A, 0))</f>
        <v>2</v>
      </c>
      <c r="G89" s="12">
        <f>INDEX('Combined_Data'!N:N, MATCH(A89, 'Combined_Data'!A:A, 0))</f>
        <v>110</v>
      </c>
      <c r="H89" s="12" t="str">
        <f t="shared" si="4"/>
        <v>Weekday</v>
      </c>
      <c r="I89" s="12" t="str">
        <f t="shared" si="5"/>
        <v>Working Day</v>
      </c>
      <c r="J89" s="12" t="str">
        <f t="shared" si="6"/>
        <v>Medium</v>
      </c>
      <c r="K89" s="12" t="str">
        <f>INDEX('Combined_Data'!H:H, MATCH(A89, 'Combined_Data'!A:A, 0))</f>
        <v>Clear</v>
      </c>
      <c r="L89" s="13">
        <f t="shared" si="7"/>
        <v>1</v>
      </c>
    </row>
    <row r="90" spans="1:12" x14ac:dyDescent="0.35">
      <c r="A90" s="10">
        <v>89</v>
      </c>
      <c r="B90" s="11">
        <f>INDEX('Combined_Data'!B:B, MATCH(Derived_Data!A90, 'Combined_Data'!A:A, 0))</f>
        <v>40547</v>
      </c>
      <c r="C90" s="12" t="str">
        <f>INDEX('Combined_Data'!G:G, MATCH(A90, 'Combined_Data'!A:A, 0))</f>
        <v>Tuesday</v>
      </c>
      <c r="D90" s="12" t="b">
        <f>INDEX('Combined_Data'!F:F, MATCH(A90, 'Combined_Data'!A:A, 0))</f>
        <v>0</v>
      </c>
      <c r="E90" s="12">
        <f>INDEX('Combined_Data'!O:O, MATCH(A90, 'Combined_Data'!A:A, 0))</f>
        <v>54</v>
      </c>
      <c r="F90" s="12">
        <f>INDEX('Combined_Data'!M:M, MATCH(A90, 'Combined_Data'!A:A, 0))</f>
        <v>1</v>
      </c>
      <c r="G90" s="12">
        <f>INDEX('Combined_Data'!N:N, MATCH(A90, 'Combined_Data'!A:A, 0))</f>
        <v>53</v>
      </c>
      <c r="H90" s="12" t="str">
        <f t="shared" si="4"/>
        <v>Weekday</v>
      </c>
      <c r="I90" s="12" t="str">
        <f t="shared" si="5"/>
        <v>Working Day</v>
      </c>
      <c r="J90" s="12" t="str">
        <f t="shared" si="6"/>
        <v>Low</v>
      </c>
      <c r="K90" s="12" t="str">
        <f>INDEX('Combined_Data'!H:H, MATCH(A90, 'Combined_Data'!A:A, 0))</f>
        <v>Clear</v>
      </c>
      <c r="L90" s="13">
        <f t="shared" si="7"/>
        <v>1</v>
      </c>
    </row>
    <row r="91" spans="1:12" x14ac:dyDescent="0.35">
      <c r="A91" s="10">
        <v>90</v>
      </c>
      <c r="B91" s="11">
        <f>INDEX('Combined_Data'!B:B, MATCH(Derived_Data!A91, 'Combined_Data'!A:A, 0))</f>
        <v>40547</v>
      </c>
      <c r="C91" s="12" t="str">
        <f>INDEX('Combined_Data'!G:G, MATCH(A91, 'Combined_Data'!A:A, 0))</f>
        <v>Tuesday</v>
      </c>
      <c r="D91" s="12" t="b">
        <f>INDEX('Combined_Data'!F:F, MATCH(A91, 'Combined_Data'!A:A, 0))</f>
        <v>0</v>
      </c>
      <c r="E91" s="12">
        <f>INDEX('Combined_Data'!O:O, MATCH(A91, 'Combined_Data'!A:A, 0))</f>
        <v>48</v>
      </c>
      <c r="F91" s="12">
        <f>INDEX('Combined_Data'!M:M, MATCH(A91, 'Combined_Data'!A:A, 0))</f>
        <v>0</v>
      </c>
      <c r="G91" s="12">
        <f>INDEX('Combined_Data'!N:N, MATCH(A91, 'Combined_Data'!A:A, 0))</f>
        <v>48</v>
      </c>
      <c r="H91" s="12" t="str">
        <f t="shared" si="4"/>
        <v>Weekday</v>
      </c>
      <c r="I91" s="12" t="str">
        <f t="shared" si="5"/>
        <v>Working Day</v>
      </c>
      <c r="J91" s="12" t="str">
        <f t="shared" si="6"/>
        <v>Low</v>
      </c>
      <c r="K91" s="12" t="str">
        <f>INDEX('Combined_Data'!H:H, MATCH(A91, 'Combined_Data'!A:A, 0))</f>
        <v>Clear</v>
      </c>
      <c r="L91" s="13">
        <f t="shared" si="7"/>
        <v>1</v>
      </c>
    </row>
    <row r="92" spans="1:12" x14ac:dyDescent="0.35">
      <c r="A92" s="10">
        <v>91</v>
      </c>
      <c r="B92" s="11">
        <f>INDEX('Combined_Data'!B:B, MATCH(Derived_Data!A92, 'Combined_Data'!A:A, 0))</f>
        <v>40547</v>
      </c>
      <c r="C92" s="12" t="str">
        <f>INDEX('Combined_Data'!G:G, MATCH(A92, 'Combined_Data'!A:A, 0))</f>
        <v>Tuesday</v>
      </c>
      <c r="D92" s="12" t="b">
        <f>INDEX('Combined_Data'!F:F, MATCH(A92, 'Combined_Data'!A:A, 0))</f>
        <v>0</v>
      </c>
      <c r="E92" s="12">
        <f>INDEX('Combined_Data'!O:O, MATCH(A92, 'Combined_Data'!A:A, 0))</f>
        <v>35</v>
      </c>
      <c r="F92" s="12">
        <f>INDEX('Combined_Data'!M:M, MATCH(A92, 'Combined_Data'!A:A, 0))</f>
        <v>1</v>
      </c>
      <c r="G92" s="12">
        <f>INDEX('Combined_Data'!N:N, MATCH(A92, 'Combined_Data'!A:A, 0))</f>
        <v>34</v>
      </c>
      <c r="H92" s="12" t="str">
        <f t="shared" si="4"/>
        <v>Weekday</v>
      </c>
      <c r="I92" s="12" t="str">
        <f t="shared" si="5"/>
        <v>Working Day</v>
      </c>
      <c r="J92" s="12" t="str">
        <f t="shared" si="6"/>
        <v>Low</v>
      </c>
      <c r="K92" s="12" t="str">
        <f>INDEX('Combined_Data'!H:H, MATCH(A92, 'Combined_Data'!A:A, 0))</f>
        <v>Clear</v>
      </c>
      <c r="L92" s="13">
        <f t="shared" si="7"/>
        <v>1</v>
      </c>
    </row>
    <row r="93" spans="1:12" x14ac:dyDescent="0.35">
      <c r="A93" s="10">
        <v>92</v>
      </c>
      <c r="B93" s="11">
        <f>INDEX('Combined_Data'!B:B, MATCH(Derived_Data!A93, 'Combined_Data'!A:A, 0))</f>
        <v>40547</v>
      </c>
      <c r="C93" s="12" t="str">
        <f>INDEX('Combined_Data'!G:G, MATCH(A93, 'Combined_Data'!A:A, 0))</f>
        <v>Tuesday</v>
      </c>
      <c r="D93" s="12" t="b">
        <f>INDEX('Combined_Data'!F:F, MATCH(A93, 'Combined_Data'!A:A, 0))</f>
        <v>0</v>
      </c>
      <c r="E93" s="12">
        <f>INDEX('Combined_Data'!O:O, MATCH(A93, 'Combined_Data'!A:A, 0))</f>
        <v>11</v>
      </c>
      <c r="F93" s="12">
        <f>INDEX('Combined_Data'!M:M, MATCH(A93, 'Combined_Data'!A:A, 0))</f>
        <v>2</v>
      </c>
      <c r="G93" s="12">
        <f>INDEX('Combined_Data'!N:N, MATCH(A93, 'Combined_Data'!A:A, 0))</f>
        <v>9</v>
      </c>
      <c r="H93" s="12" t="str">
        <f t="shared" si="4"/>
        <v>Weekday</v>
      </c>
      <c r="I93" s="12" t="str">
        <f t="shared" si="5"/>
        <v>Working Day</v>
      </c>
      <c r="J93" s="12" t="str">
        <f t="shared" si="6"/>
        <v>Low</v>
      </c>
      <c r="K93" s="12" t="str">
        <f>INDEX('Combined_Data'!H:H, MATCH(A93, 'Combined_Data'!A:A, 0))</f>
        <v>Clear</v>
      </c>
      <c r="L93" s="13">
        <f t="shared" si="7"/>
        <v>1</v>
      </c>
    </row>
    <row r="94" spans="1:12" x14ac:dyDescent="0.35">
      <c r="A94" s="10">
        <v>93</v>
      </c>
      <c r="B94" s="11">
        <f>INDEX('Combined_Data'!B:B, MATCH(Derived_Data!A94, 'Combined_Data'!A:A, 0))</f>
        <v>40548</v>
      </c>
      <c r="C94" s="12" t="str">
        <f>INDEX('Combined_Data'!G:G, MATCH(A94, 'Combined_Data'!A:A, 0))</f>
        <v>Wednesday</v>
      </c>
      <c r="D94" s="12" t="b">
        <f>INDEX('Combined_Data'!F:F, MATCH(A94, 'Combined_Data'!A:A, 0))</f>
        <v>0</v>
      </c>
      <c r="E94" s="12">
        <f>INDEX('Combined_Data'!O:O, MATCH(A94, 'Combined_Data'!A:A, 0))</f>
        <v>6</v>
      </c>
      <c r="F94" s="12">
        <f>INDEX('Combined_Data'!M:M, MATCH(A94, 'Combined_Data'!A:A, 0))</f>
        <v>0</v>
      </c>
      <c r="G94" s="12">
        <f>INDEX('Combined_Data'!N:N, MATCH(A94, 'Combined_Data'!A:A, 0))</f>
        <v>6</v>
      </c>
      <c r="H94" s="12" t="str">
        <f t="shared" si="4"/>
        <v>Weekday</v>
      </c>
      <c r="I94" s="12" t="str">
        <f t="shared" si="5"/>
        <v>Working Day</v>
      </c>
      <c r="J94" s="12" t="str">
        <f t="shared" si="6"/>
        <v>Low</v>
      </c>
      <c r="K94" s="12" t="str">
        <f>INDEX('Combined_Data'!H:H, MATCH(A94, 'Combined_Data'!A:A, 0))</f>
        <v>Clear</v>
      </c>
      <c r="L94" s="13">
        <f t="shared" si="7"/>
        <v>1</v>
      </c>
    </row>
    <row r="95" spans="1:12" x14ac:dyDescent="0.35">
      <c r="A95" s="10">
        <v>94</v>
      </c>
      <c r="B95" s="11">
        <f>INDEX('Combined_Data'!B:B, MATCH(Derived_Data!A95, 'Combined_Data'!A:A, 0))</f>
        <v>40548</v>
      </c>
      <c r="C95" s="12" t="str">
        <f>INDEX('Combined_Data'!G:G, MATCH(A95, 'Combined_Data'!A:A, 0))</f>
        <v>Wednesday</v>
      </c>
      <c r="D95" s="12" t="b">
        <f>INDEX('Combined_Data'!F:F, MATCH(A95, 'Combined_Data'!A:A, 0))</f>
        <v>0</v>
      </c>
      <c r="E95" s="12">
        <f>INDEX('Combined_Data'!O:O, MATCH(A95, 'Combined_Data'!A:A, 0))</f>
        <v>6</v>
      </c>
      <c r="F95" s="12">
        <f>INDEX('Combined_Data'!M:M, MATCH(A95, 'Combined_Data'!A:A, 0))</f>
        <v>0</v>
      </c>
      <c r="G95" s="12">
        <f>INDEX('Combined_Data'!N:N, MATCH(A95, 'Combined_Data'!A:A, 0))</f>
        <v>6</v>
      </c>
      <c r="H95" s="12" t="str">
        <f t="shared" si="4"/>
        <v>Weekday</v>
      </c>
      <c r="I95" s="12" t="str">
        <f t="shared" si="5"/>
        <v>Working Day</v>
      </c>
      <c r="J95" s="12" t="str">
        <f t="shared" si="6"/>
        <v>Low</v>
      </c>
      <c r="K95" s="12" t="str">
        <f>INDEX('Combined_Data'!H:H, MATCH(A95, 'Combined_Data'!A:A, 0))</f>
        <v>Clear</v>
      </c>
      <c r="L95" s="13">
        <f t="shared" si="7"/>
        <v>1</v>
      </c>
    </row>
    <row r="96" spans="1:12" x14ac:dyDescent="0.35">
      <c r="A96" s="10">
        <v>95</v>
      </c>
      <c r="B96" s="11">
        <f>INDEX('Combined_Data'!B:B, MATCH(Derived_Data!A96, 'Combined_Data'!A:A, 0))</f>
        <v>40548</v>
      </c>
      <c r="C96" s="12" t="str">
        <f>INDEX('Combined_Data'!G:G, MATCH(A96, 'Combined_Data'!A:A, 0))</f>
        <v>Wednesday</v>
      </c>
      <c r="D96" s="12" t="b">
        <f>INDEX('Combined_Data'!F:F, MATCH(A96, 'Combined_Data'!A:A, 0))</f>
        <v>0</v>
      </c>
      <c r="E96" s="12">
        <f>INDEX('Combined_Data'!O:O, MATCH(A96, 'Combined_Data'!A:A, 0))</f>
        <v>2</v>
      </c>
      <c r="F96" s="12">
        <f>INDEX('Combined_Data'!M:M, MATCH(A96, 'Combined_Data'!A:A, 0))</f>
        <v>0</v>
      </c>
      <c r="G96" s="12">
        <f>INDEX('Combined_Data'!N:N, MATCH(A96, 'Combined_Data'!A:A, 0))</f>
        <v>2</v>
      </c>
      <c r="H96" s="12" t="str">
        <f t="shared" si="4"/>
        <v>Weekday</v>
      </c>
      <c r="I96" s="12" t="str">
        <f t="shared" si="5"/>
        <v>Working Day</v>
      </c>
      <c r="J96" s="12" t="str">
        <f t="shared" si="6"/>
        <v>Low</v>
      </c>
      <c r="K96" s="12" t="str">
        <f>INDEX('Combined_Data'!H:H, MATCH(A96, 'Combined_Data'!A:A, 0))</f>
        <v>Clear</v>
      </c>
      <c r="L96" s="13">
        <f t="shared" si="7"/>
        <v>1</v>
      </c>
    </row>
    <row r="97" spans="1:12" x14ac:dyDescent="0.35">
      <c r="A97" s="10">
        <v>96</v>
      </c>
      <c r="B97" s="11">
        <f>INDEX('Combined_Data'!B:B, MATCH(Derived_Data!A97, 'Combined_Data'!A:A, 0))</f>
        <v>40548</v>
      </c>
      <c r="C97" s="12" t="str">
        <f>INDEX('Combined_Data'!G:G, MATCH(A97, 'Combined_Data'!A:A, 0))</f>
        <v>Wednesday</v>
      </c>
      <c r="D97" s="12" t="b">
        <f>INDEX('Combined_Data'!F:F, MATCH(A97, 'Combined_Data'!A:A, 0))</f>
        <v>0</v>
      </c>
      <c r="E97" s="12">
        <f>INDEX('Combined_Data'!O:O, MATCH(A97, 'Combined_Data'!A:A, 0))</f>
        <v>2</v>
      </c>
      <c r="F97" s="12">
        <f>INDEX('Combined_Data'!M:M, MATCH(A97, 'Combined_Data'!A:A, 0))</f>
        <v>0</v>
      </c>
      <c r="G97" s="12">
        <f>INDEX('Combined_Data'!N:N, MATCH(A97, 'Combined_Data'!A:A, 0))</f>
        <v>2</v>
      </c>
      <c r="H97" s="12" t="str">
        <f t="shared" si="4"/>
        <v>Weekday</v>
      </c>
      <c r="I97" s="12" t="str">
        <f t="shared" si="5"/>
        <v>Working Day</v>
      </c>
      <c r="J97" s="12" t="str">
        <f t="shared" si="6"/>
        <v>Low</v>
      </c>
      <c r="K97" s="12" t="str">
        <f>INDEX('Combined_Data'!H:H, MATCH(A97, 'Combined_Data'!A:A, 0))</f>
        <v>Clear</v>
      </c>
      <c r="L97" s="13">
        <f t="shared" si="7"/>
        <v>1</v>
      </c>
    </row>
    <row r="98" spans="1:12" x14ac:dyDescent="0.35">
      <c r="A98" s="10">
        <v>97</v>
      </c>
      <c r="B98" s="11">
        <f>INDEX('Combined_Data'!B:B, MATCH(Derived_Data!A98, 'Combined_Data'!A:A, 0))</f>
        <v>40548</v>
      </c>
      <c r="C98" s="12" t="str">
        <f>INDEX('Combined_Data'!G:G, MATCH(A98, 'Combined_Data'!A:A, 0))</f>
        <v>Wednesday</v>
      </c>
      <c r="D98" s="12" t="b">
        <f>INDEX('Combined_Data'!F:F, MATCH(A98, 'Combined_Data'!A:A, 0))</f>
        <v>0</v>
      </c>
      <c r="E98" s="12">
        <f>INDEX('Combined_Data'!O:O, MATCH(A98, 'Combined_Data'!A:A, 0))</f>
        <v>3</v>
      </c>
      <c r="F98" s="12">
        <f>INDEX('Combined_Data'!M:M, MATCH(A98, 'Combined_Data'!A:A, 0))</f>
        <v>0</v>
      </c>
      <c r="G98" s="12">
        <f>INDEX('Combined_Data'!N:N, MATCH(A98, 'Combined_Data'!A:A, 0))</f>
        <v>3</v>
      </c>
      <c r="H98" s="12" t="str">
        <f t="shared" si="4"/>
        <v>Weekday</v>
      </c>
      <c r="I98" s="12" t="str">
        <f t="shared" si="5"/>
        <v>Working Day</v>
      </c>
      <c r="J98" s="12" t="str">
        <f t="shared" si="6"/>
        <v>Low</v>
      </c>
      <c r="K98" s="12" t="str">
        <f>INDEX('Combined_Data'!H:H, MATCH(A98, 'Combined_Data'!A:A, 0))</f>
        <v>Clear</v>
      </c>
      <c r="L98" s="13">
        <f t="shared" si="7"/>
        <v>1</v>
      </c>
    </row>
    <row r="99" spans="1:12" x14ac:dyDescent="0.35">
      <c r="A99" s="10">
        <v>98</v>
      </c>
      <c r="B99" s="11">
        <f>INDEX('Combined_Data'!B:B, MATCH(Derived_Data!A99, 'Combined_Data'!A:A, 0))</f>
        <v>40548</v>
      </c>
      <c r="C99" s="12" t="str">
        <f>INDEX('Combined_Data'!G:G, MATCH(A99, 'Combined_Data'!A:A, 0))</f>
        <v>Wednesday</v>
      </c>
      <c r="D99" s="12" t="b">
        <f>INDEX('Combined_Data'!F:F, MATCH(A99, 'Combined_Data'!A:A, 0))</f>
        <v>0</v>
      </c>
      <c r="E99" s="12">
        <f>INDEX('Combined_Data'!O:O, MATCH(A99, 'Combined_Data'!A:A, 0))</f>
        <v>33</v>
      </c>
      <c r="F99" s="12">
        <f>INDEX('Combined_Data'!M:M, MATCH(A99, 'Combined_Data'!A:A, 0))</f>
        <v>0</v>
      </c>
      <c r="G99" s="12">
        <f>INDEX('Combined_Data'!N:N, MATCH(A99, 'Combined_Data'!A:A, 0))</f>
        <v>33</v>
      </c>
      <c r="H99" s="12" t="str">
        <f t="shared" si="4"/>
        <v>Weekday</v>
      </c>
      <c r="I99" s="12" t="str">
        <f t="shared" si="5"/>
        <v>Working Day</v>
      </c>
      <c r="J99" s="12" t="str">
        <f t="shared" si="6"/>
        <v>Low</v>
      </c>
      <c r="K99" s="12" t="str">
        <f>INDEX('Combined_Data'!H:H, MATCH(A99, 'Combined_Data'!A:A, 0))</f>
        <v>Clear</v>
      </c>
      <c r="L99" s="13">
        <f t="shared" si="7"/>
        <v>1</v>
      </c>
    </row>
    <row r="100" spans="1:12" x14ac:dyDescent="0.35">
      <c r="A100" s="10">
        <v>99</v>
      </c>
      <c r="B100" s="11">
        <f>INDEX('Combined_Data'!B:B, MATCH(Derived_Data!A100, 'Combined_Data'!A:A, 0))</f>
        <v>40548</v>
      </c>
      <c r="C100" s="12" t="str">
        <f>INDEX('Combined_Data'!G:G, MATCH(A100, 'Combined_Data'!A:A, 0))</f>
        <v>Wednesday</v>
      </c>
      <c r="D100" s="12" t="b">
        <f>INDEX('Combined_Data'!F:F, MATCH(A100, 'Combined_Data'!A:A, 0))</f>
        <v>0</v>
      </c>
      <c r="E100" s="12">
        <f>INDEX('Combined_Data'!O:O, MATCH(A100, 'Combined_Data'!A:A, 0))</f>
        <v>88</v>
      </c>
      <c r="F100" s="12">
        <f>INDEX('Combined_Data'!M:M, MATCH(A100, 'Combined_Data'!A:A, 0))</f>
        <v>1</v>
      </c>
      <c r="G100" s="12">
        <f>INDEX('Combined_Data'!N:N, MATCH(A100, 'Combined_Data'!A:A, 0))</f>
        <v>87</v>
      </c>
      <c r="H100" s="12" t="str">
        <f t="shared" si="4"/>
        <v>Weekday</v>
      </c>
      <c r="I100" s="12" t="str">
        <f t="shared" si="5"/>
        <v>Working Day</v>
      </c>
      <c r="J100" s="12" t="str">
        <f t="shared" si="6"/>
        <v>Low</v>
      </c>
      <c r="K100" s="12" t="str">
        <f>INDEX('Combined_Data'!H:H, MATCH(A100, 'Combined_Data'!A:A, 0))</f>
        <v>Clear</v>
      </c>
      <c r="L100" s="13">
        <f t="shared" si="7"/>
        <v>1</v>
      </c>
    </row>
    <row r="101" spans="1:12" x14ac:dyDescent="0.35">
      <c r="A101" s="10">
        <v>100</v>
      </c>
      <c r="B101" s="11">
        <f>INDEX('Combined_Data'!B:B, MATCH(Derived_Data!A101, 'Combined_Data'!A:A, 0))</f>
        <v>40548</v>
      </c>
      <c r="C101" s="12" t="str">
        <f>INDEX('Combined_Data'!G:G, MATCH(A101, 'Combined_Data'!A:A, 0))</f>
        <v>Wednesday</v>
      </c>
      <c r="D101" s="12" t="b">
        <f>INDEX('Combined_Data'!F:F, MATCH(A101, 'Combined_Data'!A:A, 0))</f>
        <v>0</v>
      </c>
      <c r="E101" s="12">
        <f>INDEX('Combined_Data'!O:O, MATCH(A101, 'Combined_Data'!A:A, 0))</f>
        <v>195</v>
      </c>
      <c r="F101" s="12">
        <f>INDEX('Combined_Data'!M:M, MATCH(A101, 'Combined_Data'!A:A, 0))</f>
        <v>3</v>
      </c>
      <c r="G101" s="12">
        <f>INDEX('Combined_Data'!N:N, MATCH(A101, 'Combined_Data'!A:A, 0))</f>
        <v>192</v>
      </c>
      <c r="H101" s="12" t="str">
        <f t="shared" si="4"/>
        <v>Weekday</v>
      </c>
      <c r="I101" s="12" t="str">
        <f t="shared" si="5"/>
        <v>Working Day</v>
      </c>
      <c r="J101" s="12" t="str">
        <f t="shared" si="6"/>
        <v>High</v>
      </c>
      <c r="K101" s="12" t="str">
        <f>INDEX('Combined_Data'!H:H, MATCH(A101, 'Combined_Data'!A:A, 0))</f>
        <v>Clear</v>
      </c>
      <c r="L101" s="13">
        <f t="shared" si="7"/>
        <v>1</v>
      </c>
    </row>
    <row r="102" spans="1:12" x14ac:dyDescent="0.35">
      <c r="A102" s="10">
        <v>101</v>
      </c>
      <c r="B102" s="11">
        <f>INDEX('Combined_Data'!B:B, MATCH(Derived_Data!A102, 'Combined_Data'!A:A, 0))</f>
        <v>40548</v>
      </c>
      <c r="C102" s="12" t="str">
        <f>INDEX('Combined_Data'!G:G, MATCH(A102, 'Combined_Data'!A:A, 0))</f>
        <v>Wednesday</v>
      </c>
      <c r="D102" s="12" t="b">
        <f>INDEX('Combined_Data'!F:F, MATCH(A102, 'Combined_Data'!A:A, 0))</f>
        <v>0</v>
      </c>
      <c r="E102" s="12">
        <f>INDEX('Combined_Data'!O:O, MATCH(A102, 'Combined_Data'!A:A, 0))</f>
        <v>115</v>
      </c>
      <c r="F102" s="12">
        <f>INDEX('Combined_Data'!M:M, MATCH(A102, 'Combined_Data'!A:A, 0))</f>
        <v>6</v>
      </c>
      <c r="G102" s="12">
        <f>INDEX('Combined_Data'!N:N, MATCH(A102, 'Combined_Data'!A:A, 0))</f>
        <v>109</v>
      </c>
      <c r="H102" s="12" t="str">
        <f t="shared" si="4"/>
        <v>Weekday</v>
      </c>
      <c r="I102" s="12" t="str">
        <f t="shared" si="5"/>
        <v>Working Day</v>
      </c>
      <c r="J102" s="12" t="str">
        <f t="shared" si="6"/>
        <v>Medium</v>
      </c>
      <c r="K102" s="12" t="str">
        <f>INDEX('Combined_Data'!H:H, MATCH(A102, 'Combined_Data'!A:A, 0))</f>
        <v>Clear</v>
      </c>
      <c r="L102" s="13">
        <f t="shared" si="7"/>
        <v>1</v>
      </c>
    </row>
    <row r="103" spans="1:12" x14ac:dyDescent="0.35">
      <c r="A103" s="10">
        <v>102</v>
      </c>
      <c r="B103" s="11">
        <f>INDEX('Combined_Data'!B:B, MATCH(Derived_Data!A103, 'Combined_Data'!A:A, 0))</f>
        <v>40548</v>
      </c>
      <c r="C103" s="12" t="str">
        <f>INDEX('Combined_Data'!G:G, MATCH(A103, 'Combined_Data'!A:A, 0))</f>
        <v>Wednesday</v>
      </c>
      <c r="D103" s="12" t="b">
        <f>INDEX('Combined_Data'!F:F, MATCH(A103, 'Combined_Data'!A:A, 0))</f>
        <v>0</v>
      </c>
      <c r="E103" s="12">
        <f>INDEX('Combined_Data'!O:O, MATCH(A103, 'Combined_Data'!A:A, 0))</f>
        <v>57</v>
      </c>
      <c r="F103" s="12">
        <f>INDEX('Combined_Data'!M:M, MATCH(A103, 'Combined_Data'!A:A, 0))</f>
        <v>4</v>
      </c>
      <c r="G103" s="12">
        <f>INDEX('Combined_Data'!N:N, MATCH(A103, 'Combined_Data'!A:A, 0))</f>
        <v>53</v>
      </c>
      <c r="H103" s="12" t="str">
        <f t="shared" si="4"/>
        <v>Weekday</v>
      </c>
      <c r="I103" s="12" t="str">
        <f t="shared" si="5"/>
        <v>Working Day</v>
      </c>
      <c r="J103" s="12" t="str">
        <f t="shared" si="6"/>
        <v>Low</v>
      </c>
      <c r="K103" s="12" t="str">
        <f>INDEX('Combined_Data'!H:H, MATCH(A103, 'Combined_Data'!A:A, 0))</f>
        <v>Clear</v>
      </c>
      <c r="L103" s="13">
        <f t="shared" si="7"/>
        <v>1</v>
      </c>
    </row>
    <row r="104" spans="1:12" x14ac:dyDescent="0.35">
      <c r="A104" s="10">
        <v>103</v>
      </c>
      <c r="B104" s="11">
        <f>INDEX('Combined_Data'!B:B, MATCH(Derived_Data!A104, 'Combined_Data'!A:A, 0))</f>
        <v>40548</v>
      </c>
      <c r="C104" s="12" t="str">
        <f>INDEX('Combined_Data'!G:G, MATCH(A104, 'Combined_Data'!A:A, 0))</f>
        <v>Wednesday</v>
      </c>
      <c r="D104" s="12" t="b">
        <f>INDEX('Combined_Data'!F:F, MATCH(A104, 'Combined_Data'!A:A, 0))</f>
        <v>0</v>
      </c>
      <c r="E104" s="12">
        <f>INDEX('Combined_Data'!O:O, MATCH(A104, 'Combined_Data'!A:A, 0))</f>
        <v>46</v>
      </c>
      <c r="F104" s="12">
        <f>INDEX('Combined_Data'!M:M, MATCH(A104, 'Combined_Data'!A:A, 0))</f>
        <v>12</v>
      </c>
      <c r="G104" s="12">
        <f>INDEX('Combined_Data'!N:N, MATCH(A104, 'Combined_Data'!A:A, 0))</f>
        <v>34</v>
      </c>
      <c r="H104" s="12" t="str">
        <f t="shared" si="4"/>
        <v>Weekday</v>
      </c>
      <c r="I104" s="12" t="str">
        <f t="shared" si="5"/>
        <v>Working Day</v>
      </c>
      <c r="J104" s="12" t="str">
        <f t="shared" si="6"/>
        <v>Low</v>
      </c>
      <c r="K104" s="12" t="str">
        <f>INDEX('Combined_Data'!H:H, MATCH(A104, 'Combined_Data'!A:A, 0))</f>
        <v>Clear</v>
      </c>
      <c r="L104" s="13">
        <f t="shared" si="7"/>
        <v>1</v>
      </c>
    </row>
    <row r="105" spans="1:12" x14ac:dyDescent="0.35">
      <c r="A105" s="10">
        <v>104</v>
      </c>
      <c r="B105" s="11">
        <f>INDEX('Combined_Data'!B:B, MATCH(Derived_Data!A105, 'Combined_Data'!A:A, 0))</f>
        <v>40548</v>
      </c>
      <c r="C105" s="12" t="str">
        <f>INDEX('Combined_Data'!G:G, MATCH(A105, 'Combined_Data'!A:A, 0))</f>
        <v>Wednesday</v>
      </c>
      <c r="D105" s="12" t="b">
        <f>INDEX('Combined_Data'!F:F, MATCH(A105, 'Combined_Data'!A:A, 0))</f>
        <v>0</v>
      </c>
      <c r="E105" s="12">
        <f>INDEX('Combined_Data'!O:O, MATCH(A105, 'Combined_Data'!A:A, 0))</f>
        <v>79</v>
      </c>
      <c r="F105" s="12">
        <f>INDEX('Combined_Data'!M:M, MATCH(A105, 'Combined_Data'!A:A, 0))</f>
        <v>5</v>
      </c>
      <c r="G105" s="12">
        <f>INDEX('Combined_Data'!N:N, MATCH(A105, 'Combined_Data'!A:A, 0))</f>
        <v>74</v>
      </c>
      <c r="H105" s="12" t="str">
        <f t="shared" si="4"/>
        <v>Weekday</v>
      </c>
      <c r="I105" s="12" t="str">
        <f t="shared" si="5"/>
        <v>Working Day</v>
      </c>
      <c r="J105" s="12" t="str">
        <f t="shared" si="6"/>
        <v>Low</v>
      </c>
      <c r="K105" s="12" t="str">
        <f>INDEX('Combined_Data'!H:H, MATCH(A105, 'Combined_Data'!A:A, 0))</f>
        <v>Clear</v>
      </c>
      <c r="L105" s="13">
        <f t="shared" si="7"/>
        <v>1</v>
      </c>
    </row>
    <row r="106" spans="1:12" x14ac:dyDescent="0.35">
      <c r="A106" s="10">
        <v>105</v>
      </c>
      <c r="B106" s="11">
        <f>INDEX('Combined_Data'!B:B, MATCH(Derived_Data!A106, 'Combined_Data'!A:A, 0))</f>
        <v>40548</v>
      </c>
      <c r="C106" s="12" t="str">
        <f>INDEX('Combined_Data'!G:G, MATCH(A106, 'Combined_Data'!A:A, 0))</f>
        <v>Wednesday</v>
      </c>
      <c r="D106" s="12" t="b">
        <f>INDEX('Combined_Data'!F:F, MATCH(A106, 'Combined_Data'!A:A, 0))</f>
        <v>0</v>
      </c>
      <c r="E106" s="12">
        <f>INDEX('Combined_Data'!O:O, MATCH(A106, 'Combined_Data'!A:A, 0))</f>
        <v>71</v>
      </c>
      <c r="F106" s="12">
        <f>INDEX('Combined_Data'!M:M, MATCH(A106, 'Combined_Data'!A:A, 0))</f>
        <v>6</v>
      </c>
      <c r="G106" s="12">
        <f>INDEX('Combined_Data'!N:N, MATCH(A106, 'Combined_Data'!A:A, 0))</f>
        <v>65</v>
      </c>
      <c r="H106" s="12" t="str">
        <f t="shared" si="4"/>
        <v>Weekday</v>
      </c>
      <c r="I106" s="12" t="str">
        <f t="shared" si="5"/>
        <v>Working Day</v>
      </c>
      <c r="J106" s="12" t="str">
        <f t="shared" si="6"/>
        <v>Low</v>
      </c>
      <c r="K106" s="12" t="str">
        <f>INDEX('Combined_Data'!H:H, MATCH(A106, 'Combined_Data'!A:A, 0))</f>
        <v>Clear</v>
      </c>
      <c r="L106" s="13">
        <f t="shared" si="7"/>
        <v>1</v>
      </c>
    </row>
    <row r="107" spans="1:12" x14ac:dyDescent="0.35">
      <c r="A107" s="10">
        <v>106</v>
      </c>
      <c r="B107" s="11">
        <f>INDEX('Combined_Data'!B:B, MATCH(Derived_Data!A107, 'Combined_Data'!A:A, 0))</f>
        <v>40548</v>
      </c>
      <c r="C107" s="12" t="str">
        <f>INDEX('Combined_Data'!G:G, MATCH(A107, 'Combined_Data'!A:A, 0))</f>
        <v>Wednesday</v>
      </c>
      <c r="D107" s="12" t="b">
        <f>INDEX('Combined_Data'!F:F, MATCH(A107, 'Combined_Data'!A:A, 0))</f>
        <v>0</v>
      </c>
      <c r="E107" s="12">
        <f>INDEX('Combined_Data'!O:O, MATCH(A107, 'Combined_Data'!A:A, 0))</f>
        <v>62</v>
      </c>
      <c r="F107" s="12">
        <f>INDEX('Combined_Data'!M:M, MATCH(A107, 'Combined_Data'!A:A, 0))</f>
        <v>10</v>
      </c>
      <c r="G107" s="12">
        <f>INDEX('Combined_Data'!N:N, MATCH(A107, 'Combined_Data'!A:A, 0))</f>
        <v>52</v>
      </c>
      <c r="H107" s="12" t="str">
        <f t="shared" si="4"/>
        <v>Weekday</v>
      </c>
      <c r="I107" s="12" t="str">
        <f t="shared" si="5"/>
        <v>Working Day</v>
      </c>
      <c r="J107" s="12" t="str">
        <f t="shared" si="6"/>
        <v>Low</v>
      </c>
      <c r="K107" s="12" t="str">
        <f>INDEX('Combined_Data'!H:H, MATCH(A107, 'Combined_Data'!A:A, 0))</f>
        <v>Clear</v>
      </c>
      <c r="L107" s="13">
        <f t="shared" si="7"/>
        <v>1</v>
      </c>
    </row>
    <row r="108" spans="1:12" x14ac:dyDescent="0.35">
      <c r="A108" s="10">
        <v>107</v>
      </c>
      <c r="B108" s="11">
        <f>INDEX('Combined_Data'!B:B, MATCH(Derived_Data!A108, 'Combined_Data'!A:A, 0))</f>
        <v>40548</v>
      </c>
      <c r="C108" s="12" t="str">
        <f>INDEX('Combined_Data'!G:G, MATCH(A108, 'Combined_Data'!A:A, 0))</f>
        <v>Wednesday</v>
      </c>
      <c r="D108" s="12" t="b">
        <f>INDEX('Combined_Data'!F:F, MATCH(A108, 'Combined_Data'!A:A, 0))</f>
        <v>0</v>
      </c>
      <c r="E108" s="12">
        <f>INDEX('Combined_Data'!O:O, MATCH(A108, 'Combined_Data'!A:A, 0))</f>
        <v>62</v>
      </c>
      <c r="F108" s="12">
        <f>INDEX('Combined_Data'!M:M, MATCH(A108, 'Combined_Data'!A:A, 0))</f>
        <v>7</v>
      </c>
      <c r="G108" s="12">
        <f>INDEX('Combined_Data'!N:N, MATCH(A108, 'Combined_Data'!A:A, 0))</f>
        <v>55</v>
      </c>
      <c r="H108" s="12" t="str">
        <f t="shared" si="4"/>
        <v>Weekday</v>
      </c>
      <c r="I108" s="12" t="str">
        <f t="shared" si="5"/>
        <v>Working Day</v>
      </c>
      <c r="J108" s="12" t="str">
        <f t="shared" si="6"/>
        <v>Low</v>
      </c>
      <c r="K108" s="12" t="str">
        <f>INDEX('Combined_Data'!H:H, MATCH(A108, 'Combined_Data'!A:A, 0))</f>
        <v>Clear</v>
      </c>
      <c r="L108" s="13">
        <f t="shared" si="7"/>
        <v>1</v>
      </c>
    </row>
    <row r="109" spans="1:12" x14ac:dyDescent="0.35">
      <c r="A109" s="10">
        <v>108</v>
      </c>
      <c r="B109" s="11">
        <f>INDEX('Combined_Data'!B:B, MATCH(Derived_Data!A109, 'Combined_Data'!A:A, 0))</f>
        <v>40548</v>
      </c>
      <c r="C109" s="12" t="str">
        <f>INDEX('Combined_Data'!G:G, MATCH(A109, 'Combined_Data'!A:A, 0))</f>
        <v>Wednesday</v>
      </c>
      <c r="D109" s="12" t="b">
        <f>INDEX('Combined_Data'!F:F, MATCH(A109, 'Combined_Data'!A:A, 0))</f>
        <v>0</v>
      </c>
      <c r="E109" s="12">
        <f>INDEX('Combined_Data'!O:O, MATCH(A109, 'Combined_Data'!A:A, 0))</f>
        <v>89</v>
      </c>
      <c r="F109" s="12">
        <f>INDEX('Combined_Data'!M:M, MATCH(A109, 'Combined_Data'!A:A, 0))</f>
        <v>4</v>
      </c>
      <c r="G109" s="12">
        <f>INDEX('Combined_Data'!N:N, MATCH(A109, 'Combined_Data'!A:A, 0))</f>
        <v>85</v>
      </c>
      <c r="H109" s="12" t="str">
        <f t="shared" si="4"/>
        <v>Weekday</v>
      </c>
      <c r="I109" s="12" t="str">
        <f t="shared" si="5"/>
        <v>Working Day</v>
      </c>
      <c r="J109" s="12" t="str">
        <f t="shared" si="6"/>
        <v>Low</v>
      </c>
      <c r="K109" s="12" t="str">
        <f>INDEX('Combined_Data'!H:H, MATCH(A109, 'Combined_Data'!A:A, 0))</f>
        <v>Clear</v>
      </c>
      <c r="L109" s="13">
        <f t="shared" si="7"/>
        <v>1</v>
      </c>
    </row>
    <row r="110" spans="1:12" x14ac:dyDescent="0.35">
      <c r="A110" s="10">
        <v>109</v>
      </c>
      <c r="B110" s="11">
        <f>INDEX('Combined_Data'!B:B, MATCH(Derived_Data!A110, 'Combined_Data'!A:A, 0))</f>
        <v>40548</v>
      </c>
      <c r="C110" s="12" t="str">
        <f>INDEX('Combined_Data'!G:G, MATCH(A110, 'Combined_Data'!A:A, 0))</f>
        <v>Wednesday</v>
      </c>
      <c r="D110" s="12" t="b">
        <f>INDEX('Combined_Data'!F:F, MATCH(A110, 'Combined_Data'!A:A, 0))</f>
        <v>0</v>
      </c>
      <c r="E110" s="12">
        <f>INDEX('Combined_Data'!O:O, MATCH(A110, 'Combined_Data'!A:A, 0))</f>
        <v>190</v>
      </c>
      <c r="F110" s="12">
        <f>INDEX('Combined_Data'!M:M, MATCH(A110, 'Combined_Data'!A:A, 0))</f>
        <v>4</v>
      </c>
      <c r="G110" s="12">
        <f>INDEX('Combined_Data'!N:N, MATCH(A110, 'Combined_Data'!A:A, 0))</f>
        <v>186</v>
      </c>
      <c r="H110" s="12" t="str">
        <f t="shared" si="4"/>
        <v>Weekday</v>
      </c>
      <c r="I110" s="12" t="str">
        <f t="shared" si="5"/>
        <v>Working Day</v>
      </c>
      <c r="J110" s="12" t="str">
        <f t="shared" si="6"/>
        <v>High</v>
      </c>
      <c r="K110" s="12" t="str">
        <f>INDEX('Combined_Data'!H:H, MATCH(A110, 'Combined_Data'!A:A, 0))</f>
        <v>Clear</v>
      </c>
      <c r="L110" s="13">
        <f t="shared" si="7"/>
        <v>1</v>
      </c>
    </row>
    <row r="111" spans="1:12" x14ac:dyDescent="0.35">
      <c r="A111" s="10">
        <v>110</v>
      </c>
      <c r="B111" s="11">
        <f>INDEX('Combined_Data'!B:B, MATCH(Derived_Data!A111, 'Combined_Data'!A:A, 0))</f>
        <v>40548</v>
      </c>
      <c r="C111" s="12" t="str">
        <f>INDEX('Combined_Data'!G:G, MATCH(A111, 'Combined_Data'!A:A, 0))</f>
        <v>Wednesday</v>
      </c>
      <c r="D111" s="12" t="b">
        <f>INDEX('Combined_Data'!F:F, MATCH(A111, 'Combined_Data'!A:A, 0))</f>
        <v>0</v>
      </c>
      <c r="E111" s="12">
        <f>INDEX('Combined_Data'!O:O, MATCH(A111, 'Combined_Data'!A:A, 0))</f>
        <v>169</v>
      </c>
      <c r="F111" s="12">
        <f>INDEX('Combined_Data'!M:M, MATCH(A111, 'Combined_Data'!A:A, 0))</f>
        <v>3</v>
      </c>
      <c r="G111" s="12">
        <f>INDEX('Combined_Data'!N:N, MATCH(A111, 'Combined_Data'!A:A, 0))</f>
        <v>166</v>
      </c>
      <c r="H111" s="12" t="str">
        <f t="shared" si="4"/>
        <v>Weekday</v>
      </c>
      <c r="I111" s="12" t="str">
        <f t="shared" si="5"/>
        <v>Working Day</v>
      </c>
      <c r="J111" s="12" t="str">
        <f t="shared" si="6"/>
        <v>High</v>
      </c>
      <c r="K111" s="12" t="str">
        <f>INDEX('Combined_Data'!H:H, MATCH(A111, 'Combined_Data'!A:A, 0))</f>
        <v>Clear</v>
      </c>
      <c r="L111" s="13">
        <f t="shared" si="7"/>
        <v>1</v>
      </c>
    </row>
    <row r="112" spans="1:12" x14ac:dyDescent="0.35">
      <c r="A112" s="10">
        <v>111</v>
      </c>
      <c r="B112" s="11">
        <f>INDEX('Combined_Data'!B:B, MATCH(Derived_Data!A112, 'Combined_Data'!A:A, 0))</f>
        <v>40548</v>
      </c>
      <c r="C112" s="12" t="str">
        <f>INDEX('Combined_Data'!G:G, MATCH(A112, 'Combined_Data'!A:A, 0))</f>
        <v>Wednesday</v>
      </c>
      <c r="D112" s="12" t="b">
        <f>INDEX('Combined_Data'!F:F, MATCH(A112, 'Combined_Data'!A:A, 0))</f>
        <v>0</v>
      </c>
      <c r="E112" s="12">
        <f>INDEX('Combined_Data'!O:O, MATCH(A112, 'Combined_Data'!A:A, 0))</f>
        <v>132</v>
      </c>
      <c r="F112" s="12">
        <f>INDEX('Combined_Data'!M:M, MATCH(A112, 'Combined_Data'!A:A, 0))</f>
        <v>5</v>
      </c>
      <c r="G112" s="12">
        <f>INDEX('Combined_Data'!N:N, MATCH(A112, 'Combined_Data'!A:A, 0))</f>
        <v>127</v>
      </c>
      <c r="H112" s="12" t="str">
        <f t="shared" si="4"/>
        <v>Weekday</v>
      </c>
      <c r="I112" s="12" t="str">
        <f t="shared" si="5"/>
        <v>Working Day</v>
      </c>
      <c r="J112" s="12" t="str">
        <f t="shared" si="6"/>
        <v>Medium</v>
      </c>
      <c r="K112" s="12" t="str">
        <f>INDEX('Combined_Data'!H:H, MATCH(A112, 'Combined_Data'!A:A, 0))</f>
        <v>Clear</v>
      </c>
      <c r="L112" s="13">
        <f t="shared" si="7"/>
        <v>1</v>
      </c>
    </row>
    <row r="113" spans="1:12" x14ac:dyDescent="0.35">
      <c r="A113" s="10">
        <v>112</v>
      </c>
      <c r="B113" s="11">
        <f>INDEX('Combined_Data'!B:B, MATCH(Derived_Data!A113, 'Combined_Data'!A:A, 0))</f>
        <v>40548</v>
      </c>
      <c r="C113" s="12" t="str">
        <f>INDEX('Combined_Data'!G:G, MATCH(A113, 'Combined_Data'!A:A, 0))</f>
        <v>Wednesday</v>
      </c>
      <c r="D113" s="12" t="b">
        <f>INDEX('Combined_Data'!F:F, MATCH(A113, 'Combined_Data'!A:A, 0))</f>
        <v>0</v>
      </c>
      <c r="E113" s="12">
        <f>INDEX('Combined_Data'!O:O, MATCH(A113, 'Combined_Data'!A:A, 0))</f>
        <v>89</v>
      </c>
      <c r="F113" s="12">
        <f>INDEX('Combined_Data'!M:M, MATCH(A113, 'Combined_Data'!A:A, 0))</f>
        <v>7</v>
      </c>
      <c r="G113" s="12">
        <f>INDEX('Combined_Data'!N:N, MATCH(A113, 'Combined_Data'!A:A, 0))</f>
        <v>82</v>
      </c>
      <c r="H113" s="12" t="str">
        <f t="shared" si="4"/>
        <v>Weekday</v>
      </c>
      <c r="I113" s="12" t="str">
        <f t="shared" si="5"/>
        <v>Working Day</v>
      </c>
      <c r="J113" s="12" t="str">
        <f t="shared" si="6"/>
        <v>Low</v>
      </c>
      <c r="K113" s="12" t="str">
        <f>INDEX('Combined_Data'!H:H, MATCH(A113, 'Combined_Data'!A:A, 0))</f>
        <v>Clear</v>
      </c>
      <c r="L113" s="13">
        <f t="shared" si="7"/>
        <v>1</v>
      </c>
    </row>
    <row r="114" spans="1:12" x14ac:dyDescent="0.35">
      <c r="A114" s="10">
        <v>113</v>
      </c>
      <c r="B114" s="11">
        <f>INDEX('Combined_Data'!B:B, MATCH(Derived_Data!A114, 'Combined_Data'!A:A, 0))</f>
        <v>40548</v>
      </c>
      <c r="C114" s="12" t="str">
        <f>INDEX('Combined_Data'!G:G, MATCH(A114, 'Combined_Data'!A:A, 0))</f>
        <v>Wednesday</v>
      </c>
      <c r="D114" s="12" t="b">
        <f>INDEX('Combined_Data'!F:F, MATCH(A114, 'Combined_Data'!A:A, 0))</f>
        <v>0</v>
      </c>
      <c r="E114" s="12">
        <f>INDEX('Combined_Data'!O:O, MATCH(A114, 'Combined_Data'!A:A, 0))</f>
        <v>43</v>
      </c>
      <c r="F114" s="12">
        <f>INDEX('Combined_Data'!M:M, MATCH(A114, 'Combined_Data'!A:A, 0))</f>
        <v>3</v>
      </c>
      <c r="G114" s="12">
        <f>INDEX('Combined_Data'!N:N, MATCH(A114, 'Combined_Data'!A:A, 0))</f>
        <v>40</v>
      </c>
      <c r="H114" s="12" t="str">
        <f t="shared" si="4"/>
        <v>Weekday</v>
      </c>
      <c r="I114" s="12" t="str">
        <f t="shared" si="5"/>
        <v>Working Day</v>
      </c>
      <c r="J114" s="12" t="str">
        <f t="shared" si="6"/>
        <v>Low</v>
      </c>
      <c r="K114" s="12" t="str">
        <f>INDEX('Combined_Data'!H:H, MATCH(A114, 'Combined_Data'!A:A, 0))</f>
        <v>Clear</v>
      </c>
      <c r="L114" s="13">
        <f t="shared" si="7"/>
        <v>1</v>
      </c>
    </row>
    <row r="115" spans="1:12" x14ac:dyDescent="0.35">
      <c r="A115" s="10">
        <v>114</v>
      </c>
      <c r="B115" s="11">
        <f>INDEX('Combined_Data'!B:B, MATCH(Derived_Data!A115, 'Combined_Data'!A:A, 0))</f>
        <v>40548</v>
      </c>
      <c r="C115" s="12" t="str">
        <f>INDEX('Combined_Data'!G:G, MATCH(A115, 'Combined_Data'!A:A, 0))</f>
        <v>Wednesday</v>
      </c>
      <c r="D115" s="12" t="b">
        <f>INDEX('Combined_Data'!F:F, MATCH(A115, 'Combined_Data'!A:A, 0))</f>
        <v>0</v>
      </c>
      <c r="E115" s="12">
        <f>INDEX('Combined_Data'!O:O, MATCH(A115, 'Combined_Data'!A:A, 0))</f>
        <v>42</v>
      </c>
      <c r="F115" s="12">
        <f>INDEX('Combined_Data'!M:M, MATCH(A115, 'Combined_Data'!A:A, 0))</f>
        <v>1</v>
      </c>
      <c r="G115" s="12">
        <f>INDEX('Combined_Data'!N:N, MATCH(A115, 'Combined_Data'!A:A, 0))</f>
        <v>41</v>
      </c>
      <c r="H115" s="12" t="str">
        <f t="shared" si="4"/>
        <v>Weekday</v>
      </c>
      <c r="I115" s="12" t="str">
        <f t="shared" si="5"/>
        <v>Working Day</v>
      </c>
      <c r="J115" s="12" t="str">
        <f t="shared" si="6"/>
        <v>Low</v>
      </c>
      <c r="K115" s="12" t="str">
        <f>INDEX('Combined_Data'!H:H, MATCH(A115, 'Combined_Data'!A:A, 0))</f>
        <v>Clear</v>
      </c>
      <c r="L115" s="13">
        <f t="shared" si="7"/>
        <v>1</v>
      </c>
    </row>
    <row r="116" spans="1:12" x14ac:dyDescent="0.35">
      <c r="A116" s="10">
        <v>115</v>
      </c>
      <c r="B116" s="11">
        <f>INDEX('Combined_Data'!B:B, MATCH(Derived_Data!A116, 'Combined_Data'!A:A, 0))</f>
        <v>40548</v>
      </c>
      <c r="C116" s="12" t="str">
        <f>INDEX('Combined_Data'!G:G, MATCH(A116, 'Combined_Data'!A:A, 0))</f>
        <v>Wednesday</v>
      </c>
      <c r="D116" s="12" t="b">
        <f>INDEX('Combined_Data'!F:F, MATCH(A116, 'Combined_Data'!A:A, 0))</f>
        <v>0</v>
      </c>
      <c r="E116" s="12">
        <f>INDEX('Combined_Data'!O:O, MATCH(A116, 'Combined_Data'!A:A, 0))</f>
        <v>19</v>
      </c>
      <c r="F116" s="12">
        <f>INDEX('Combined_Data'!M:M, MATCH(A116, 'Combined_Data'!A:A, 0))</f>
        <v>1</v>
      </c>
      <c r="G116" s="12">
        <f>INDEX('Combined_Data'!N:N, MATCH(A116, 'Combined_Data'!A:A, 0))</f>
        <v>18</v>
      </c>
      <c r="H116" s="12" t="str">
        <f t="shared" si="4"/>
        <v>Weekday</v>
      </c>
      <c r="I116" s="12" t="str">
        <f t="shared" si="5"/>
        <v>Working Day</v>
      </c>
      <c r="J116" s="12" t="str">
        <f t="shared" si="6"/>
        <v>Low</v>
      </c>
      <c r="K116" s="12" t="str">
        <f>INDEX('Combined_Data'!H:H, MATCH(A116, 'Combined_Data'!A:A, 0))</f>
        <v>Clear</v>
      </c>
      <c r="L116" s="13">
        <f t="shared" si="7"/>
        <v>1</v>
      </c>
    </row>
    <row r="117" spans="1:12" x14ac:dyDescent="0.35">
      <c r="A117" s="10">
        <v>116</v>
      </c>
      <c r="B117" s="11">
        <f>INDEX('Combined_Data'!B:B, MATCH(Derived_Data!A117, 'Combined_Data'!A:A, 0))</f>
        <v>40549</v>
      </c>
      <c r="C117" s="12" t="str">
        <f>INDEX('Combined_Data'!G:G, MATCH(A117, 'Combined_Data'!A:A, 0))</f>
        <v>Thursday</v>
      </c>
      <c r="D117" s="12" t="b">
        <f>INDEX('Combined_Data'!F:F, MATCH(A117, 'Combined_Data'!A:A, 0))</f>
        <v>0</v>
      </c>
      <c r="E117" s="12">
        <f>INDEX('Combined_Data'!O:O, MATCH(A117, 'Combined_Data'!A:A, 0))</f>
        <v>11</v>
      </c>
      <c r="F117" s="12">
        <f>INDEX('Combined_Data'!M:M, MATCH(A117, 'Combined_Data'!A:A, 0))</f>
        <v>0</v>
      </c>
      <c r="G117" s="12">
        <f>INDEX('Combined_Data'!N:N, MATCH(A117, 'Combined_Data'!A:A, 0))</f>
        <v>11</v>
      </c>
      <c r="H117" s="12" t="str">
        <f t="shared" si="4"/>
        <v>Weekday</v>
      </c>
      <c r="I117" s="12" t="str">
        <f t="shared" si="5"/>
        <v>Working Day</v>
      </c>
      <c r="J117" s="12" t="str">
        <f t="shared" si="6"/>
        <v>Low</v>
      </c>
      <c r="K117" s="12" t="str">
        <f>INDEX('Combined_Data'!H:H, MATCH(A117, 'Combined_Data'!A:A, 0))</f>
        <v>Clear</v>
      </c>
      <c r="L117" s="13">
        <f t="shared" si="7"/>
        <v>1</v>
      </c>
    </row>
    <row r="118" spans="1:12" x14ac:dyDescent="0.35">
      <c r="A118" s="10">
        <v>117</v>
      </c>
      <c r="B118" s="11">
        <f>INDEX('Combined_Data'!B:B, MATCH(Derived_Data!A118, 'Combined_Data'!A:A, 0))</f>
        <v>40549</v>
      </c>
      <c r="C118" s="12" t="str">
        <f>INDEX('Combined_Data'!G:G, MATCH(A118, 'Combined_Data'!A:A, 0))</f>
        <v>Thursday</v>
      </c>
      <c r="D118" s="12" t="b">
        <f>INDEX('Combined_Data'!F:F, MATCH(A118, 'Combined_Data'!A:A, 0))</f>
        <v>0</v>
      </c>
      <c r="E118" s="12">
        <f>INDEX('Combined_Data'!O:O, MATCH(A118, 'Combined_Data'!A:A, 0))</f>
        <v>4</v>
      </c>
      <c r="F118" s="12">
        <f>INDEX('Combined_Data'!M:M, MATCH(A118, 'Combined_Data'!A:A, 0))</f>
        <v>0</v>
      </c>
      <c r="G118" s="12">
        <f>INDEX('Combined_Data'!N:N, MATCH(A118, 'Combined_Data'!A:A, 0))</f>
        <v>4</v>
      </c>
      <c r="H118" s="12" t="str">
        <f t="shared" si="4"/>
        <v>Weekday</v>
      </c>
      <c r="I118" s="12" t="str">
        <f t="shared" si="5"/>
        <v>Working Day</v>
      </c>
      <c r="J118" s="12" t="str">
        <f t="shared" si="6"/>
        <v>Low</v>
      </c>
      <c r="K118" s="12" t="str">
        <f>INDEX('Combined_Data'!H:H, MATCH(A118, 'Combined_Data'!A:A, 0))</f>
        <v>Clear</v>
      </c>
      <c r="L118" s="13">
        <f t="shared" si="7"/>
        <v>1</v>
      </c>
    </row>
    <row r="119" spans="1:12" x14ac:dyDescent="0.35">
      <c r="A119" s="10">
        <v>118</v>
      </c>
      <c r="B119" s="11">
        <f>INDEX('Combined_Data'!B:B, MATCH(Derived_Data!A119, 'Combined_Data'!A:A, 0))</f>
        <v>40549</v>
      </c>
      <c r="C119" s="12" t="str">
        <f>INDEX('Combined_Data'!G:G, MATCH(A119, 'Combined_Data'!A:A, 0))</f>
        <v>Thursday</v>
      </c>
      <c r="D119" s="12" t="b">
        <f>INDEX('Combined_Data'!F:F, MATCH(A119, 'Combined_Data'!A:A, 0))</f>
        <v>0</v>
      </c>
      <c r="E119" s="12">
        <f>INDEX('Combined_Data'!O:O, MATCH(A119, 'Combined_Data'!A:A, 0))</f>
        <v>2</v>
      </c>
      <c r="F119" s="12">
        <f>INDEX('Combined_Data'!M:M, MATCH(A119, 'Combined_Data'!A:A, 0))</f>
        <v>0</v>
      </c>
      <c r="G119" s="12">
        <f>INDEX('Combined_Data'!N:N, MATCH(A119, 'Combined_Data'!A:A, 0))</f>
        <v>2</v>
      </c>
      <c r="H119" s="12" t="str">
        <f t="shared" si="4"/>
        <v>Weekday</v>
      </c>
      <c r="I119" s="12" t="str">
        <f t="shared" si="5"/>
        <v>Working Day</v>
      </c>
      <c r="J119" s="12" t="str">
        <f t="shared" si="6"/>
        <v>Low</v>
      </c>
      <c r="K119" s="12" t="str">
        <f>INDEX('Combined_Data'!H:H, MATCH(A119, 'Combined_Data'!A:A, 0))</f>
        <v>Clear</v>
      </c>
      <c r="L119" s="13">
        <f t="shared" si="7"/>
        <v>1</v>
      </c>
    </row>
    <row r="120" spans="1:12" x14ac:dyDescent="0.35">
      <c r="A120" s="10">
        <v>119</v>
      </c>
      <c r="B120" s="11">
        <f>INDEX('Combined_Data'!B:B, MATCH(Derived_Data!A120, 'Combined_Data'!A:A, 0))</f>
        <v>40549</v>
      </c>
      <c r="C120" s="12" t="str">
        <f>INDEX('Combined_Data'!G:G, MATCH(A120, 'Combined_Data'!A:A, 0))</f>
        <v>Thursday</v>
      </c>
      <c r="D120" s="12" t="b">
        <f>INDEX('Combined_Data'!F:F, MATCH(A120, 'Combined_Data'!A:A, 0))</f>
        <v>0</v>
      </c>
      <c r="E120" s="12">
        <f>INDEX('Combined_Data'!O:O, MATCH(A120, 'Combined_Data'!A:A, 0))</f>
        <v>1</v>
      </c>
      <c r="F120" s="12">
        <f>INDEX('Combined_Data'!M:M, MATCH(A120, 'Combined_Data'!A:A, 0))</f>
        <v>0</v>
      </c>
      <c r="G120" s="12">
        <f>INDEX('Combined_Data'!N:N, MATCH(A120, 'Combined_Data'!A:A, 0))</f>
        <v>1</v>
      </c>
      <c r="H120" s="12" t="str">
        <f t="shared" si="4"/>
        <v>Weekday</v>
      </c>
      <c r="I120" s="12" t="str">
        <f t="shared" si="5"/>
        <v>Working Day</v>
      </c>
      <c r="J120" s="12" t="str">
        <f t="shared" si="6"/>
        <v>Low</v>
      </c>
      <c r="K120" s="12" t="str">
        <f>INDEX('Combined_Data'!H:H, MATCH(A120, 'Combined_Data'!A:A, 0))</f>
        <v>Mist</v>
      </c>
      <c r="L120" s="13">
        <f t="shared" si="7"/>
        <v>2</v>
      </c>
    </row>
    <row r="121" spans="1:12" x14ac:dyDescent="0.35">
      <c r="A121" s="10">
        <v>120</v>
      </c>
      <c r="B121" s="11">
        <f>INDEX('Combined_Data'!B:B, MATCH(Derived_Data!A121, 'Combined_Data'!A:A, 0))</f>
        <v>40549</v>
      </c>
      <c r="C121" s="12" t="str">
        <f>INDEX('Combined_Data'!G:G, MATCH(A121, 'Combined_Data'!A:A, 0))</f>
        <v>Thursday</v>
      </c>
      <c r="D121" s="12" t="b">
        <f>INDEX('Combined_Data'!F:F, MATCH(A121, 'Combined_Data'!A:A, 0))</f>
        <v>0</v>
      </c>
      <c r="E121" s="12">
        <f>INDEX('Combined_Data'!O:O, MATCH(A121, 'Combined_Data'!A:A, 0))</f>
        <v>4</v>
      </c>
      <c r="F121" s="12">
        <f>INDEX('Combined_Data'!M:M, MATCH(A121, 'Combined_Data'!A:A, 0))</f>
        <v>0</v>
      </c>
      <c r="G121" s="12">
        <f>INDEX('Combined_Data'!N:N, MATCH(A121, 'Combined_Data'!A:A, 0))</f>
        <v>4</v>
      </c>
      <c r="H121" s="12" t="str">
        <f t="shared" si="4"/>
        <v>Weekday</v>
      </c>
      <c r="I121" s="12" t="str">
        <f t="shared" si="5"/>
        <v>Working Day</v>
      </c>
      <c r="J121" s="12" t="str">
        <f t="shared" si="6"/>
        <v>Low</v>
      </c>
      <c r="K121" s="12" t="str">
        <f>INDEX('Combined_Data'!H:H, MATCH(A121, 'Combined_Data'!A:A, 0))</f>
        <v>Mist</v>
      </c>
      <c r="L121" s="13">
        <f t="shared" si="7"/>
        <v>2</v>
      </c>
    </row>
    <row r="122" spans="1:12" x14ac:dyDescent="0.35">
      <c r="A122" s="10">
        <v>121</v>
      </c>
      <c r="B122" s="11">
        <f>INDEX('Combined_Data'!B:B, MATCH(Derived_Data!A122, 'Combined_Data'!A:A, 0))</f>
        <v>40549</v>
      </c>
      <c r="C122" s="12" t="str">
        <f>INDEX('Combined_Data'!G:G, MATCH(A122, 'Combined_Data'!A:A, 0))</f>
        <v>Thursday</v>
      </c>
      <c r="D122" s="12" t="b">
        <f>INDEX('Combined_Data'!F:F, MATCH(A122, 'Combined_Data'!A:A, 0))</f>
        <v>0</v>
      </c>
      <c r="E122" s="12">
        <f>INDEX('Combined_Data'!O:O, MATCH(A122, 'Combined_Data'!A:A, 0))</f>
        <v>36</v>
      </c>
      <c r="F122" s="12">
        <f>INDEX('Combined_Data'!M:M, MATCH(A122, 'Combined_Data'!A:A, 0))</f>
        <v>0</v>
      </c>
      <c r="G122" s="12">
        <f>INDEX('Combined_Data'!N:N, MATCH(A122, 'Combined_Data'!A:A, 0))</f>
        <v>36</v>
      </c>
      <c r="H122" s="12" t="str">
        <f t="shared" si="4"/>
        <v>Weekday</v>
      </c>
      <c r="I122" s="12" t="str">
        <f t="shared" si="5"/>
        <v>Working Day</v>
      </c>
      <c r="J122" s="12" t="str">
        <f t="shared" si="6"/>
        <v>Low</v>
      </c>
      <c r="K122" s="12" t="str">
        <f>INDEX('Combined_Data'!H:H, MATCH(A122, 'Combined_Data'!A:A, 0))</f>
        <v>Mist</v>
      </c>
      <c r="L122" s="13">
        <f t="shared" si="7"/>
        <v>2</v>
      </c>
    </row>
    <row r="123" spans="1:12" x14ac:dyDescent="0.35">
      <c r="A123" s="10">
        <v>122</v>
      </c>
      <c r="B123" s="11">
        <f>INDEX('Combined_Data'!B:B, MATCH(Derived_Data!A123, 'Combined_Data'!A:A, 0))</f>
        <v>40549</v>
      </c>
      <c r="C123" s="12" t="str">
        <f>INDEX('Combined_Data'!G:G, MATCH(A123, 'Combined_Data'!A:A, 0))</f>
        <v>Thursday</v>
      </c>
      <c r="D123" s="12" t="b">
        <f>INDEX('Combined_Data'!F:F, MATCH(A123, 'Combined_Data'!A:A, 0))</f>
        <v>0</v>
      </c>
      <c r="E123" s="12">
        <f>INDEX('Combined_Data'!O:O, MATCH(A123, 'Combined_Data'!A:A, 0))</f>
        <v>95</v>
      </c>
      <c r="F123" s="12">
        <f>INDEX('Combined_Data'!M:M, MATCH(A123, 'Combined_Data'!A:A, 0))</f>
        <v>0</v>
      </c>
      <c r="G123" s="12">
        <f>INDEX('Combined_Data'!N:N, MATCH(A123, 'Combined_Data'!A:A, 0))</f>
        <v>95</v>
      </c>
      <c r="H123" s="12" t="str">
        <f t="shared" si="4"/>
        <v>Weekday</v>
      </c>
      <c r="I123" s="12" t="str">
        <f t="shared" si="5"/>
        <v>Working Day</v>
      </c>
      <c r="J123" s="12" t="str">
        <f t="shared" si="6"/>
        <v>Low</v>
      </c>
      <c r="K123" s="12" t="str">
        <f>INDEX('Combined_Data'!H:H, MATCH(A123, 'Combined_Data'!A:A, 0))</f>
        <v>Mist</v>
      </c>
      <c r="L123" s="13">
        <f t="shared" si="7"/>
        <v>2</v>
      </c>
    </row>
    <row r="124" spans="1:12" x14ac:dyDescent="0.35">
      <c r="A124" s="10">
        <v>123</v>
      </c>
      <c r="B124" s="11">
        <f>INDEX('Combined_Data'!B:B, MATCH(Derived_Data!A124, 'Combined_Data'!A:A, 0))</f>
        <v>40549</v>
      </c>
      <c r="C124" s="12" t="str">
        <f>INDEX('Combined_Data'!G:G, MATCH(A124, 'Combined_Data'!A:A, 0))</f>
        <v>Thursday</v>
      </c>
      <c r="D124" s="12" t="b">
        <f>INDEX('Combined_Data'!F:F, MATCH(A124, 'Combined_Data'!A:A, 0))</f>
        <v>0</v>
      </c>
      <c r="E124" s="12">
        <f>INDEX('Combined_Data'!O:O, MATCH(A124, 'Combined_Data'!A:A, 0))</f>
        <v>219</v>
      </c>
      <c r="F124" s="12">
        <f>INDEX('Combined_Data'!M:M, MATCH(A124, 'Combined_Data'!A:A, 0))</f>
        <v>3</v>
      </c>
      <c r="G124" s="12">
        <f>INDEX('Combined_Data'!N:N, MATCH(A124, 'Combined_Data'!A:A, 0))</f>
        <v>216</v>
      </c>
      <c r="H124" s="12" t="str">
        <f t="shared" si="4"/>
        <v>Weekday</v>
      </c>
      <c r="I124" s="12" t="str">
        <f t="shared" si="5"/>
        <v>Working Day</v>
      </c>
      <c r="J124" s="12" t="str">
        <f t="shared" si="6"/>
        <v>High</v>
      </c>
      <c r="K124" s="12" t="str">
        <f>INDEX('Combined_Data'!H:H, MATCH(A124, 'Combined_Data'!A:A, 0))</f>
        <v>Clear</v>
      </c>
      <c r="L124" s="13">
        <f t="shared" si="7"/>
        <v>1</v>
      </c>
    </row>
    <row r="125" spans="1:12" x14ac:dyDescent="0.35">
      <c r="A125" s="10">
        <v>124</v>
      </c>
      <c r="B125" s="11">
        <f>INDEX('Combined_Data'!B:B, MATCH(Derived_Data!A125, 'Combined_Data'!A:A, 0))</f>
        <v>40549</v>
      </c>
      <c r="C125" s="12" t="str">
        <f>INDEX('Combined_Data'!G:G, MATCH(A125, 'Combined_Data'!A:A, 0))</f>
        <v>Thursday</v>
      </c>
      <c r="D125" s="12" t="b">
        <f>INDEX('Combined_Data'!F:F, MATCH(A125, 'Combined_Data'!A:A, 0))</f>
        <v>0</v>
      </c>
      <c r="E125" s="12">
        <f>INDEX('Combined_Data'!O:O, MATCH(A125, 'Combined_Data'!A:A, 0))</f>
        <v>122</v>
      </c>
      <c r="F125" s="12">
        <f>INDEX('Combined_Data'!M:M, MATCH(A125, 'Combined_Data'!A:A, 0))</f>
        <v>6</v>
      </c>
      <c r="G125" s="12">
        <f>INDEX('Combined_Data'!N:N, MATCH(A125, 'Combined_Data'!A:A, 0))</f>
        <v>116</v>
      </c>
      <c r="H125" s="12" t="str">
        <f t="shared" si="4"/>
        <v>Weekday</v>
      </c>
      <c r="I125" s="12" t="str">
        <f t="shared" si="5"/>
        <v>Working Day</v>
      </c>
      <c r="J125" s="12" t="str">
        <f t="shared" si="6"/>
        <v>Medium</v>
      </c>
      <c r="K125" s="12" t="str">
        <f>INDEX('Combined_Data'!H:H, MATCH(A125, 'Combined_Data'!A:A, 0))</f>
        <v>Mist</v>
      </c>
      <c r="L125" s="13">
        <f t="shared" si="7"/>
        <v>2</v>
      </c>
    </row>
    <row r="126" spans="1:12" x14ac:dyDescent="0.35">
      <c r="A126" s="10">
        <v>125</v>
      </c>
      <c r="B126" s="11">
        <f>INDEX('Combined_Data'!B:B, MATCH(Derived_Data!A126, 'Combined_Data'!A:A, 0))</f>
        <v>40549</v>
      </c>
      <c r="C126" s="12" t="str">
        <f>INDEX('Combined_Data'!G:G, MATCH(A126, 'Combined_Data'!A:A, 0))</f>
        <v>Thursday</v>
      </c>
      <c r="D126" s="12" t="b">
        <f>INDEX('Combined_Data'!F:F, MATCH(A126, 'Combined_Data'!A:A, 0))</f>
        <v>0</v>
      </c>
      <c r="E126" s="12">
        <f>INDEX('Combined_Data'!O:O, MATCH(A126, 'Combined_Data'!A:A, 0))</f>
        <v>45</v>
      </c>
      <c r="F126" s="12">
        <f>INDEX('Combined_Data'!M:M, MATCH(A126, 'Combined_Data'!A:A, 0))</f>
        <v>3</v>
      </c>
      <c r="G126" s="12">
        <f>INDEX('Combined_Data'!N:N, MATCH(A126, 'Combined_Data'!A:A, 0))</f>
        <v>42</v>
      </c>
      <c r="H126" s="12" t="str">
        <f t="shared" si="4"/>
        <v>Weekday</v>
      </c>
      <c r="I126" s="12" t="str">
        <f t="shared" si="5"/>
        <v>Working Day</v>
      </c>
      <c r="J126" s="12" t="str">
        <f t="shared" si="6"/>
        <v>Low</v>
      </c>
      <c r="K126" s="12" t="str">
        <f>INDEX('Combined_Data'!H:H, MATCH(A126, 'Combined_Data'!A:A, 0))</f>
        <v>Clear</v>
      </c>
      <c r="L126" s="13">
        <f t="shared" si="7"/>
        <v>1</v>
      </c>
    </row>
    <row r="127" spans="1:12" x14ac:dyDescent="0.35">
      <c r="A127" s="10">
        <v>126</v>
      </c>
      <c r="B127" s="11">
        <f>INDEX('Combined_Data'!B:B, MATCH(Derived_Data!A127, 'Combined_Data'!A:A, 0))</f>
        <v>40549</v>
      </c>
      <c r="C127" s="12" t="str">
        <f>INDEX('Combined_Data'!G:G, MATCH(A127, 'Combined_Data'!A:A, 0))</f>
        <v>Thursday</v>
      </c>
      <c r="D127" s="12" t="b">
        <f>INDEX('Combined_Data'!F:F, MATCH(A127, 'Combined_Data'!A:A, 0))</f>
        <v>0</v>
      </c>
      <c r="E127" s="12">
        <f>INDEX('Combined_Data'!O:O, MATCH(A127, 'Combined_Data'!A:A, 0))</f>
        <v>59</v>
      </c>
      <c r="F127" s="12">
        <f>INDEX('Combined_Data'!M:M, MATCH(A127, 'Combined_Data'!A:A, 0))</f>
        <v>2</v>
      </c>
      <c r="G127" s="12">
        <f>INDEX('Combined_Data'!N:N, MATCH(A127, 'Combined_Data'!A:A, 0))</f>
        <v>57</v>
      </c>
      <c r="H127" s="12" t="str">
        <f t="shared" si="4"/>
        <v>Weekday</v>
      </c>
      <c r="I127" s="12" t="str">
        <f t="shared" si="5"/>
        <v>Working Day</v>
      </c>
      <c r="J127" s="12" t="str">
        <f t="shared" si="6"/>
        <v>Low</v>
      </c>
      <c r="K127" s="12" t="str">
        <f>INDEX('Combined_Data'!H:H, MATCH(A127, 'Combined_Data'!A:A, 0))</f>
        <v>Clear</v>
      </c>
      <c r="L127" s="13">
        <f t="shared" si="7"/>
        <v>1</v>
      </c>
    </row>
    <row r="128" spans="1:12" x14ac:dyDescent="0.35">
      <c r="A128" s="10">
        <v>127</v>
      </c>
      <c r="B128" s="11">
        <f>INDEX('Combined_Data'!B:B, MATCH(Derived_Data!A128, 'Combined_Data'!A:A, 0))</f>
        <v>40549</v>
      </c>
      <c r="C128" s="12" t="str">
        <f>INDEX('Combined_Data'!G:G, MATCH(A128, 'Combined_Data'!A:A, 0))</f>
        <v>Thursday</v>
      </c>
      <c r="D128" s="12" t="b">
        <f>INDEX('Combined_Data'!F:F, MATCH(A128, 'Combined_Data'!A:A, 0))</f>
        <v>0</v>
      </c>
      <c r="E128" s="12">
        <f>INDEX('Combined_Data'!O:O, MATCH(A128, 'Combined_Data'!A:A, 0))</f>
        <v>84</v>
      </c>
      <c r="F128" s="12">
        <f>INDEX('Combined_Data'!M:M, MATCH(A128, 'Combined_Data'!A:A, 0))</f>
        <v>6</v>
      </c>
      <c r="G128" s="12">
        <f>INDEX('Combined_Data'!N:N, MATCH(A128, 'Combined_Data'!A:A, 0))</f>
        <v>78</v>
      </c>
      <c r="H128" s="12" t="str">
        <f t="shared" si="4"/>
        <v>Weekday</v>
      </c>
      <c r="I128" s="12" t="str">
        <f t="shared" si="5"/>
        <v>Working Day</v>
      </c>
      <c r="J128" s="12" t="str">
        <f t="shared" si="6"/>
        <v>Low</v>
      </c>
      <c r="K128" s="12" t="str">
        <f>INDEX('Combined_Data'!H:H, MATCH(A128, 'Combined_Data'!A:A, 0))</f>
        <v>Clear</v>
      </c>
      <c r="L128" s="13">
        <f t="shared" si="7"/>
        <v>1</v>
      </c>
    </row>
    <row r="129" spans="1:12" x14ac:dyDescent="0.35">
      <c r="A129" s="10">
        <v>128</v>
      </c>
      <c r="B129" s="11">
        <f>INDEX('Combined_Data'!B:B, MATCH(Derived_Data!A129, 'Combined_Data'!A:A, 0))</f>
        <v>40549</v>
      </c>
      <c r="C129" s="12" t="str">
        <f>INDEX('Combined_Data'!G:G, MATCH(A129, 'Combined_Data'!A:A, 0))</f>
        <v>Thursday</v>
      </c>
      <c r="D129" s="12" t="b">
        <f>INDEX('Combined_Data'!F:F, MATCH(A129, 'Combined_Data'!A:A, 0))</f>
        <v>0</v>
      </c>
      <c r="E129" s="12">
        <f>INDEX('Combined_Data'!O:O, MATCH(A129, 'Combined_Data'!A:A, 0))</f>
        <v>67</v>
      </c>
      <c r="F129" s="12">
        <f>INDEX('Combined_Data'!M:M, MATCH(A129, 'Combined_Data'!A:A, 0))</f>
        <v>12</v>
      </c>
      <c r="G129" s="12">
        <f>INDEX('Combined_Data'!N:N, MATCH(A129, 'Combined_Data'!A:A, 0))</f>
        <v>55</v>
      </c>
      <c r="H129" s="12" t="str">
        <f t="shared" si="4"/>
        <v>Weekday</v>
      </c>
      <c r="I129" s="12" t="str">
        <f t="shared" si="5"/>
        <v>Working Day</v>
      </c>
      <c r="J129" s="12" t="str">
        <f t="shared" si="6"/>
        <v>Low</v>
      </c>
      <c r="K129" s="12" t="str">
        <f>INDEX('Combined_Data'!H:H, MATCH(A129, 'Combined_Data'!A:A, 0))</f>
        <v>Clear</v>
      </c>
      <c r="L129" s="13">
        <f t="shared" si="7"/>
        <v>1</v>
      </c>
    </row>
    <row r="130" spans="1:12" x14ac:dyDescent="0.35">
      <c r="A130" s="10">
        <v>129</v>
      </c>
      <c r="B130" s="11">
        <f>INDEX('Combined_Data'!B:B, MATCH(Derived_Data!A130, 'Combined_Data'!A:A, 0))</f>
        <v>40549</v>
      </c>
      <c r="C130" s="12" t="str">
        <f>INDEX('Combined_Data'!G:G, MATCH(A130, 'Combined_Data'!A:A, 0))</f>
        <v>Thursday</v>
      </c>
      <c r="D130" s="12" t="b">
        <f>INDEX('Combined_Data'!F:F, MATCH(A130, 'Combined_Data'!A:A, 0))</f>
        <v>0</v>
      </c>
      <c r="E130" s="12">
        <f>INDEX('Combined_Data'!O:O, MATCH(A130, 'Combined_Data'!A:A, 0))</f>
        <v>70</v>
      </c>
      <c r="F130" s="12">
        <f>INDEX('Combined_Data'!M:M, MATCH(A130, 'Combined_Data'!A:A, 0))</f>
        <v>11</v>
      </c>
      <c r="G130" s="12">
        <f>INDEX('Combined_Data'!N:N, MATCH(A130, 'Combined_Data'!A:A, 0))</f>
        <v>59</v>
      </c>
      <c r="H130" s="12" t="str">
        <f t="shared" si="4"/>
        <v>Weekday</v>
      </c>
      <c r="I130" s="12" t="str">
        <f t="shared" si="5"/>
        <v>Working Day</v>
      </c>
      <c r="J130" s="12" t="str">
        <f t="shared" si="6"/>
        <v>Low</v>
      </c>
      <c r="K130" s="12" t="str">
        <f>INDEX('Combined_Data'!H:H, MATCH(A130, 'Combined_Data'!A:A, 0))</f>
        <v>Clear</v>
      </c>
      <c r="L130" s="13">
        <f t="shared" si="7"/>
        <v>1</v>
      </c>
    </row>
    <row r="131" spans="1:12" x14ac:dyDescent="0.35">
      <c r="A131" s="10">
        <v>130</v>
      </c>
      <c r="B131" s="11">
        <f>INDEX('Combined_Data'!B:B, MATCH(Derived_Data!A131, 'Combined_Data'!A:A, 0))</f>
        <v>40549</v>
      </c>
      <c r="C131" s="12" t="str">
        <f>INDEX('Combined_Data'!G:G, MATCH(A131, 'Combined_Data'!A:A, 0))</f>
        <v>Thursday</v>
      </c>
      <c r="D131" s="12" t="b">
        <f>INDEX('Combined_Data'!F:F, MATCH(A131, 'Combined_Data'!A:A, 0))</f>
        <v>0</v>
      </c>
      <c r="E131" s="12">
        <f>INDEX('Combined_Data'!O:O, MATCH(A131, 'Combined_Data'!A:A, 0))</f>
        <v>62</v>
      </c>
      <c r="F131" s="12">
        <f>INDEX('Combined_Data'!M:M, MATCH(A131, 'Combined_Data'!A:A, 0))</f>
        <v>8</v>
      </c>
      <c r="G131" s="12">
        <f>INDEX('Combined_Data'!N:N, MATCH(A131, 'Combined_Data'!A:A, 0))</f>
        <v>54</v>
      </c>
      <c r="H131" s="12" t="str">
        <f t="shared" ref="H131:H194" si="8">IF(OR(TRIM(C131)="Saturday",TRIM(C131)="Sunday"),"Weekend","Weekday")</f>
        <v>Weekday</v>
      </c>
      <c r="I131" s="12" t="str">
        <f t="shared" ref="I131:I194" si="9">IF(D131=TRUE,"Holiday","Working Day")</f>
        <v>Working Day</v>
      </c>
      <c r="J131" s="12" t="str">
        <f t="shared" ref="J131:J194" si="10">IF(E131&lt;100,"Low",IF(E131&lt;=150,"Medium","High"))</f>
        <v>Low</v>
      </c>
      <c r="K131" s="12" t="str">
        <f>INDEX('Combined_Data'!H:H, MATCH(A131, 'Combined_Data'!A:A, 0))</f>
        <v>Clear</v>
      </c>
      <c r="L131" s="13">
        <f t="shared" ref="L131:L194" si="11">VLOOKUP(TRIM(K131), $T$2:$U$5, 2, FALSE)</f>
        <v>1</v>
      </c>
    </row>
    <row r="132" spans="1:12" x14ac:dyDescent="0.35">
      <c r="A132" s="10">
        <v>131</v>
      </c>
      <c r="B132" s="11">
        <f>INDEX('Combined_Data'!B:B, MATCH(Derived_Data!A132, 'Combined_Data'!A:A, 0))</f>
        <v>40549</v>
      </c>
      <c r="C132" s="12" t="str">
        <f>INDEX('Combined_Data'!G:G, MATCH(A132, 'Combined_Data'!A:A, 0))</f>
        <v>Thursday</v>
      </c>
      <c r="D132" s="12" t="b">
        <f>INDEX('Combined_Data'!F:F, MATCH(A132, 'Combined_Data'!A:A, 0))</f>
        <v>0</v>
      </c>
      <c r="E132" s="12">
        <f>INDEX('Combined_Data'!O:O, MATCH(A132, 'Combined_Data'!A:A, 0))</f>
        <v>86</v>
      </c>
      <c r="F132" s="12">
        <f>INDEX('Combined_Data'!M:M, MATCH(A132, 'Combined_Data'!A:A, 0))</f>
        <v>12</v>
      </c>
      <c r="G132" s="12">
        <f>INDEX('Combined_Data'!N:N, MATCH(A132, 'Combined_Data'!A:A, 0))</f>
        <v>74</v>
      </c>
      <c r="H132" s="12" t="str">
        <f t="shared" si="8"/>
        <v>Weekday</v>
      </c>
      <c r="I132" s="12" t="str">
        <f t="shared" si="9"/>
        <v>Working Day</v>
      </c>
      <c r="J132" s="12" t="str">
        <f t="shared" si="10"/>
        <v>Low</v>
      </c>
      <c r="K132" s="12" t="str">
        <f>INDEX('Combined_Data'!H:H, MATCH(A132, 'Combined_Data'!A:A, 0))</f>
        <v>Clear</v>
      </c>
      <c r="L132" s="13">
        <f t="shared" si="11"/>
        <v>1</v>
      </c>
    </row>
    <row r="133" spans="1:12" x14ac:dyDescent="0.35">
      <c r="A133" s="10">
        <v>132</v>
      </c>
      <c r="B133" s="11">
        <f>INDEX('Combined_Data'!B:B, MATCH(Derived_Data!A133, 'Combined_Data'!A:A, 0))</f>
        <v>40549</v>
      </c>
      <c r="C133" s="12" t="str">
        <f>INDEX('Combined_Data'!G:G, MATCH(A133, 'Combined_Data'!A:A, 0))</f>
        <v>Thursday</v>
      </c>
      <c r="D133" s="12" t="b">
        <f>INDEX('Combined_Data'!F:F, MATCH(A133, 'Combined_Data'!A:A, 0))</f>
        <v>0</v>
      </c>
      <c r="E133" s="12">
        <f>INDEX('Combined_Data'!O:O, MATCH(A133, 'Combined_Data'!A:A, 0))</f>
        <v>172</v>
      </c>
      <c r="F133" s="12">
        <f>INDEX('Combined_Data'!M:M, MATCH(A133, 'Combined_Data'!A:A, 0))</f>
        <v>9</v>
      </c>
      <c r="G133" s="12">
        <f>INDEX('Combined_Data'!N:N, MATCH(A133, 'Combined_Data'!A:A, 0))</f>
        <v>163</v>
      </c>
      <c r="H133" s="12" t="str">
        <f t="shared" si="8"/>
        <v>Weekday</v>
      </c>
      <c r="I133" s="12" t="str">
        <f t="shared" si="9"/>
        <v>Working Day</v>
      </c>
      <c r="J133" s="12" t="str">
        <f t="shared" si="10"/>
        <v>High</v>
      </c>
      <c r="K133" s="12" t="str">
        <f>INDEX('Combined_Data'!H:H, MATCH(A133, 'Combined_Data'!A:A, 0))</f>
        <v>Clear</v>
      </c>
      <c r="L133" s="13">
        <f t="shared" si="11"/>
        <v>1</v>
      </c>
    </row>
    <row r="134" spans="1:12" x14ac:dyDescent="0.35">
      <c r="A134" s="10">
        <v>133</v>
      </c>
      <c r="B134" s="11">
        <f>INDEX('Combined_Data'!B:B, MATCH(Derived_Data!A134, 'Combined_Data'!A:A, 0))</f>
        <v>40549</v>
      </c>
      <c r="C134" s="12" t="str">
        <f>INDEX('Combined_Data'!G:G, MATCH(A134, 'Combined_Data'!A:A, 0))</f>
        <v>Thursday</v>
      </c>
      <c r="D134" s="12" t="b">
        <f>INDEX('Combined_Data'!F:F, MATCH(A134, 'Combined_Data'!A:A, 0))</f>
        <v>0</v>
      </c>
      <c r="E134" s="12">
        <f>INDEX('Combined_Data'!O:O, MATCH(A134, 'Combined_Data'!A:A, 0))</f>
        <v>163</v>
      </c>
      <c r="F134" s="12">
        <f>INDEX('Combined_Data'!M:M, MATCH(A134, 'Combined_Data'!A:A, 0))</f>
        <v>5</v>
      </c>
      <c r="G134" s="12">
        <f>INDEX('Combined_Data'!N:N, MATCH(A134, 'Combined_Data'!A:A, 0))</f>
        <v>158</v>
      </c>
      <c r="H134" s="12" t="str">
        <f t="shared" si="8"/>
        <v>Weekday</v>
      </c>
      <c r="I134" s="12" t="str">
        <f t="shared" si="9"/>
        <v>Working Day</v>
      </c>
      <c r="J134" s="12" t="str">
        <f t="shared" si="10"/>
        <v>High</v>
      </c>
      <c r="K134" s="12" t="str">
        <f>INDEX('Combined_Data'!H:H, MATCH(A134, 'Combined_Data'!A:A, 0))</f>
        <v>Clear</v>
      </c>
      <c r="L134" s="13">
        <f t="shared" si="11"/>
        <v>1</v>
      </c>
    </row>
    <row r="135" spans="1:12" x14ac:dyDescent="0.35">
      <c r="A135" s="10">
        <v>134</v>
      </c>
      <c r="B135" s="11">
        <f>INDEX('Combined_Data'!B:B, MATCH(Derived_Data!A135, 'Combined_Data'!A:A, 0))</f>
        <v>40549</v>
      </c>
      <c r="C135" s="12" t="str">
        <f>INDEX('Combined_Data'!G:G, MATCH(A135, 'Combined_Data'!A:A, 0))</f>
        <v>Thursday</v>
      </c>
      <c r="D135" s="12" t="b">
        <f>INDEX('Combined_Data'!F:F, MATCH(A135, 'Combined_Data'!A:A, 0))</f>
        <v>0</v>
      </c>
      <c r="E135" s="12">
        <f>INDEX('Combined_Data'!O:O, MATCH(A135, 'Combined_Data'!A:A, 0))</f>
        <v>112</v>
      </c>
      <c r="F135" s="12">
        <f>INDEX('Combined_Data'!M:M, MATCH(A135, 'Combined_Data'!A:A, 0))</f>
        <v>3</v>
      </c>
      <c r="G135" s="12">
        <f>INDEX('Combined_Data'!N:N, MATCH(A135, 'Combined_Data'!A:A, 0))</f>
        <v>109</v>
      </c>
      <c r="H135" s="12" t="str">
        <f t="shared" si="8"/>
        <v>Weekday</v>
      </c>
      <c r="I135" s="12" t="str">
        <f t="shared" si="9"/>
        <v>Working Day</v>
      </c>
      <c r="J135" s="12" t="str">
        <f t="shared" si="10"/>
        <v>Medium</v>
      </c>
      <c r="K135" s="12" t="str">
        <f>INDEX('Combined_Data'!H:H, MATCH(A135, 'Combined_Data'!A:A, 0))</f>
        <v>Clear</v>
      </c>
      <c r="L135" s="13">
        <f t="shared" si="11"/>
        <v>1</v>
      </c>
    </row>
    <row r="136" spans="1:12" x14ac:dyDescent="0.35">
      <c r="A136" s="10">
        <v>135</v>
      </c>
      <c r="B136" s="11">
        <f>INDEX('Combined_Data'!B:B, MATCH(Derived_Data!A136, 'Combined_Data'!A:A, 0))</f>
        <v>40549</v>
      </c>
      <c r="C136" s="12" t="str">
        <f>INDEX('Combined_Data'!G:G, MATCH(A136, 'Combined_Data'!A:A, 0))</f>
        <v>Thursday</v>
      </c>
      <c r="D136" s="12" t="b">
        <f>INDEX('Combined_Data'!F:F, MATCH(A136, 'Combined_Data'!A:A, 0))</f>
        <v>0</v>
      </c>
      <c r="E136" s="12">
        <f>INDEX('Combined_Data'!O:O, MATCH(A136, 'Combined_Data'!A:A, 0))</f>
        <v>69</v>
      </c>
      <c r="F136" s="12">
        <f>INDEX('Combined_Data'!M:M, MATCH(A136, 'Combined_Data'!A:A, 0))</f>
        <v>3</v>
      </c>
      <c r="G136" s="12">
        <f>INDEX('Combined_Data'!N:N, MATCH(A136, 'Combined_Data'!A:A, 0))</f>
        <v>66</v>
      </c>
      <c r="H136" s="12" t="str">
        <f t="shared" si="8"/>
        <v>Weekday</v>
      </c>
      <c r="I136" s="12" t="str">
        <f t="shared" si="9"/>
        <v>Working Day</v>
      </c>
      <c r="J136" s="12" t="str">
        <f t="shared" si="10"/>
        <v>Low</v>
      </c>
      <c r="K136" s="12" t="str">
        <f>INDEX('Combined_Data'!H:H, MATCH(A136, 'Combined_Data'!A:A, 0))</f>
        <v>Clear</v>
      </c>
      <c r="L136" s="13">
        <f t="shared" si="11"/>
        <v>1</v>
      </c>
    </row>
    <row r="137" spans="1:12" x14ac:dyDescent="0.35">
      <c r="A137" s="10">
        <v>136</v>
      </c>
      <c r="B137" s="11">
        <f>INDEX('Combined_Data'!B:B, MATCH(Derived_Data!A137, 'Combined_Data'!A:A, 0))</f>
        <v>40549</v>
      </c>
      <c r="C137" s="12" t="str">
        <f>INDEX('Combined_Data'!G:G, MATCH(A137, 'Combined_Data'!A:A, 0))</f>
        <v>Thursday</v>
      </c>
      <c r="D137" s="12" t="b">
        <f>INDEX('Combined_Data'!F:F, MATCH(A137, 'Combined_Data'!A:A, 0))</f>
        <v>0</v>
      </c>
      <c r="E137" s="12">
        <f>INDEX('Combined_Data'!O:O, MATCH(A137, 'Combined_Data'!A:A, 0))</f>
        <v>48</v>
      </c>
      <c r="F137" s="12">
        <f>INDEX('Combined_Data'!M:M, MATCH(A137, 'Combined_Data'!A:A, 0))</f>
        <v>0</v>
      </c>
      <c r="G137" s="12">
        <f>INDEX('Combined_Data'!N:N, MATCH(A137, 'Combined_Data'!A:A, 0))</f>
        <v>48</v>
      </c>
      <c r="H137" s="12" t="str">
        <f t="shared" si="8"/>
        <v>Weekday</v>
      </c>
      <c r="I137" s="12" t="str">
        <f t="shared" si="9"/>
        <v>Working Day</v>
      </c>
      <c r="J137" s="12" t="str">
        <f t="shared" si="10"/>
        <v>Low</v>
      </c>
      <c r="K137" s="12" t="str">
        <f>INDEX('Combined_Data'!H:H, MATCH(A137, 'Combined_Data'!A:A, 0))</f>
        <v>Mist</v>
      </c>
      <c r="L137" s="13">
        <f t="shared" si="11"/>
        <v>2</v>
      </c>
    </row>
    <row r="138" spans="1:12" x14ac:dyDescent="0.35">
      <c r="A138" s="10">
        <v>137</v>
      </c>
      <c r="B138" s="11">
        <f>INDEX('Combined_Data'!B:B, MATCH(Derived_Data!A138, 'Combined_Data'!A:A, 0))</f>
        <v>40549</v>
      </c>
      <c r="C138" s="12" t="str">
        <f>INDEX('Combined_Data'!G:G, MATCH(A138, 'Combined_Data'!A:A, 0))</f>
        <v>Thursday</v>
      </c>
      <c r="D138" s="12" t="b">
        <f>INDEX('Combined_Data'!F:F, MATCH(A138, 'Combined_Data'!A:A, 0))</f>
        <v>0</v>
      </c>
      <c r="E138" s="12">
        <f>INDEX('Combined_Data'!O:O, MATCH(A138, 'Combined_Data'!A:A, 0))</f>
        <v>52</v>
      </c>
      <c r="F138" s="12">
        <f>INDEX('Combined_Data'!M:M, MATCH(A138, 'Combined_Data'!A:A, 0))</f>
        <v>1</v>
      </c>
      <c r="G138" s="12">
        <f>INDEX('Combined_Data'!N:N, MATCH(A138, 'Combined_Data'!A:A, 0))</f>
        <v>51</v>
      </c>
      <c r="H138" s="12" t="str">
        <f t="shared" si="8"/>
        <v>Weekday</v>
      </c>
      <c r="I138" s="12" t="str">
        <f t="shared" si="9"/>
        <v>Working Day</v>
      </c>
      <c r="J138" s="12" t="str">
        <f t="shared" si="10"/>
        <v>Low</v>
      </c>
      <c r="K138" s="12" t="str">
        <f>INDEX('Combined_Data'!H:H, MATCH(A138, 'Combined_Data'!A:A, 0))</f>
        <v>Mist</v>
      </c>
      <c r="L138" s="13">
        <f t="shared" si="11"/>
        <v>2</v>
      </c>
    </row>
    <row r="139" spans="1:12" x14ac:dyDescent="0.35">
      <c r="A139" s="10">
        <v>138</v>
      </c>
      <c r="B139" s="11">
        <f>INDEX('Combined_Data'!B:B, MATCH(Derived_Data!A139, 'Combined_Data'!A:A, 0))</f>
        <v>40549</v>
      </c>
      <c r="C139" s="12" t="str">
        <f>INDEX('Combined_Data'!G:G, MATCH(A139, 'Combined_Data'!A:A, 0))</f>
        <v>Thursday</v>
      </c>
      <c r="D139" s="12" t="b">
        <f>INDEX('Combined_Data'!F:F, MATCH(A139, 'Combined_Data'!A:A, 0))</f>
        <v>0</v>
      </c>
      <c r="E139" s="12">
        <f>INDEX('Combined_Data'!O:O, MATCH(A139, 'Combined_Data'!A:A, 0))</f>
        <v>23</v>
      </c>
      <c r="F139" s="12">
        <f>INDEX('Combined_Data'!M:M, MATCH(A139, 'Combined_Data'!A:A, 0))</f>
        <v>4</v>
      </c>
      <c r="G139" s="12">
        <f>INDEX('Combined_Data'!N:N, MATCH(A139, 'Combined_Data'!A:A, 0))</f>
        <v>19</v>
      </c>
      <c r="H139" s="12" t="str">
        <f t="shared" si="8"/>
        <v>Weekday</v>
      </c>
      <c r="I139" s="12" t="str">
        <f t="shared" si="9"/>
        <v>Working Day</v>
      </c>
      <c r="J139" s="12" t="str">
        <f t="shared" si="10"/>
        <v>Low</v>
      </c>
      <c r="K139" s="12" t="str">
        <f>INDEX('Combined_Data'!H:H, MATCH(A139, 'Combined_Data'!A:A, 0))</f>
        <v>Mist</v>
      </c>
      <c r="L139" s="13">
        <f t="shared" si="11"/>
        <v>2</v>
      </c>
    </row>
    <row r="140" spans="1:12" x14ac:dyDescent="0.35">
      <c r="A140" s="10">
        <v>139</v>
      </c>
      <c r="B140" s="11">
        <f>INDEX('Combined_Data'!B:B, MATCH(Derived_Data!A140, 'Combined_Data'!A:A, 0))</f>
        <v>40550</v>
      </c>
      <c r="C140" s="12" t="str">
        <f>INDEX('Combined_Data'!G:G, MATCH(A140, 'Combined_Data'!A:A, 0))</f>
        <v>Friday</v>
      </c>
      <c r="D140" s="12" t="b">
        <f>INDEX('Combined_Data'!F:F, MATCH(A140, 'Combined_Data'!A:A, 0))</f>
        <v>0</v>
      </c>
      <c r="E140" s="12">
        <f>INDEX('Combined_Data'!O:O, MATCH(A140, 'Combined_Data'!A:A, 0))</f>
        <v>17</v>
      </c>
      <c r="F140" s="12">
        <f>INDEX('Combined_Data'!M:M, MATCH(A140, 'Combined_Data'!A:A, 0))</f>
        <v>4</v>
      </c>
      <c r="G140" s="12">
        <f>INDEX('Combined_Data'!N:N, MATCH(A140, 'Combined_Data'!A:A, 0))</f>
        <v>13</v>
      </c>
      <c r="H140" s="12" t="str">
        <f t="shared" si="8"/>
        <v>Weekday</v>
      </c>
      <c r="I140" s="12" t="str">
        <f t="shared" si="9"/>
        <v>Working Day</v>
      </c>
      <c r="J140" s="12" t="str">
        <f t="shared" si="10"/>
        <v>Low</v>
      </c>
      <c r="K140" s="12" t="str">
        <f>INDEX('Combined_Data'!H:H, MATCH(A140, 'Combined_Data'!A:A, 0))</f>
        <v>Mist</v>
      </c>
      <c r="L140" s="13">
        <f t="shared" si="11"/>
        <v>2</v>
      </c>
    </row>
    <row r="141" spans="1:12" x14ac:dyDescent="0.35">
      <c r="A141" s="10">
        <v>140</v>
      </c>
      <c r="B141" s="11">
        <f>INDEX('Combined_Data'!B:B, MATCH(Derived_Data!A141, 'Combined_Data'!A:A, 0))</f>
        <v>40550</v>
      </c>
      <c r="C141" s="12" t="str">
        <f>INDEX('Combined_Data'!G:G, MATCH(A141, 'Combined_Data'!A:A, 0))</f>
        <v>Friday</v>
      </c>
      <c r="D141" s="12" t="b">
        <f>INDEX('Combined_Data'!F:F, MATCH(A141, 'Combined_Data'!A:A, 0))</f>
        <v>0</v>
      </c>
      <c r="E141" s="12">
        <f>INDEX('Combined_Data'!O:O, MATCH(A141, 'Combined_Data'!A:A, 0))</f>
        <v>7</v>
      </c>
      <c r="F141" s="12">
        <f>INDEX('Combined_Data'!M:M, MATCH(A141, 'Combined_Data'!A:A, 0))</f>
        <v>2</v>
      </c>
      <c r="G141" s="12">
        <f>INDEX('Combined_Data'!N:N, MATCH(A141, 'Combined_Data'!A:A, 0))</f>
        <v>5</v>
      </c>
      <c r="H141" s="12" t="str">
        <f t="shared" si="8"/>
        <v>Weekday</v>
      </c>
      <c r="I141" s="12" t="str">
        <f t="shared" si="9"/>
        <v>Working Day</v>
      </c>
      <c r="J141" s="12" t="str">
        <f t="shared" si="10"/>
        <v>Low</v>
      </c>
      <c r="K141" s="12" t="str">
        <f>INDEX('Combined_Data'!H:H, MATCH(A141, 'Combined_Data'!A:A, 0))</f>
        <v>Mist</v>
      </c>
      <c r="L141" s="13">
        <f t="shared" si="11"/>
        <v>2</v>
      </c>
    </row>
    <row r="142" spans="1:12" x14ac:dyDescent="0.35">
      <c r="A142" s="10">
        <v>141</v>
      </c>
      <c r="B142" s="11">
        <f>INDEX('Combined_Data'!B:B, MATCH(Derived_Data!A142, 'Combined_Data'!A:A, 0))</f>
        <v>40550</v>
      </c>
      <c r="C142" s="12" t="str">
        <f>INDEX('Combined_Data'!G:G, MATCH(A142, 'Combined_Data'!A:A, 0))</f>
        <v>Friday</v>
      </c>
      <c r="D142" s="12" t="b">
        <f>INDEX('Combined_Data'!F:F, MATCH(A142, 'Combined_Data'!A:A, 0))</f>
        <v>0</v>
      </c>
      <c r="E142" s="12">
        <f>INDEX('Combined_Data'!O:O, MATCH(A142, 'Combined_Data'!A:A, 0))</f>
        <v>1</v>
      </c>
      <c r="F142" s="12">
        <f>INDEX('Combined_Data'!M:M, MATCH(A142, 'Combined_Data'!A:A, 0))</f>
        <v>0</v>
      </c>
      <c r="G142" s="12">
        <f>INDEX('Combined_Data'!N:N, MATCH(A142, 'Combined_Data'!A:A, 0))</f>
        <v>1</v>
      </c>
      <c r="H142" s="12" t="str">
        <f t="shared" si="8"/>
        <v>Weekday</v>
      </c>
      <c r="I142" s="12" t="str">
        <f t="shared" si="9"/>
        <v>Working Day</v>
      </c>
      <c r="J142" s="12" t="str">
        <f t="shared" si="10"/>
        <v>Low</v>
      </c>
      <c r="K142" s="12" t="str">
        <f>INDEX('Combined_Data'!H:H, MATCH(A142, 'Combined_Data'!A:A, 0))</f>
        <v>Mist</v>
      </c>
      <c r="L142" s="13">
        <f t="shared" si="11"/>
        <v>2</v>
      </c>
    </row>
    <row r="143" spans="1:12" x14ac:dyDescent="0.35">
      <c r="A143" s="10">
        <v>142</v>
      </c>
      <c r="B143" s="11">
        <f>INDEX('Combined_Data'!B:B, MATCH(Derived_Data!A143, 'Combined_Data'!A:A, 0))</f>
        <v>40550</v>
      </c>
      <c r="C143" s="12" t="str">
        <f>INDEX('Combined_Data'!G:G, MATCH(A143, 'Combined_Data'!A:A, 0))</f>
        <v>Friday</v>
      </c>
      <c r="D143" s="12" t="b">
        <f>INDEX('Combined_Data'!F:F, MATCH(A143, 'Combined_Data'!A:A, 0))</f>
        <v>0</v>
      </c>
      <c r="E143" s="12">
        <f>INDEX('Combined_Data'!O:O, MATCH(A143, 'Combined_Data'!A:A, 0))</f>
        <v>1</v>
      </c>
      <c r="F143" s="12">
        <f>INDEX('Combined_Data'!M:M, MATCH(A143, 'Combined_Data'!A:A, 0))</f>
        <v>0</v>
      </c>
      <c r="G143" s="12">
        <f>INDEX('Combined_Data'!N:N, MATCH(A143, 'Combined_Data'!A:A, 0))</f>
        <v>1</v>
      </c>
      <c r="H143" s="12" t="str">
        <f t="shared" si="8"/>
        <v>Weekday</v>
      </c>
      <c r="I143" s="12" t="str">
        <f t="shared" si="9"/>
        <v>Working Day</v>
      </c>
      <c r="J143" s="12" t="str">
        <f t="shared" si="10"/>
        <v>Low</v>
      </c>
      <c r="K143" s="12" t="str">
        <f>INDEX('Combined_Data'!H:H, MATCH(A143, 'Combined_Data'!A:A, 0))</f>
        <v>Mist</v>
      </c>
      <c r="L143" s="13">
        <f t="shared" si="11"/>
        <v>2</v>
      </c>
    </row>
    <row r="144" spans="1:12" x14ac:dyDescent="0.35">
      <c r="A144" s="10">
        <v>143</v>
      </c>
      <c r="B144" s="11">
        <f>INDEX('Combined_Data'!B:B, MATCH(Derived_Data!A144, 'Combined_Data'!A:A, 0))</f>
        <v>40550</v>
      </c>
      <c r="C144" s="12" t="str">
        <f>INDEX('Combined_Data'!G:G, MATCH(A144, 'Combined_Data'!A:A, 0))</f>
        <v>Friday</v>
      </c>
      <c r="D144" s="12" t="b">
        <f>INDEX('Combined_Data'!F:F, MATCH(A144, 'Combined_Data'!A:A, 0))</f>
        <v>0</v>
      </c>
      <c r="E144" s="12">
        <f>INDEX('Combined_Data'!O:O, MATCH(A144, 'Combined_Data'!A:A, 0))</f>
        <v>5</v>
      </c>
      <c r="F144" s="12">
        <f>INDEX('Combined_Data'!M:M, MATCH(A144, 'Combined_Data'!A:A, 0))</f>
        <v>0</v>
      </c>
      <c r="G144" s="12">
        <f>INDEX('Combined_Data'!N:N, MATCH(A144, 'Combined_Data'!A:A, 0))</f>
        <v>5</v>
      </c>
      <c r="H144" s="12" t="str">
        <f t="shared" si="8"/>
        <v>Weekday</v>
      </c>
      <c r="I144" s="12" t="str">
        <f t="shared" si="9"/>
        <v>Working Day</v>
      </c>
      <c r="J144" s="12" t="str">
        <f t="shared" si="10"/>
        <v>Low</v>
      </c>
      <c r="K144" s="12" t="str">
        <f>INDEX('Combined_Data'!H:H, MATCH(A144, 'Combined_Data'!A:A, 0))</f>
        <v>Light Snow</v>
      </c>
      <c r="L144" s="13">
        <f t="shared" si="11"/>
        <v>3</v>
      </c>
    </row>
    <row r="145" spans="1:12" x14ac:dyDescent="0.35">
      <c r="A145" s="10">
        <v>144</v>
      </c>
      <c r="B145" s="11">
        <f>INDEX('Combined_Data'!B:B, MATCH(Derived_Data!A145, 'Combined_Data'!A:A, 0))</f>
        <v>40550</v>
      </c>
      <c r="C145" s="12" t="str">
        <f>INDEX('Combined_Data'!G:G, MATCH(A145, 'Combined_Data'!A:A, 0))</f>
        <v>Friday</v>
      </c>
      <c r="D145" s="12" t="b">
        <f>INDEX('Combined_Data'!F:F, MATCH(A145, 'Combined_Data'!A:A, 0))</f>
        <v>0</v>
      </c>
      <c r="E145" s="12">
        <f>INDEX('Combined_Data'!O:O, MATCH(A145, 'Combined_Data'!A:A, 0))</f>
        <v>34</v>
      </c>
      <c r="F145" s="12">
        <f>INDEX('Combined_Data'!M:M, MATCH(A145, 'Combined_Data'!A:A, 0))</f>
        <v>8</v>
      </c>
      <c r="G145" s="12">
        <f>INDEX('Combined_Data'!N:N, MATCH(A145, 'Combined_Data'!A:A, 0))</f>
        <v>26</v>
      </c>
      <c r="H145" s="12" t="str">
        <f t="shared" si="8"/>
        <v>Weekday</v>
      </c>
      <c r="I145" s="12" t="str">
        <f t="shared" si="9"/>
        <v>Working Day</v>
      </c>
      <c r="J145" s="12" t="str">
        <f t="shared" si="10"/>
        <v>Low</v>
      </c>
      <c r="K145" s="12" t="str">
        <f>INDEX('Combined_Data'!H:H, MATCH(A145, 'Combined_Data'!A:A, 0))</f>
        <v>Mist</v>
      </c>
      <c r="L145" s="13">
        <f t="shared" si="11"/>
        <v>2</v>
      </c>
    </row>
    <row r="146" spans="1:12" x14ac:dyDescent="0.35">
      <c r="A146" s="10">
        <v>145</v>
      </c>
      <c r="B146" s="11">
        <f>INDEX('Combined_Data'!B:B, MATCH(Derived_Data!A146, 'Combined_Data'!A:A, 0))</f>
        <v>40550</v>
      </c>
      <c r="C146" s="12" t="str">
        <f>INDEX('Combined_Data'!G:G, MATCH(A146, 'Combined_Data'!A:A, 0))</f>
        <v>Friday</v>
      </c>
      <c r="D146" s="12" t="b">
        <f>INDEX('Combined_Data'!F:F, MATCH(A146, 'Combined_Data'!A:A, 0))</f>
        <v>0</v>
      </c>
      <c r="E146" s="12">
        <f>INDEX('Combined_Data'!O:O, MATCH(A146, 'Combined_Data'!A:A, 0))</f>
        <v>84</v>
      </c>
      <c r="F146" s="12">
        <f>INDEX('Combined_Data'!M:M, MATCH(A146, 'Combined_Data'!A:A, 0))</f>
        <v>8</v>
      </c>
      <c r="G146" s="12">
        <f>INDEX('Combined_Data'!N:N, MATCH(A146, 'Combined_Data'!A:A, 0))</f>
        <v>76</v>
      </c>
      <c r="H146" s="12" t="str">
        <f t="shared" si="8"/>
        <v>Weekday</v>
      </c>
      <c r="I146" s="12" t="str">
        <f t="shared" si="9"/>
        <v>Working Day</v>
      </c>
      <c r="J146" s="12" t="str">
        <f t="shared" si="10"/>
        <v>Low</v>
      </c>
      <c r="K146" s="12" t="str">
        <f>INDEX('Combined_Data'!H:H, MATCH(A146, 'Combined_Data'!A:A, 0))</f>
        <v>Clear</v>
      </c>
      <c r="L146" s="13">
        <f t="shared" si="11"/>
        <v>1</v>
      </c>
    </row>
    <row r="147" spans="1:12" x14ac:dyDescent="0.35">
      <c r="A147" s="10">
        <v>146</v>
      </c>
      <c r="B147" s="11">
        <f>INDEX('Combined_Data'!B:B, MATCH(Derived_Data!A147, 'Combined_Data'!A:A, 0))</f>
        <v>40550</v>
      </c>
      <c r="C147" s="12" t="str">
        <f>INDEX('Combined_Data'!G:G, MATCH(A147, 'Combined_Data'!A:A, 0))</f>
        <v>Friday</v>
      </c>
      <c r="D147" s="12" t="b">
        <f>INDEX('Combined_Data'!F:F, MATCH(A147, 'Combined_Data'!A:A, 0))</f>
        <v>0</v>
      </c>
      <c r="E147" s="12">
        <f>INDEX('Combined_Data'!O:O, MATCH(A147, 'Combined_Data'!A:A, 0))</f>
        <v>210</v>
      </c>
      <c r="F147" s="12">
        <f>INDEX('Combined_Data'!M:M, MATCH(A147, 'Combined_Data'!A:A, 0))</f>
        <v>20</v>
      </c>
      <c r="G147" s="12">
        <f>INDEX('Combined_Data'!N:N, MATCH(A147, 'Combined_Data'!A:A, 0))</f>
        <v>190</v>
      </c>
      <c r="H147" s="12" t="str">
        <f t="shared" si="8"/>
        <v>Weekday</v>
      </c>
      <c r="I147" s="12" t="str">
        <f t="shared" si="9"/>
        <v>Working Day</v>
      </c>
      <c r="J147" s="12" t="str">
        <f t="shared" si="10"/>
        <v>High</v>
      </c>
      <c r="K147" s="12" t="str">
        <f>INDEX('Combined_Data'!H:H, MATCH(A147, 'Combined_Data'!A:A, 0))</f>
        <v>Clear</v>
      </c>
      <c r="L147" s="13">
        <f t="shared" si="11"/>
        <v>1</v>
      </c>
    </row>
    <row r="148" spans="1:12" x14ac:dyDescent="0.35">
      <c r="A148" s="10">
        <v>147</v>
      </c>
      <c r="B148" s="11">
        <f>INDEX('Combined_Data'!B:B, MATCH(Derived_Data!A148, 'Combined_Data'!A:A, 0))</f>
        <v>40550</v>
      </c>
      <c r="C148" s="12" t="str">
        <f>INDEX('Combined_Data'!G:G, MATCH(A148, 'Combined_Data'!A:A, 0))</f>
        <v>Friday</v>
      </c>
      <c r="D148" s="12" t="b">
        <f>INDEX('Combined_Data'!F:F, MATCH(A148, 'Combined_Data'!A:A, 0))</f>
        <v>0</v>
      </c>
      <c r="E148" s="12">
        <f>INDEX('Combined_Data'!O:O, MATCH(A148, 'Combined_Data'!A:A, 0))</f>
        <v>134</v>
      </c>
      <c r="F148" s="12">
        <f>INDEX('Combined_Data'!M:M, MATCH(A148, 'Combined_Data'!A:A, 0))</f>
        <v>9</v>
      </c>
      <c r="G148" s="12">
        <f>INDEX('Combined_Data'!N:N, MATCH(A148, 'Combined_Data'!A:A, 0))</f>
        <v>125</v>
      </c>
      <c r="H148" s="12" t="str">
        <f t="shared" si="8"/>
        <v>Weekday</v>
      </c>
      <c r="I148" s="12" t="str">
        <f t="shared" si="9"/>
        <v>Working Day</v>
      </c>
      <c r="J148" s="12" t="str">
        <f t="shared" si="10"/>
        <v>Medium</v>
      </c>
      <c r="K148" s="12" t="str">
        <f>INDEX('Combined_Data'!H:H, MATCH(A148, 'Combined_Data'!A:A, 0))</f>
        <v>Clear</v>
      </c>
      <c r="L148" s="13">
        <f t="shared" si="11"/>
        <v>1</v>
      </c>
    </row>
    <row r="149" spans="1:12" x14ac:dyDescent="0.35">
      <c r="A149" s="10">
        <v>148</v>
      </c>
      <c r="B149" s="11">
        <f>INDEX('Combined_Data'!B:B, MATCH(Derived_Data!A149, 'Combined_Data'!A:A, 0))</f>
        <v>40550</v>
      </c>
      <c r="C149" s="12" t="str">
        <f>INDEX('Combined_Data'!G:G, MATCH(A149, 'Combined_Data'!A:A, 0))</f>
        <v>Friday</v>
      </c>
      <c r="D149" s="12" t="b">
        <f>INDEX('Combined_Data'!F:F, MATCH(A149, 'Combined_Data'!A:A, 0))</f>
        <v>0</v>
      </c>
      <c r="E149" s="12">
        <f>INDEX('Combined_Data'!O:O, MATCH(A149, 'Combined_Data'!A:A, 0))</f>
        <v>63</v>
      </c>
      <c r="F149" s="12">
        <f>INDEX('Combined_Data'!M:M, MATCH(A149, 'Combined_Data'!A:A, 0))</f>
        <v>16</v>
      </c>
      <c r="G149" s="12">
        <f>INDEX('Combined_Data'!N:N, MATCH(A149, 'Combined_Data'!A:A, 0))</f>
        <v>47</v>
      </c>
      <c r="H149" s="12" t="str">
        <f t="shared" si="8"/>
        <v>Weekday</v>
      </c>
      <c r="I149" s="12" t="str">
        <f t="shared" si="9"/>
        <v>Working Day</v>
      </c>
      <c r="J149" s="12" t="str">
        <f t="shared" si="10"/>
        <v>Low</v>
      </c>
      <c r="K149" s="12" t="str">
        <f>INDEX('Combined_Data'!H:H, MATCH(A149, 'Combined_Data'!A:A, 0))</f>
        <v>Clear</v>
      </c>
      <c r="L149" s="13">
        <f t="shared" si="11"/>
        <v>1</v>
      </c>
    </row>
    <row r="150" spans="1:12" x14ac:dyDescent="0.35">
      <c r="A150" s="10">
        <v>149</v>
      </c>
      <c r="B150" s="11">
        <f>INDEX('Combined_Data'!B:B, MATCH(Derived_Data!A150, 'Combined_Data'!A:A, 0))</f>
        <v>40550</v>
      </c>
      <c r="C150" s="12" t="str">
        <f>INDEX('Combined_Data'!G:G, MATCH(A150, 'Combined_Data'!A:A, 0))</f>
        <v>Friday</v>
      </c>
      <c r="D150" s="12" t="b">
        <f>INDEX('Combined_Data'!F:F, MATCH(A150, 'Combined_Data'!A:A, 0))</f>
        <v>0</v>
      </c>
      <c r="E150" s="12">
        <f>INDEX('Combined_Data'!O:O, MATCH(A150, 'Combined_Data'!A:A, 0))</f>
        <v>67</v>
      </c>
      <c r="F150" s="12">
        <f>INDEX('Combined_Data'!M:M, MATCH(A150, 'Combined_Data'!A:A, 0))</f>
        <v>19</v>
      </c>
      <c r="G150" s="12">
        <f>INDEX('Combined_Data'!N:N, MATCH(A150, 'Combined_Data'!A:A, 0))</f>
        <v>48</v>
      </c>
      <c r="H150" s="12" t="str">
        <f t="shared" si="8"/>
        <v>Weekday</v>
      </c>
      <c r="I150" s="12" t="str">
        <f t="shared" si="9"/>
        <v>Working Day</v>
      </c>
      <c r="J150" s="12" t="str">
        <f t="shared" si="10"/>
        <v>Low</v>
      </c>
      <c r="K150" s="12" t="str">
        <f>INDEX('Combined_Data'!H:H, MATCH(A150, 'Combined_Data'!A:A, 0))</f>
        <v>Mist</v>
      </c>
      <c r="L150" s="13">
        <f t="shared" si="11"/>
        <v>2</v>
      </c>
    </row>
    <row r="151" spans="1:12" x14ac:dyDescent="0.35">
      <c r="A151" s="10">
        <v>150</v>
      </c>
      <c r="B151" s="11">
        <f>INDEX('Combined_Data'!B:B, MATCH(Derived_Data!A151, 'Combined_Data'!A:A, 0))</f>
        <v>40550</v>
      </c>
      <c r="C151" s="12" t="str">
        <f>INDEX('Combined_Data'!G:G, MATCH(A151, 'Combined_Data'!A:A, 0))</f>
        <v>Friday</v>
      </c>
      <c r="D151" s="12" t="b">
        <f>INDEX('Combined_Data'!F:F, MATCH(A151, 'Combined_Data'!A:A, 0))</f>
        <v>0</v>
      </c>
      <c r="E151" s="12">
        <f>INDEX('Combined_Data'!O:O, MATCH(A151, 'Combined_Data'!A:A, 0))</f>
        <v>59</v>
      </c>
      <c r="F151" s="12">
        <f>INDEX('Combined_Data'!M:M, MATCH(A151, 'Combined_Data'!A:A, 0))</f>
        <v>9</v>
      </c>
      <c r="G151" s="12">
        <f>INDEX('Combined_Data'!N:N, MATCH(A151, 'Combined_Data'!A:A, 0))</f>
        <v>50</v>
      </c>
      <c r="H151" s="12" t="str">
        <f t="shared" si="8"/>
        <v>Weekday</v>
      </c>
      <c r="I151" s="12" t="str">
        <f t="shared" si="9"/>
        <v>Working Day</v>
      </c>
      <c r="J151" s="12" t="str">
        <f t="shared" si="10"/>
        <v>Low</v>
      </c>
      <c r="K151" s="12" t="str">
        <f>INDEX('Combined_Data'!H:H, MATCH(A151, 'Combined_Data'!A:A, 0))</f>
        <v>Mist</v>
      </c>
      <c r="L151" s="13">
        <f t="shared" si="11"/>
        <v>2</v>
      </c>
    </row>
    <row r="152" spans="1:12" x14ac:dyDescent="0.35">
      <c r="A152" s="10">
        <v>151</v>
      </c>
      <c r="B152" s="11">
        <f>INDEX('Combined_Data'!B:B, MATCH(Derived_Data!A152, 'Combined_Data'!A:A, 0))</f>
        <v>40550</v>
      </c>
      <c r="C152" s="12" t="str">
        <f>INDEX('Combined_Data'!G:G, MATCH(A152, 'Combined_Data'!A:A, 0))</f>
        <v>Friday</v>
      </c>
      <c r="D152" s="12" t="b">
        <f>INDEX('Combined_Data'!F:F, MATCH(A152, 'Combined_Data'!A:A, 0))</f>
        <v>0</v>
      </c>
      <c r="E152" s="12">
        <f>INDEX('Combined_Data'!O:O, MATCH(A152, 'Combined_Data'!A:A, 0))</f>
        <v>73</v>
      </c>
      <c r="F152" s="12">
        <f>INDEX('Combined_Data'!M:M, MATCH(A152, 'Combined_Data'!A:A, 0))</f>
        <v>9</v>
      </c>
      <c r="G152" s="12">
        <f>INDEX('Combined_Data'!N:N, MATCH(A152, 'Combined_Data'!A:A, 0))</f>
        <v>64</v>
      </c>
      <c r="H152" s="12" t="str">
        <f t="shared" si="8"/>
        <v>Weekday</v>
      </c>
      <c r="I152" s="12" t="str">
        <f t="shared" si="9"/>
        <v>Working Day</v>
      </c>
      <c r="J152" s="12" t="str">
        <f t="shared" si="10"/>
        <v>Low</v>
      </c>
      <c r="K152" s="12" t="str">
        <f>INDEX('Combined_Data'!H:H, MATCH(A152, 'Combined_Data'!A:A, 0))</f>
        <v>Mist</v>
      </c>
      <c r="L152" s="13">
        <f t="shared" si="11"/>
        <v>2</v>
      </c>
    </row>
    <row r="153" spans="1:12" x14ac:dyDescent="0.35">
      <c r="A153" s="10">
        <v>152</v>
      </c>
      <c r="B153" s="11">
        <f>INDEX('Combined_Data'!B:B, MATCH(Derived_Data!A153, 'Combined_Data'!A:A, 0))</f>
        <v>40550</v>
      </c>
      <c r="C153" s="12" t="str">
        <f>INDEX('Combined_Data'!G:G, MATCH(A153, 'Combined_Data'!A:A, 0))</f>
        <v>Friday</v>
      </c>
      <c r="D153" s="12" t="b">
        <f>INDEX('Combined_Data'!F:F, MATCH(A153, 'Combined_Data'!A:A, 0))</f>
        <v>0</v>
      </c>
      <c r="E153" s="12">
        <f>INDEX('Combined_Data'!O:O, MATCH(A153, 'Combined_Data'!A:A, 0))</f>
        <v>50</v>
      </c>
      <c r="F153" s="12">
        <f>INDEX('Combined_Data'!M:M, MATCH(A153, 'Combined_Data'!A:A, 0))</f>
        <v>7</v>
      </c>
      <c r="G153" s="12">
        <f>INDEX('Combined_Data'!N:N, MATCH(A153, 'Combined_Data'!A:A, 0))</f>
        <v>43</v>
      </c>
      <c r="H153" s="12" t="str">
        <f t="shared" si="8"/>
        <v>Weekday</v>
      </c>
      <c r="I153" s="12" t="str">
        <f t="shared" si="9"/>
        <v>Working Day</v>
      </c>
      <c r="J153" s="12" t="str">
        <f t="shared" si="10"/>
        <v>Low</v>
      </c>
      <c r="K153" s="12" t="str">
        <f>INDEX('Combined_Data'!H:H, MATCH(A153, 'Combined_Data'!A:A, 0))</f>
        <v>Mist</v>
      </c>
      <c r="L153" s="13">
        <f t="shared" si="11"/>
        <v>2</v>
      </c>
    </row>
    <row r="154" spans="1:12" x14ac:dyDescent="0.35">
      <c r="A154" s="10">
        <v>153</v>
      </c>
      <c r="B154" s="11">
        <f>INDEX('Combined_Data'!B:B, MATCH(Derived_Data!A154, 'Combined_Data'!A:A, 0))</f>
        <v>40550</v>
      </c>
      <c r="C154" s="12" t="str">
        <f>INDEX('Combined_Data'!G:G, MATCH(A154, 'Combined_Data'!A:A, 0))</f>
        <v>Friday</v>
      </c>
      <c r="D154" s="12" t="b">
        <f>INDEX('Combined_Data'!F:F, MATCH(A154, 'Combined_Data'!A:A, 0))</f>
        <v>0</v>
      </c>
      <c r="E154" s="12">
        <f>INDEX('Combined_Data'!O:O, MATCH(A154, 'Combined_Data'!A:A, 0))</f>
        <v>72</v>
      </c>
      <c r="F154" s="12">
        <f>INDEX('Combined_Data'!M:M, MATCH(A154, 'Combined_Data'!A:A, 0))</f>
        <v>9</v>
      </c>
      <c r="G154" s="12">
        <f>INDEX('Combined_Data'!N:N, MATCH(A154, 'Combined_Data'!A:A, 0))</f>
        <v>63</v>
      </c>
      <c r="H154" s="12" t="str">
        <f t="shared" si="8"/>
        <v>Weekday</v>
      </c>
      <c r="I154" s="12" t="str">
        <f t="shared" si="9"/>
        <v>Working Day</v>
      </c>
      <c r="J154" s="12" t="str">
        <f t="shared" si="10"/>
        <v>Low</v>
      </c>
      <c r="K154" s="12" t="str">
        <f>INDEX('Combined_Data'!H:H, MATCH(A154, 'Combined_Data'!A:A, 0))</f>
        <v>Mist</v>
      </c>
      <c r="L154" s="13">
        <f t="shared" si="11"/>
        <v>2</v>
      </c>
    </row>
    <row r="155" spans="1:12" x14ac:dyDescent="0.35">
      <c r="A155" s="10">
        <v>154</v>
      </c>
      <c r="B155" s="11">
        <f>INDEX('Combined_Data'!B:B, MATCH(Derived_Data!A155, 'Combined_Data'!A:A, 0))</f>
        <v>40550</v>
      </c>
      <c r="C155" s="12" t="str">
        <f>INDEX('Combined_Data'!G:G, MATCH(A155, 'Combined_Data'!A:A, 0))</f>
        <v>Friday</v>
      </c>
      <c r="D155" s="12" t="b">
        <f>INDEX('Combined_Data'!F:F, MATCH(A155, 'Combined_Data'!A:A, 0))</f>
        <v>0</v>
      </c>
      <c r="E155" s="12">
        <f>INDEX('Combined_Data'!O:O, MATCH(A155, 'Combined_Data'!A:A, 0))</f>
        <v>87</v>
      </c>
      <c r="F155" s="12">
        <f>INDEX('Combined_Data'!M:M, MATCH(A155, 'Combined_Data'!A:A, 0))</f>
        <v>5</v>
      </c>
      <c r="G155" s="12">
        <f>INDEX('Combined_Data'!N:N, MATCH(A155, 'Combined_Data'!A:A, 0))</f>
        <v>82</v>
      </c>
      <c r="H155" s="12" t="str">
        <f t="shared" si="8"/>
        <v>Weekday</v>
      </c>
      <c r="I155" s="12" t="str">
        <f t="shared" si="9"/>
        <v>Working Day</v>
      </c>
      <c r="J155" s="12" t="str">
        <f t="shared" si="10"/>
        <v>Low</v>
      </c>
      <c r="K155" s="12" t="str">
        <f>INDEX('Combined_Data'!H:H, MATCH(A155, 'Combined_Data'!A:A, 0))</f>
        <v>Mist</v>
      </c>
      <c r="L155" s="13">
        <f t="shared" si="11"/>
        <v>2</v>
      </c>
    </row>
    <row r="156" spans="1:12" x14ac:dyDescent="0.35">
      <c r="A156" s="10">
        <v>155</v>
      </c>
      <c r="B156" s="11">
        <f>INDEX('Combined_Data'!B:B, MATCH(Derived_Data!A156, 'Combined_Data'!A:A, 0))</f>
        <v>40550</v>
      </c>
      <c r="C156" s="12" t="str">
        <f>INDEX('Combined_Data'!G:G, MATCH(A156, 'Combined_Data'!A:A, 0))</f>
        <v>Friday</v>
      </c>
      <c r="D156" s="12" t="b">
        <f>INDEX('Combined_Data'!F:F, MATCH(A156, 'Combined_Data'!A:A, 0))</f>
        <v>0</v>
      </c>
      <c r="E156" s="12">
        <f>INDEX('Combined_Data'!O:O, MATCH(A156, 'Combined_Data'!A:A, 0))</f>
        <v>187</v>
      </c>
      <c r="F156" s="12">
        <f>INDEX('Combined_Data'!M:M, MATCH(A156, 'Combined_Data'!A:A, 0))</f>
        <v>9</v>
      </c>
      <c r="G156" s="12">
        <f>INDEX('Combined_Data'!N:N, MATCH(A156, 'Combined_Data'!A:A, 0))</f>
        <v>178</v>
      </c>
      <c r="H156" s="12" t="str">
        <f t="shared" si="8"/>
        <v>Weekday</v>
      </c>
      <c r="I156" s="12" t="str">
        <f t="shared" si="9"/>
        <v>Working Day</v>
      </c>
      <c r="J156" s="12" t="str">
        <f t="shared" si="10"/>
        <v>High</v>
      </c>
      <c r="K156" s="12" t="str">
        <f>INDEX('Combined_Data'!H:H, MATCH(A156, 'Combined_Data'!A:A, 0))</f>
        <v>Mist</v>
      </c>
      <c r="L156" s="13">
        <f t="shared" si="11"/>
        <v>2</v>
      </c>
    </row>
    <row r="157" spans="1:12" x14ac:dyDescent="0.35">
      <c r="A157" s="10">
        <v>156</v>
      </c>
      <c r="B157" s="11">
        <f>INDEX('Combined_Data'!B:B, MATCH(Derived_Data!A157, 'Combined_Data'!A:A, 0))</f>
        <v>40550</v>
      </c>
      <c r="C157" s="12" t="str">
        <f>INDEX('Combined_Data'!G:G, MATCH(A157, 'Combined_Data'!A:A, 0))</f>
        <v>Friday</v>
      </c>
      <c r="D157" s="12" t="b">
        <f>INDEX('Combined_Data'!F:F, MATCH(A157, 'Combined_Data'!A:A, 0))</f>
        <v>0</v>
      </c>
      <c r="E157" s="12">
        <f>INDEX('Combined_Data'!O:O, MATCH(A157, 'Combined_Data'!A:A, 0))</f>
        <v>123</v>
      </c>
      <c r="F157" s="12">
        <f>INDEX('Combined_Data'!M:M, MATCH(A157, 'Combined_Data'!A:A, 0))</f>
        <v>7</v>
      </c>
      <c r="G157" s="12">
        <f>INDEX('Combined_Data'!N:N, MATCH(A157, 'Combined_Data'!A:A, 0))</f>
        <v>116</v>
      </c>
      <c r="H157" s="12" t="str">
        <f t="shared" si="8"/>
        <v>Weekday</v>
      </c>
      <c r="I157" s="12" t="str">
        <f t="shared" si="9"/>
        <v>Working Day</v>
      </c>
      <c r="J157" s="12" t="str">
        <f t="shared" si="10"/>
        <v>Medium</v>
      </c>
      <c r="K157" s="12" t="str">
        <f>INDEX('Combined_Data'!H:H, MATCH(A157, 'Combined_Data'!A:A, 0))</f>
        <v>Clear</v>
      </c>
      <c r="L157" s="13">
        <f t="shared" si="11"/>
        <v>1</v>
      </c>
    </row>
    <row r="158" spans="1:12" x14ac:dyDescent="0.35">
      <c r="A158" s="10">
        <v>157</v>
      </c>
      <c r="B158" s="11">
        <f>INDEX('Combined_Data'!B:B, MATCH(Derived_Data!A158, 'Combined_Data'!A:A, 0))</f>
        <v>40550</v>
      </c>
      <c r="C158" s="12" t="str">
        <f>INDEX('Combined_Data'!G:G, MATCH(A158, 'Combined_Data'!A:A, 0))</f>
        <v>Friday</v>
      </c>
      <c r="D158" s="12" t="b">
        <f>INDEX('Combined_Data'!F:F, MATCH(A158, 'Combined_Data'!A:A, 0))</f>
        <v>0</v>
      </c>
      <c r="E158" s="12">
        <f>INDEX('Combined_Data'!O:O, MATCH(A158, 'Combined_Data'!A:A, 0))</f>
        <v>95</v>
      </c>
      <c r="F158" s="12">
        <f>INDEX('Combined_Data'!M:M, MATCH(A158, 'Combined_Data'!A:A, 0))</f>
        <v>3</v>
      </c>
      <c r="G158" s="12">
        <f>INDEX('Combined_Data'!N:N, MATCH(A158, 'Combined_Data'!A:A, 0))</f>
        <v>92</v>
      </c>
      <c r="H158" s="12" t="str">
        <f t="shared" si="8"/>
        <v>Weekday</v>
      </c>
      <c r="I158" s="12" t="str">
        <f t="shared" si="9"/>
        <v>Working Day</v>
      </c>
      <c r="J158" s="12" t="str">
        <f t="shared" si="10"/>
        <v>Low</v>
      </c>
      <c r="K158" s="12" t="str">
        <f>INDEX('Combined_Data'!H:H, MATCH(A158, 'Combined_Data'!A:A, 0))</f>
        <v>Clear</v>
      </c>
      <c r="L158" s="13">
        <f t="shared" si="11"/>
        <v>1</v>
      </c>
    </row>
    <row r="159" spans="1:12" x14ac:dyDescent="0.35">
      <c r="A159" s="10">
        <v>158</v>
      </c>
      <c r="B159" s="11">
        <f>INDEX('Combined_Data'!B:B, MATCH(Derived_Data!A159, 'Combined_Data'!A:A, 0))</f>
        <v>40550</v>
      </c>
      <c r="C159" s="12" t="str">
        <f>INDEX('Combined_Data'!G:G, MATCH(A159, 'Combined_Data'!A:A, 0))</f>
        <v>Friday</v>
      </c>
      <c r="D159" s="12" t="b">
        <f>INDEX('Combined_Data'!F:F, MATCH(A159, 'Combined_Data'!A:A, 0))</f>
        <v>0</v>
      </c>
      <c r="E159" s="12">
        <f>INDEX('Combined_Data'!O:O, MATCH(A159, 'Combined_Data'!A:A, 0))</f>
        <v>51</v>
      </c>
      <c r="F159" s="12">
        <f>INDEX('Combined_Data'!M:M, MATCH(A159, 'Combined_Data'!A:A, 0))</f>
        <v>1</v>
      </c>
      <c r="G159" s="12">
        <f>INDEX('Combined_Data'!N:N, MATCH(A159, 'Combined_Data'!A:A, 0))</f>
        <v>50</v>
      </c>
      <c r="H159" s="12" t="str">
        <f t="shared" si="8"/>
        <v>Weekday</v>
      </c>
      <c r="I159" s="12" t="str">
        <f t="shared" si="9"/>
        <v>Working Day</v>
      </c>
      <c r="J159" s="12" t="str">
        <f t="shared" si="10"/>
        <v>Low</v>
      </c>
      <c r="K159" s="12" t="str">
        <f>INDEX('Combined_Data'!H:H, MATCH(A159, 'Combined_Data'!A:A, 0))</f>
        <v>Clear</v>
      </c>
      <c r="L159" s="13">
        <f t="shared" si="11"/>
        <v>1</v>
      </c>
    </row>
    <row r="160" spans="1:12" x14ac:dyDescent="0.35">
      <c r="A160" s="10">
        <v>159</v>
      </c>
      <c r="B160" s="11">
        <f>INDEX('Combined_Data'!B:B, MATCH(Derived_Data!A160, 'Combined_Data'!A:A, 0))</f>
        <v>40550</v>
      </c>
      <c r="C160" s="12" t="str">
        <f>INDEX('Combined_Data'!G:G, MATCH(A160, 'Combined_Data'!A:A, 0))</f>
        <v>Friday</v>
      </c>
      <c r="D160" s="12" t="b">
        <f>INDEX('Combined_Data'!F:F, MATCH(A160, 'Combined_Data'!A:A, 0))</f>
        <v>0</v>
      </c>
      <c r="E160" s="12">
        <f>INDEX('Combined_Data'!O:O, MATCH(A160, 'Combined_Data'!A:A, 0))</f>
        <v>39</v>
      </c>
      <c r="F160" s="12">
        <f>INDEX('Combined_Data'!M:M, MATCH(A160, 'Combined_Data'!A:A, 0))</f>
        <v>0</v>
      </c>
      <c r="G160" s="12">
        <f>INDEX('Combined_Data'!N:N, MATCH(A160, 'Combined_Data'!A:A, 0))</f>
        <v>39</v>
      </c>
      <c r="H160" s="12" t="str">
        <f t="shared" si="8"/>
        <v>Weekday</v>
      </c>
      <c r="I160" s="12" t="str">
        <f t="shared" si="9"/>
        <v>Working Day</v>
      </c>
      <c r="J160" s="12" t="str">
        <f t="shared" si="10"/>
        <v>Low</v>
      </c>
      <c r="K160" s="12" t="str">
        <f>INDEX('Combined_Data'!H:H, MATCH(A160, 'Combined_Data'!A:A, 0))</f>
        <v>Clear</v>
      </c>
      <c r="L160" s="13">
        <f t="shared" si="11"/>
        <v>1</v>
      </c>
    </row>
    <row r="161" spans="1:12" x14ac:dyDescent="0.35">
      <c r="A161" s="10">
        <v>160</v>
      </c>
      <c r="B161" s="11">
        <f>INDEX('Combined_Data'!B:B, MATCH(Derived_Data!A161, 'Combined_Data'!A:A, 0))</f>
        <v>40550</v>
      </c>
      <c r="C161" s="12" t="str">
        <f>INDEX('Combined_Data'!G:G, MATCH(A161, 'Combined_Data'!A:A, 0))</f>
        <v>Friday</v>
      </c>
      <c r="D161" s="12" t="b">
        <f>INDEX('Combined_Data'!F:F, MATCH(A161, 'Combined_Data'!A:A, 0))</f>
        <v>0</v>
      </c>
      <c r="E161" s="12">
        <f>INDEX('Combined_Data'!O:O, MATCH(A161, 'Combined_Data'!A:A, 0))</f>
        <v>36</v>
      </c>
      <c r="F161" s="12">
        <f>INDEX('Combined_Data'!M:M, MATCH(A161, 'Combined_Data'!A:A, 0))</f>
        <v>2</v>
      </c>
      <c r="G161" s="12">
        <f>INDEX('Combined_Data'!N:N, MATCH(A161, 'Combined_Data'!A:A, 0))</f>
        <v>34</v>
      </c>
      <c r="H161" s="12" t="str">
        <f t="shared" si="8"/>
        <v>Weekday</v>
      </c>
      <c r="I161" s="12" t="str">
        <f t="shared" si="9"/>
        <v>Working Day</v>
      </c>
      <c r="J161" s="12" t="str">
        <f t="shared" si="10"/>
        <v>Low</v>
      </c>
      <c r="K161" s="12" t="str">
        <f>INDEX('Combined_Data'!H:H, MATCH(A161, 'Combined_Data'!A:A, 0))</f>
        <v>Mist</v>
      </c>
      <c r="L161" s="13">
        <f t="shared" si="11"/>
        <v>2</v>
      </c>
    </row>
    <row r="162" spans="1:12" x14ac:dyDescent="0.35">
      <c r="A162" s="10">
        <v>161</v>
      </c>
      <c r="B162" s="11">
        <f>INDEX('Combined_Data'!B:B, MATCH(Derived_Data!A162, 'Combined_Data'!A:A, 0))</f>
        <v>40550</v>
      </c>
      <c r="C162" s="12" t="str">
        <f>INDEX('Combined_Data'!G:G, MATCH(A162, 'Combined_Data'!A:A, 0))</f>
        <v>Friday</v>
      </c>
      <c r="D162" s="12" t="b">
        <f>INDEX('Combined_Data'!F:F, MATCH(A162, 'Combined_Data'!A:A, 0))</f>
        <v>0</v>
      </c>
      <c r="E162" s="12">
        <f>INDEX('Combined_Data'!O:O, MATCH(A162, 'Combined_Data'!A:A, 0))</f>
        <v>15</v>
      </c>
      <c r="F162" s="12">
        <f>INDEX('Combined_Data'!M:M, MATCH(A162, 'Combined_Data'!A:A, 0))</f>
        <v>1</v>
      </c>
      <c r="G162" s="12">
        <f>INDEX('Combined_Data'!N:N, MATCH(A162, 'Combined_Data'!A:A, 0))</f>
        <v>14</v>
      </c>
      <c r="H162" s="12" t="str">
        <f t="shared" si="8"/>
        <v>Weekday</v>
      </c>
      <c r="I162" s="12" t="str">
        <f t="shared" si="9"/>
        <v>Working Day</v>
      </c>
      <c r="J162" s="12" t="str">
        <f t="shared" si="10"/>
        <v>Low</v>
      </c>
      <c r="K162" s="12" t="str">
        <f>INDEX('Combined_Data'!H:H, MATCH(A162, 'Combined_Data'!A:A, 0))</f>
        <v>Mist</v>
      </c>
      <c r="L162" s="13">
        <f t="shared" si="11"/>
        <v>2</v>
      </c>
    </row>
    <row r="163" spans="1:12" x14ac:dyDescent="0.35">
      <c r="A163" s="10">
        <v>162</v>
      </c>
      <c r="B163" s="11">
        <f>INDEX('Combined_Data'!B:B, MATCH(Derived_Data!A163, 'Combined_Data'!A:A, 0))</f>
        <v>40551</v>
      </c>
      <c r="C163" s="12" t="str">
        <f>INDEX('Combined_Data'!G:G, MATCH(A163, 'Combined_Data'!A:A, 0))</f>
        <v>Saturday</v>
      </c>
      <c r="D163" s="12" t="b">
        <f>INDEX('Combined_Data'!F:F, MATCH(A163, 'Combined_Data'!A:A, 0))</f>
        <v>0</v>
      </c>
      <c r="E163" s="12">
        <f>INDEX('Combined_Data'!O:O, MATCH(A163, 'Combined_Data'!A:A, 0))</f>
        <v>25</v>
      </c>
      <c r="F163" s="12">
        <f>INDEX('Combined_Data'!M:M, MATCH(A163, 'Combined_Data'!A:A, 0))</f>
        <v>1</v>
      </c>
      <c r="G163" s="12">
        <f>INDEX('Combined_Data'!N:N, MATCH(A163, 'Combined_Data'!A:A, 0))</f>
        <v>24</v>
      </c>
      <c r="H163" s="12" t="str">
        <f t="shared" si="8"/>
        <v>Weekend</v>
      </c>
      <c r="I163" s="12" t="str">
        <f t="shared" si="9"/>
        <v>Working Day</v>
      </c>
      <c r="J163" s="12" t="str">
        <f t="shared" si="10"/>
        <v>Low</v>
      </c>
      <c r="K163" s="12" t="str">
        <f>INDEX('Combined_Data'!H:H, MATCH(A163, 'Combined_Data'!A:A, 0))</f>
        <v>Mist</v>
      </c>
      <c r="L163" s="13">
        <f t="shared" si="11"/>
        <v>2</v>
      </c>
    </row>
    <row r="164" spans="1:12" x14ac:dyDescent="0.35">
      <c r="A164" s="10">
        <v>163</v>
      </c>
      <c r="B164" s="11">
        <f>INDEX('Combined_Data'!B:B, MATCH(Derived_Data!A164, 'Combined_Data'!A:A, 0))</f>
        <v>40551</v>
      </c>
      <c r="C164" s="12" t="str">
        <f>INDEX('Combined_Data'!G:G, MATCH(A164, 'Combined_Data'!A:A, 0))</f>
        <v>Saturday</v>
      </c>
      <c r="D164" s="12" t="b">
        <f>INDEX('Combined_Data'!F:F, MATCH(A164, 'Combined_Data'!A:A, 0))</f>
        <v>0</v>
      </c>
      <c r="E164" s="12">
        <f>INDEX('Combined_Data'!O:O, MATCH(A164, 'Combined_Data'!A:A, 0))</f>
        <v>16</v>
      </c>
      <c r="F164" s="12">
        <f>INDEX('Combined_Data'!M:M, MATCH(A164, 'Combined_Data'!A:A, 0))</f>
        <v>1</v>
      </c>
      <c r="G164" s="12">
        <f>INDEX('Combined_Data'!N:N, MATCH(A164, 'Combined_Data'!A:A, 0))</f>
        <v>15</v>
      </c>
      <c r="H164" s="12" t="str">
        <f t="shared" si="8"/>
        <v>Weekend</v>
      </c>
      <c r="I164" s="12" t="str">
        <f t="shared" si="9"/>
        <v>Working Day</v>
      </c>
      <c r="J164" s="12" t="str">
        <f t="shared" si="10"/>
        <v>Low</v>
      </c>
      <c r="K164" s="12" t="str">
        <f>INDEX('Combined_Data'!H:H, MATCH(A164, 'Combined_Data'!A:A, 0))</f>
        <v>Mist</v>
      </c>
      <c r="L164" s="13">
        <f t="shared" si="11"/>
        <v>2</v>
      </c>
    </row>
    <row r="165" spans="1:12" x14ac:dyDescent="0.35">
      <c r="A165" s="10">
        <v>164</v>
      </c>
      <c r="B165" s="11">
        <f>INDEX('Combined_Data'!B:B, MATCH(Derived_Data!A165, 'Combined_Data'!A:A, 0))</f>
        <v>40551</v>
      </c>
      <c r="C165" s="12" t="str">
        <f>INDEX('Combined_Data'!G:G, MATCH(A165, 'Combined_Data'!A:A, 0))</f>
        <v>Saturday</v>
      </c>
      <c r="D165" s="12" t="b">
        <f>INDEX('Combined_Data'!F:F, MATCH(A165, 'Combined_Data'!A:A, 0))</f>
        <v>0</v>
      </c>
      <c r="E165" s="12">
        <f>INDEX('Combined_Data'!O:O, MATCH(A165, 'Combined_Data'!A:A, 0))</f>
        <v>16</v>
      </c>
      <c r="F165" s="12">
        <f>INDEX('Combined_Data'!M:M, MATCH(A165, 'Combined_Data'!A:A, 0))</f>
        <v>3</v>
      </c>
      <c r="G165" s="12">
        <f>INDEX('Combined_Data'!N:N, MATCH(A165, 'Combined_Data'!A:A, 0))</f>
        <v>13</v>
      </c>
      <c r="H165" s="12" t="str">
        <f t="shared" si="8"/>
        <v>Weekend</v>
      </c>
      <c r="I165" s="12" t="str">
        <f t="shared" si="9"/>
        <v>Working Day</v>
      </c>
      <c r="J165" s="12" t="str">
        <f t="shared" si="10"/>
        <v>Low</v>
      </c>
      <c r="K165" s="12" t="str">
        <f>INDEX('Combined_Data'!H:H, MATCH(A165, 'Combined_Data'!A:A, 0))</f>
        <v>Mist</v>
      </c>
      <c r="L165" s="13">
        <f t="shared" si="11"/>
        <v>2</v>
      </c>
    </row>
    <row r="166" spans="1:12" x14ac:dyDescent="0.35">
      <c r="A166" s="10">
        <v>165</v>
      </c>
      <c r="B166" s="11">
        <f>INDEX('Combined_Data'!B:B, MATCH(Derived_Data!A166, 'Combined_Data'!A:A, 0))</f>
        <v>40551</v>
      </c>
      <c r="C166" s="12" t="str">
        <f>INDEX('Combined_Data'!G:G, MATCH(A166, 'Combined_Data'!A:A, 0))</f>
        <v>Saturday</v>
      </c>
      <c r="D166" s="12" t="b">
        <f>INDEX('Combined_Data'!F:F, MATCH(A166, 'Combined_Data'!A:A, 0))</f>
        <v>0</v>
      </c>
      <c r="E166" s="12">
        <f>INDEX('Combined_Data'!O:O, MATCH(A166, 'Combined_Data'!A:A, 0))</f>
        <v>7</v>
      </c>
      <c r="F166" s="12">
        <f>INDEX('Combined_Data'!M:M, MATCH(A166, 'Combined_Data'!A:A, 0))</f>
        <v>0</v>
      </c>
      <c r="G166" s="12">
        <f>INDEX('Combined_Data'!N:N, MATCH(A166, 'Combined_Data'!A:A, 0))</f>
        <v>7</v>
      </c>
      <c r="H166" s="12" t="str">
        <f t="shared" si="8"/>
        <v>Weekend</v>
      </c>
      <c r="I166" s="12" t="str">
        <f t="shared" si="9"/>
        <v>Working Day</v>
      </c>
      <c r="J166" s="12" t="str">
        <f t="shared" si="10"/>
        <v>Low</v>
      </c>
      <c r="K166" s="12" t="str">
        <f>INDEX('Combined_Data'!H:H, MATCH(A166, 'Combined_Data'!A:A, 0))</f>
        <v>Light Snow</v>
      </c>
      <c r="L166" s="13">
        <f t="shared" si="11"/>
        <v>3</v>
      </c>
    </row>
    <row r="167" spans="1:12" x14ac:dyDescent="0.35">
      <c r="A167" s="10">
        <v>166</v>
      </c>
      <c r="B167" s="11">
        <f>INDEX('Combined_Data'!B:B, MATCH(Derived_Data!A167, 'Combined_Data'!A:A, 0))</f>
        <v>40551</v>
      </c>
      <c r="C167" s="12" t="str">
        <f>INDEX('Combined_Data'!G:G, MATCH(A167, 'Combined_Data'!A:A, 0))</f>
        <v>Saturday</v>
      </c>
      <c r="D167" s="12" t="b">
        <f>INDEX('Combined_Data'!F:F, MATCH(A167, 'Combined_Data'!A:A, 0))</f>
        <v>0</v>
      </c>
      <c r="E167" s="12">
        <f>INDEX('Combined_Data'!O:O, MATCH(A167, 'Combined_Data'!A:A, 0))</f>
        <v>1</v>
      </c>
      <c r="F167" s="12">
        <f>INDEX('Combined_Data'!M:M, MATCH(A167, 'Combined_Data'!A:A, 0))</f>
        <v>0</v>
      </c>
      <c r="G167" s="12">
        <f>INDEX('Combined_Data'!N:N, MATCH(A167, 'Combined_Data'!A:A, 0))</f>
        <v>1</v>
      </c>
      <c r="H167" s="12" t="str">
        <f t="shared" si="8"/>
        <v>Weekend</v>
      </c>
      <c r="I167" s="12" t="str">
        <f t="shared" si="9"/>
        <v>Working Day</v>
      </c>
      <c r="J167" s="12" t="str">
        <f t="shared" si="10"/>
        <v>Low</v>
      </c>
      <c r="K167" s="12" t="str">
        <f>INDEX('Combined_Data'!H:H, MATCH(A167, 'Combined_Data'!A:A, 0))</f>
        <v>Light Snow</v>
      </c>
      <c r="L167" s="13">
        <f t="shared" si="11"/>
        <v>3</v>
      </c>
    </row>
    <row r="168" spans="1:12" x14ac:dyDescent="0.35">
      <c r="A168" s="10">
        <v>167</v>
      </c>
      <c r="B168" s="11">
        <f>INDEX('Combined_Data'!B:B, MATCH(Derived_Data!A168, 'Combined_Data'!A:A, 0))</f>
        <v>40551</v>
      </c>
      <c r="C168" s="12" t="str">
        <f>INDEX('Combined_Data'!G:G, MATCH(A168, 'Combined_Data'!A:A, 0))</f>
        <v>Saturday</v>
      </c>
      <c r="D168" s="12" t="b">
        <f>INDEX('Combined_Data'!F:F, MATCH(A168, 'Combined_Data'!A:A, 0))</f>
        <v>0</v>
      </c>
      <c r="E168" s="12">
        <f>INDEX('Combined_Data'!O:O, MATCH(A168, 'Combined_Data'!A:A, 0))</f>
        <v>5</v>
      </c>
      <c r="F168" s="12">
        <f>INDEX('Combined_Data'!M:M, MATCH(A168, 'Combined_Data'!A:A, 0))</f>
        <v>0</v>
      </c>
      <c r="G168" s="12">
        <f>INDEX('Combined_Data'!N:N, MATCH(A168, 'Combined_Data'!A:A, 0))</f>
        <v>5</v>
      </c>
      <c r="H168" s="12" t="str">
        <f t="shared" si="8"/>
        <v>Weekend</v>
      </c>
      <c r="I168" s="12" t="str">
        <f t="shared" si="9"/>
        <v>Working Day</v>
      </c>
      <c r="J168" s="12" t="str">
        <f t="shared" si="10"/>
        <v>Low</v>
      </c>
      <c r="K168" s="12" t="str">
        <f>INDEX('Combined_Data'!H:H, MATCH(A168, 'Combined_Data'!A:A, 0))</f>
        <v>Mist</v>
      </c>
      <c r="L168" s="13">
        <f t="shared" si="11"/>
        <v>2</v>
      </c>
    </row>
    <row r="169" spans="1:12" x14ac:dyDescent="0.35">
      <c r="A169" s="10">
        <v>168</v>
      </c>
      <c r="B169" s="11">
        <f>INDEX('Combined_Data'!B:B, MATCH(Derived_Data!A169, 'Combined_Data'!A:A, 0))</f>
        <v>40551</v>
      </c>
      <c r="C169" s="12" t="str">
        <f>INDEX('Combined_Data'!G:G, MATCH(A169, 'Combined_Data'!A:A, 0))</f>
        <v>Saturday</v>
      </c>
      <c r="D169" s="12" t="b">
        <f>INDEX('Combined_Data'!F:F, MATCH(A169, 'Combined_Data'!A:A, 0))</f>
        <v>0</v>
      </c>
      <c r="E169" s="12">
        <f>INDEX('Combined_Data'!O:O, MATCH(A169, 'Combined_Data'!A:A, 0))</f>
        <v>2</v>
      </c>
      <c r="F169" s="12">
        <f>INDEX('Combined_Data'!M:M, MATCH(A169, 'Combined_Data'!A:A, 0))</f>
        <v>0</v>
      </c>
      <c r="G169" s="12">
        <f>INDEX('Combined_Data'!N:N, MATCH(A169, 'Combined_Data'!A:A, 0))</f>
        <v>2</v>
      </c>
      <c r="H169" s="12" t="str">
        <f t="shared" si="8"/>
        <v>Weekend</v>
      </c>
      <c r="I169" s="12" t="str">
        <f t="shared" si="9"/>
        <v>Working Day</v>
      </c>
      <c r="J169" s="12" t="str">
        <f t="shared" si="10"/>
        <v>Low</v>
      </c>
      <c r="K169" s="12" t="str">
        <f>INDEX('Combined_Data'!H:H, MATCH(A169, 'Combined_Data'!A:A, 0))</f>
        <v>Mist</v>
      </c>
      <c r="L169" s="13">
        <f t="shared" si="11"/>
        <v>2</v>
      </c>
    </row>
    <row r="170" spans="1:12" x14ac:dyDescent="0.35">
      <c r="A170" s="10">
        <v>169</v>
      </c>
      <c r="B170" s="11">
        <f>INDEX('Combined_Data'!B:B, MATCH(Derived_Data!A170, 'Combined_Data'!A:A, 0))</f>
        <v>40551</v>
      </c>
      <c r="C170" s="12" t="str">
        <f>INDEX('Combined_Data'!G:G, MATCH(A170, 'Combined_Data'!A:A, 0))</f>
        <v>Saturday</v>
      </c>
      <c r="D170" s="12" t="b">
        <f>INDEX('Combined_Data'!F:F, MATCH(A170, 'Combined_Data'!A:A, 0))</f>
        <v>0</v>
      </c>
      <c r="E170" s="12">
        <f>INDEX('Combined_Data'!O:O, MATCH(A170, 'Combined_Data'!A:A, 0))</f>
        <v>9</v>
      </c>
      <c r="F170" s="12">
        <f>INDEX('Combined_Data'!M:M, MATCH(A170, 'Combined_Data'!A:A, 0))</f>
        <v>1</v>
      </c>
      <c r="G170" s="12">
        <f>INDEX('Combined_Data'!N:N, MATCH(A170, 'Combined_Data'!A:A, 0))</f>
        <v>8</v>
      </c>
      <c r="H170" s="12" t="str">
        <f t="shared" si="8"/>
        <v>Weekend</v>
      </c>
      <c r="I170" s="12" t="str">
        <f t="shared" si="9"/>
        <v>Working Day</v>
      </c>
      <c r="J170" s="12" t="str">
        <f t="shared" si="10"/>
        <v>Low</v>
      </c>
      <c r="K170" s="12" t="str">
        <f>INDEX('Combined_Data'!H:H, MATCH(A170, 'Combined_Data'!A:A, 0))</f>
        <v>Mist</v>
      </c>
      <c r="L170" s="13">
        <f t="shared" si="11"/>
        <v>2</v>
      </c>
    </row>
    <row r="171" spans="1:12" x14ac:dyDescent="0.35">
      <c r="A171" s="10">
        <v>170</v>
      </c>
      <c r="B171" s="11">
        <f>INDEX('Combined_Data'!B:B, MATCH(Derived_Data!A171, 'Combined_Data'!A:A, 0))</f>
        <v>40551</v>
      </c>
      <c r="C171" s="12" t="str">
        <f>INDEX('Combined_Data'!G:G, MATCH(A171, 'Combined_Data'!A:A, 0))</f>
        <v>Saturday</v>
      </c>
      <c r="D171" s="12" t="b">
        <f>INDEX('Combined_Data'!F:F, MATCH(A171, 'Combined_Data'!A:A, 0))</f>
        <v>0</v>
      </c>
      <c r="E171" s="12">
        <f>INDEX('Combined_Data'!O:O, MATCH(A171, 'Combined_Data'!A:A, 0))</f>
        <v>15</v>
      </c>
      <c r="F171" s="12">
        <f>INDEX('Combined_Data'!M:M, MATCH(A171, 'Combined_Data'!A:A, 0))</f>
        <v>0</v>
      </c>
      <c r="G171" s="12">
        <f>INDEX('Combined_Data'!N:N, MATCH(A171, 'Combined_Data'!A:A, 0))</f>
        <v>15</v>
      </c>
      <c r="H171" s="12" t="str">
        <f t="shared" si="8"/>
        <v>Weekend</v>
      </c>
      <c r="I171" s="12" t="str">
        <f t="shared" si="9"/>
        <v>Working Day</v>
      </c>
      <c r="J171" s="12" t="str">
        <f t="shared" si="10"/>
        <v>Low</v>
      </c>
      <c r="K171" s="12" t="str">
        <f>INDEX('Combined_Data'!H:H, MATCH(A171, 'Combined_Data'!A:A, 0))</f>
        <v>Light Snow</v>
      </c>
      <c r="L171" s="13">
        <f t="shared" si="11"/>
        <v>3</v>
      </c>
    </row>
    <row r="172" spans="1:12" x14ac:dyDescent="0.35">
      <c r="A172" s="10">
        <v>171</v>
      </c>
      <c r="B172" s="11">
        <f>INDEX('Combined_Data'!B:B, MATCH(Derived_Data!A172, 'Combined_Data'!A:A, 0))</f>
        <v>40551</v>
      </c>
      <c r="C172" s="12" t="str">
        <f>INDEX('Combined_Data'!G:G, MATCH(A172, 'Combined_Data'!A:A, 0))</f>
        <v>Saturday</v>
      </c>
      <c r="D172" s="12" t="b">
        <f>INDEX('Combined_Data'!F:F, MATCH(A172, 'Combined_Data'!A:A, 0))</f>
        <v>0</v>
      </c>
      <c r="E172" s="12">
        <f>INDEX('Combined_Data'!O:O, MATCH(A172, 'Combined_Data'!A:A, 0))</f>
        <v>20</v>
      </c>
      <c r="F172" s="12">
        <f>INDEX('Combined_Data'!M:M, MATCH(A172, 'Combined_Data'!A:A, 0))</f>
        <v>0</v>
      </c>
      <c r="G172" s="12">
        <f>INDEX('Combined_Data'!N:N, MATCH(A172, 'Combined_Data'!A:A, 0))</f>
        <v>20</v>
      </c>
      <c r="H172" s="12" t="str">
        <f t="shared" si="8"/>
        <v>Weekend</v>
      </c>
      <c r="I172" s="12" t="str">
        <f t="shared" si="9"/>
        <v>Working Day</v>
      </c>
      <c r="J172" s="12" t="str">
        <f t="shared" si="10"/>
        <v>Low</v>
      </c>
      <c r="K172" s="12" t="str">
        <f>INDEX('Combined_Data'!H:H, MATCH(A172, 'Combined_Data'!A:A, 0))</f>
        <v>Light Snow</v>
      </c>
      <c r="L172" s="13">
        <f t="shared" si="11"/>
        <v>3</v>
      </c>
    </row>
    <row r="173" spans="1:12" x14ac:dyDescent="0.35">
      <c r="A173" s="10">
        <v>172</v>
      </c>
      <c r="B173" s="11">
        <f>INDEX('Combined_Data'!B:B, MATCH(Derived_Data!A173, 'Combined_Data'!A:A, 0))</f>
        <v>40551</v>
      </c>
      <c r="C173" s="12" t="str">
        <f>INDEX('Combined_Data'!G:G, MATCH(A173, 'Combined_Data'!A:A, 0))</f>
        <v>Saturday</v>
      </c>
      <c r="D173" s="12" t="b">
        <f>INDEX('Combined_Data'!F:F, MATCH(A173, 'Combined_Data'!A:A, 0))</f>
        <v>0</v>
      </c>
      <c r="E173" s="12">
        <f>INDEX('Combined_Data'!O:O, MATCH(A173, 'Combined_Data'!A:A, 0))</f>
        <v>61</v>
      </c>
      <c r="F173" s="12">
        <f>INDEX('Combined_Data'!M:M, MATCH(A173, 'Combined_Data'!A:A, 0))</f>
        <v>5</v>
      </c>
      <c r="G173" s="12">
        <f>INDEX('Combined_Data'!N:N, MATCH(A173, 'Combined_Data'!A:A, 0))</f>
        <v>56</v>
      </c>
      <c r="H173" s="12" t="str">
        <f t="shared" si="8"/>
        <v>Weekend</v>
      </c>
      <c r="I173" s="12" t="str">
        <f t="shared" si="9"/>
        <v>Working Day</v>
      </c>
      <c r="J173" s="12" t="str">
        <f t="shared" si="10"/>
        <v>Low</v>
      </c>
      <c r="K173" s="12" t="str">
        <f>INDEX('Combined_Data'!H:H, MATCH(A173, 'Combined_Data'!A:A, 0))</f>
        <v>Mist</v>
      </c>
      <c r="L173" s="13">
        <f t="shared" si="11"/>
        <v>2</v>
      </c>
    </row>
    <row r="174" spans="1:12" x14ac:dyDescent="0.35">
      <c r="A174" s="10">
        <v>173</v>
      </c>
      <c r="B174" s="11">
        <f>INDEX('Combined_Data'!B:B, MATCH(Derived_Data!A174, 'Combined_Data'!A:A, 0))</f>
        <v>40551</v>
      </c>
      <c r="C174" s="12" t="str">
        <f>INDEX('Combined_Data'!G:G, MATCH(A174, 'Combined_Data'!A:A, 0))</f>
        <v>Saturday</v>
      </c>
      <c r="D174" s="12" t="b">
        <f>INDEX('Combined_Data'!F:F, MATCH(A174, 'Combined_Data'!A:A, 0))</f>
        <v>0</v>
      </c>
      <c r="E174" s="12">
        <f>INDEX('Combined_Data'!O:O, MATCH(A174, 'Combined_Data'!A:A, 0))</f>
        <v>62</v>
      </c>
      <c r="F174" s="12">
        <f>INDEX('Combined_Data'!M:M, MATCH(A174, 'Combined_Data'!A:A, 0))</f>
        <v>2</v>
      </c>
      <c r="G174" s="12">
        <f>INDEX('Combined_Data'!N:N, MATCH(A174, 'Combined_Data'!A:A, 0))</f>
        <v>60</v>
      </c>
      <c r="H174" s="12" t="str">
        <f t="shared" si="8"/>
        <v>Weekend</v>
      </c>
      <c r="I174" s="12" t="str">
        <f t="shared" si="9"/>
        <v>Working Day</v>
      </c>
      <c r="J174" s="12" t="str">
        <f t="shared" si="10"/>
        <v>Low</v>
      </c>
      <c r="K174" s="12" t="str">
        <f>INDEX('Combined_Data'!H:H, MATCH(A174, 'Combined_Data'!A:A, 0))</f>
        <v>Mist</v>
      </c>
      <c r="L174" s="13">
        <f t="shared" si="11"/>
        <v>2</v>
      </c>
    </row>
    <row r="175" spans="1:12" x14ac:dyDescent="0.35">
      <c r="A175" s="10">
        <v>174</v>
      </c>
      <c r="B175" s="11">
        <f>INDEX('Combined_Data'!B:B, MATCH(Derived_Data!A175, 'Combined_Data'!A:A, 0))</f>
        <v>40551</v>
      </c>
      <c r="C175" s="12" t="str">
        <f>INDEX('Combined_Data'!G:G, MATCH(A175, 'Combined_Data'!A:A, 0))</f>
        <v>Saturday</v>
      </c>
      <c r="D175" s="12" t="b">
        <f>INDEX('Combined_Data'!F:F, MATCH(A175, 'Combined_Data'!A:A, 0))</f>
        <v>0</v>
      </c>
      <c r="E175" s="12">
        <f>INDEX('Combined_Data'!O:O, MATCH(A175, 'Combined_Data'!A:A, 0))</f>
        <v>98</v>
      </c>
      <c r="F175" s="12">
        <f>INDEX('Combined_Data'!M:M, MATCH(A175, 'Combined_Data'!A:A, 0))</f>
        <v>8</v>
      </c>
      <c r="G175" s="12">
        <f>INDEX('Combined_Data'!N:N, MATCH(A175, 'Combined_Data'!A:A, 0))</f>
        <v>90</v>
      </c>
      <c r="H175" s="12" t="str">
        <f t="shared" si="8"/>
        <v>Weekend</v>
      </c>
      <c r="I175" s="12" t="str">
        <f t="shared" si="9"/>
        <v>Working Day</v>
      </c>
      <c r="J175" s="12" t="str">
        <f t="shared" si="10"/>
        <v>Low</v>
      </c>
      <c r="K175" s="12" t="str">
        <f>INDEX('Combined_Data'!H:H, MATCH(A175, 'Combined_Data'!A:A, 0))</f>
        <v>Mist</v>
      </c>
      <c r="L175" s="13">
        <f t="shared" si="11"/>
        <v>2</v>
      </c>
    </row>
    <row r="176" spans="1:12" x14ac:dyDescent="0.35">
      <c r="A176" s="10">
        <v>175</v>
      </c>
      <c r="B176" s="11">
        <f>INDEX('Combined_Data'!B:B, MATCH(Derived_Data!A176, 'Combined_Data'!A:A, 0))</f>
        <v>40551</v>
      </c>
      <c r="C176" s="12" t="str">
        <f>INDEX('Combined_Data'!G:G, MATCH(A176, 'Combined_Data'!A:A, 0))</f>
        <v>Saturday</v>
      </c>
      <c r="D176" s="12" t="b">
        <f>INDEX('Combined_Data'!F:F, MATCH(A176, 'Combined_Data'!A:A, 0))</f>
        <v>0</v>
      </c>
      <c r="E176" s="12">
        <f>INDEX('Combined_Data'!O:O, MATCH(A176, 'Combined_Data'!A:A, 0))</f>
        <v>102</v>
      </c>
      <c r="F176" s="12">
        <f>INDEX('Combined_Data'!M:M, MATCH(A176, 'Combined_Data'!A:A, 0))</f>
        <v>7</v>
      </c>
      <c r="G176" s="12">
        <f>INDEX('Combined_Data'!N:N, MATCH(A176, 'Combined_Data'!A:A, 0))</f>
        <v>95</v>
      </c>
      <c r="H176" s="12" t="str">
        <f t="shared" si="8"/>
        <v>Weekend</v>
      </c>
      <c r="I176" s="12" t="str">
        <f t="shared" si="9"/>
        <v>Working Day</v>
      </c>
      <c r="J176" s="12" t="str">
        <f t="shared" si="10"/>
        <v>Medium</v>
      </c>
      <c r="K176" s="12" t="str">
        <f>INDEX('Combined_Data'!H:H, MATCH(A176, 'Combined_Data'!A:A, 0))</f>
        <v>Clear</v>
      </c>
      <c r="L176" s="13">
        <f t="shared" si="11"/>
        <v>1</v>
      </c>
    </row>
    <row r="177" spans="1:12" x14ac:dyDescent="0.35">
      <c r="A177" s="10">
        <v>176</v>
      </c>
      <c r="B177" s="11">
        <f>INDEX('Combined_Data'!B:B, MATCH(Derived_Data!A177, 'Combined_Data'!A:A, 0))</f>
        <v>40551</v>
      </c>
      <c r="C177" s="12" t="str">
        <f>INDEX('Combined_Data'!G:G, MATCH(A177, 'Combined_Data'!A:A, 0))</f>
        <v>Saturday</v>
      </c>
      <c r="D177" s="12" t="b">
        <f>INDEX('Combined_Data'!F:F, MATCH(A177, 'Combined_Data'!A:A, 0))</f>
        <v>0</v>
      </c>
      <c r="E177" s="12">
        <f>INDEX('Combined_Data'!O:O, MATCH(A177, 'Combined_Data'!A:A, 0))</f>
        <v>95</v>
      </c>
      <c r="F177" s="12">
        <f>INDEX('Combined_Data'!M:M, MATCH(A177, 'Combined_Data'!A:A, 0))</f>
        <v>12</v>
      </c>
      <c r="G177" s="12">
        <f>INDEX('Combined_Data'!N:N, MATCH(A177, 'Combined_Data'!A:A, 0))</f>
        <v>83</v>
      </c>
      <c r="H177" s="12" t="str">
        <f t="shared" si="8"/>
        <v>Weekend</v>
      </c>
      <c r="I177" s="12" t="str">
        <f t="shared" si="9"/>
        <v>Working Day</v>
      </c>
      <c r="J177" s="12" t="str">
        <f t="shared" si="10"/>
        <v>Low</v>
      </c>
      <c r="K177" s="12" t="str">
        <f>INDEX('Combined_Data'!H:H, MATCH(A177, 'Combined_Data'!A:A, 0))</f>
        <v>Clear</v>
      </c>
      <c r="L177" s="13">
        <f t="shared" si="11"/>
        <v>1</v>
      </c>
    </row>
    <row r="178" spans="1:12" x14ac:dyDescent="0.35">
      <c r="A178" s="10">
        <v>177</v>
      </c>
      <c r="B178" s="11">
        <f>INDEX('Combined_Data'!B:B, MATCH(Derived_Data!A178, 'Combined_Data'!A:A, 0))</f>
        <v>40551</v>
      </c>
      <c r="C178" s="12" t="str">
        <f>INDEX('Combined_Data'!G:G, MATCH(A178, 'Combined_Data'!A:A, 0))</f>
        <v>Saturday</v>
      </c>
      <c r="D178" s="12" t="b">
        <f>INDEX('Combined_Data'!F:F, MATCH(A178, 'Combined_Data'!A:A, 0))</f>
        <v>0</v>
      </c>
      <c r="E178" s="12">
        <f>INDEX('Combined_Data'!O:O, MATCH(A178, 'Combined_Data'!A:A, 0))</f>
        <v>74</v>
      </c>
      <c r="F178" s="12">
        <f>INDEX('Combined_Data'!M:M, MATCH(A178, 'Combined_Data'!A:A, 0))</f>
        <v>5</v>
      </c>
      <c r="G178" s="12">
        <f>INDEX('Combined_Data'!N:N, MATCH(A178, 'Combined_Data'!A:A, 0))</f>
        <v>69</v>
      </c>
      <c r="H178" s="12" t="str">
        <f t="shared" si="8"/>
        <v>Weekend</v>
      </c>
      <c r="I178" s="12" t="str">
        <f t="shared" si="9"/>
        <v>Working Day</v>
      </c>
      <c r="J178" s="12" t="str">
        <f t="shared" si="10"/>
        <v>Low</v>
      </c>
      <c r="K178" s="12" t="str">
        <f>INDEX('Combined_Data'!H:H, MATCH(A178, 'Combined_Data'!A:A, 0))</f>
        <v>Clear</v>
      </c>
      <c r="L178" s="13">
        <f t="shared" si="11"/>
        <v>1</v>
      </c>
    </row>
    <row r="179" spans="1:12" x14ac:dyDescent="0.35">
      <c r="A179" s="10">
        <v>178</v>
      </c>
      <c r="B179" s="11">
        <f>INDEX('Combined_Data'!B:B, MATCH(Derived_Data!A179, 'Combined_Data'!A:A, 0))</f>
        <v>40551</v>
      </c>
      <c r="C179" s="12" t="str">
        <f>INDEX('Combined_Data'!G:G, MATCH(A179, 'Combined_Data'!A:A, 0))</f>
        <v>Saturday</v>
      </c>
      <c r="D179" s="12" t="b">
        <f>INDEX('Combined_Data'!F:F, MATCH(A179, 'Combined_Data'!A:A, 0))</f>
        <v>0</v>
      </c>
      <c r="E179" s="12">
        <f>INDEX('Combined_Data'!O:O, MATCH(A179, 'Combined_Data'!A:A, 0))</f>
        <v>76</v>
      </c>
      <c r="F179" s="12">
        <f>INDEX('Combined_Data'!M:M, MATCH(A179, 'Combined_Data'!A:A, 0))</f>
        <v>8</v>
      </c>
      <c r="G179" s="12">
        <f>INDEX('Combined_Data'!N:N, MATCH(A179, 'Combined_Data'!A:A, 0))</f>
        <v>68</v>
      </c>
      <c r="H179" s="12" t="str">
        <f t="shared" si="8"/>
        <v>Weekend</v>
      </c>
      <c r="I179" s="12" t="str">
        <f t="shared" si="9"/>
        <v>Working Day</v>
      </c>
      <c r="J179" s="12" t="str">
        <f t="shared" si="10"/>
        <v>Low</v>
      </c>
      <c r="K179" s="12" t="str">
        <f>INDEX('Combined_Data'!H:H, MATCH(A179, 'Combined_Data'!A:A, 0))</f>
        <v>Clear</v>
      </c>
      <c r="L179" s="13">
        <f t="shared" si="11"/>
        <v>1</v>
      </c>
    </row>
    <row r="180" spans="1:12" x14ac:dyDescent="0.35">
      <c r="A180" s="10">
        <v>179</v>
      </c>
      <c r="B180" s="11">
        <f>INDEX('Combined_Data'!B:B, MATCH(Derived_Data!A180, 'Combined_Data'!A:A, 0))</f>
        <v>40551</v>
      </c>
      <c r="C180" s="12" t="str">
        <f>INDEX('Combined_Data'!G:G, MATCH(A180, 'Combined_Data'!A:A, 0))</f>
        <v>Saturday</v>
      </c>
      <c r="D180" s="12" t="b">
        <f>INDEX('Combined_Data'!F:F, MATCH(A180, 'Combined_Data'!A:A, 0))</f>
        <v>0</v>
      </c>
      <c r="E180" s="12">
        <f>INDEX('Combined_Data'!O:O, MATCH(A180, 'Combined_Data'!A:A, 0))</f>
        <v>69</v>
      </c>
      <c r="F180" s="12">
        <f>INDEX('Combined_Data'!M:M, MATCH(A180, 'Combined_Data'!A:A, 0))</f>
        <v>5</v>
      </c>
      <c r="G180" s="12">
        <f>INDEX('Combined_Data'!N:N, MATCH(A180, 'Combined_Data'!A:A, 0))</f>
        <v>64</v>
      </c>
      <c r="H180" s="12" t="str">
        <f t="shared" si="8"/>
        <v>Weekend</v>
      </c>
      <c r="I180" s="12" t="str">
        <f t="shared" si="9"/>
        <v>Working Day</v>
      </c>
      <c r="J180" s="12" t="str">
        <f t="shared" si="10"/>
        <v>Low</v>
      </c>
      <c r="K180" s="12" t="str">
        <f>INDEX('Combined_Data'!H:H, MATCH(A180, 'Combined_Data'!A:A, 0))</f>
        <v>Clear</v>
      </c>
      <c r="L180" s="13">
        <f t="shared" si="11"/>
        <v>1</v>
      </c>
    </row>
    <row r="181" spans="1:12" x14ac:dyDescent="0.35">
      <c r="A181" s="10">
        <v>180</v>
      </c>
      <c r="B181" s="11">
        <f>INDEX('Combined_Data'!B:B, MATCH(Derived_Data!A181, 'Combined_Data'!A:A, 0))</f>
        <v>40551</v>
      </c>
      <c r="C181" s="12" t="str">
        <f>INDEX('Combined_Data'!G:G, MATCH(A181, 'Combined_Data'!A:A, 0))</f>
        <v>Saturday</v>
      </c>
      <c r="D181" s="12" t="b">
        <f>INDEX('Combined_Data'!F:F, MATCH(A181, 'Combined_Data'!A:A, 0))</f>
        <v>0</v>
      </c>
      <c r="E181" s="12">
        <f>INDEX('Combined_Data'!O:O, MATCH(A181, 'Combined_Data'!A:A, 0))</f>
        <v>55</v>
      </c>
      <c r="F181" s="12">
        <f>INDEX('Combined_Data'!M:M, MATCH(A181, 'Combined_Data'!A:A, 0))</f>
        <v>3</v>
      </c>
      <c r="G181" s="12">
        <f>INDEX('Combined_Data'!N:N, MATCH(A181, 'Combined_Data'!A:A, 0))</f>
        <v>52</v>
      </c>
      <c r="H181" s="12" t="str">
        <f t="shared" si="8"/>
        <v>Weekend</v>
      </c>
      <c r="I181" s="12" t="str">
        <f t="shared" si="9"/>
        <v>Working Day</v>
      </c>
      <c r="J181" s="12" t="str">
        <f t="shared" si="10"/>
        <v>Low</v>
      </c>
      <c r="K181" s="12" t="str">
        <f>INDEX('Combined_Data'!H:H, MATCH(A181, 'Combined_Data'!A:A, 0))</f>
        <v>Clear</v>
      </c>
      <c r="L181" s="13">
        <f t="shared" si="11"/>
        <v>1</v>
      </c>
    </row>
    <row r="182" spans="1:12" x14ac:dyDescent="0.35">
      <c r="A182" s="10">
        <v>181</v>
      </c>
      <c r="B182" s="11">
        <f>INDEX('Combined_Data'!B:B, MATCH(Derived_Data!A182, 'Combined_Data'!A:A, 0))</f>
        <v>40551</v>
      </c>
      <c r="C182" s="12" t="str">
        <f>INDEX('Combined_Data'!G:G, MATCH(A182, 'Combined_Data'!A:A, 0))</f>
        <v>Saturday</v>
      </c>
      <c r="D182" s="12" t="b">
        <f>INDEX('Combined_Data'!F:F, MATCH(A182, 'Combined_Data'!A:A, 0))</f>
        <v>0</v>
      </c>
      <c r="E182" s="12">
        <f>INDEX('Combined_Data'!O:O, MATCH(A182, 'Combined_Data'!A:A, 0))</f>
        <v>30</v>
      </c>
      <c r="F182" s="12">
        <f>INDEX('Combined_Data'!M:M, MATCH(A182, 'Combined_Data'!A:A, 0))</f>
        <v>4</v>
      </c>
      <c r="G182" s="12">
        <f>INDEX('Combined_Data'!N:N, MATCH(A182, 'Combined_Data'!A:A, 0))</f>
        <v>26</v>
      </c>
      <c r="H182" s="12" t="str">
        <f t="shared" si="8"/>
        <v>Weekend</v>
      </c>
      <c r="I182" s="12" t="str">
        <f t="shared" si="9"/>
        <v>Working Day</v>
      </c>
      <c r="J182" s="12" t="str">
        <f t="shared" si="10"/>
        <v>Low</v>
      </c>
      <c r="K182" s="12" t="str">
        <f>INDEX('Combined_Data'!H:H, MATCH(A182, 'Combined_Data'!A:A, 0))</f>
        <v>Clear</v>
      </c>
      <c r="L182" s="13">
        <f t="shared" si="11"/>
        <v>1</v>
      </c>
    </row>
    <row r="183" spans="1:12" x14ac:dyDescent="0.35">
      <c r="A183" s="10">
        <v>182</v>
      </c>
      <c r="B183" s="11">
        <f>INDEX('Combined_Data'!B:B, MATCH(Derived_Data!A183, 'Combined_Data'!A:A, 0))</f>
        <v>40551</v>
      </c>
      <c r="C183" s="12" t="str">
        <f>INDEX('Combined_Data'!G:G, MATCH(A183, 'Combined_Data'!A:A, 0))</f>
        <v>Saturday</v>
      </c>
      <c r="D183" s="12" t="b">
        <f>INDEX('Combined_Data'!F:F, MATCH(A183, 'Combined_Data'!A:A, 0))</f>
        <v>0</v>
      </c>
      <c r="E183" s="12">
        <f>INDEX('Combined_Data'!O:O, MATCH(A183, 'Combined_Data'!A:A, 0))</f>
        <v>28</v>
      </c>
      <c r="F183" s="12">
        <f>INDEX('Combined_Data'!M:M, MATCH(A183, 'Combined_Data'!A:A, 0))</f>
        <v>0</v>
      </c>
      <c r="G183" s="12">
        <f>INDEX('Combined_Data'!N:N, MATCH(A183, 'Combined_Data'!A:A, 0))</f>
        <v>28</v>
      </c>
      <c r="H183" s="12" t="str">
        <f t="shared" si="8"/>
        <v>Weekend</v>
      </c>
      <c r="I183" s="12" t="str">
        <f t="shared" si="9"/>
        <v>Working Day</v>
      </c>
      <c r="J183" s="12" t="str">
        <f t="shared" si="10"/>
        <v>Low</v>
      </c>
      <c r="K183" s="12" t="str">
        <f>INDEX('Combined_Data'!H:H, MATCH(A183, 'Combined_Data'!A:A, 0))</f>
        <v>Clear</v>
      </c>
      <c r="L183" s="13">
        <f t="shared" si="11"/>
        <v>1</v>
      </c>
    </row>
    <row r="184" spans="1:12" x14ac:dyDescent="0.35">
      <c r="A184" s="10">
        <v>183</v>
      </c>
      <c r="B184" s="11">
        <f>INDEX('Combined_Data'!B:B, MATCH(Derived_Data!A184, 'Combined_Data'!A:A, 0))</f>
        <v>40551</v>
      </c>
      <c r="C184" s="12" t="str">
        <f>INDEX('Combined_Data'!G:G, MATCH(A184, 'Combined_Data'!A:A, 0))</f>
        <v>Saturday</v>
      </c>
      <c r="D184" s="12" t="b">
        <f>INDEX('Combined_Data'!F:F, MATCH(A184, 'Combined_Data'!A:A, 0))</f>
        <v>0</v>
      </c>
      <c r="E184" s="12">
        <f>INDEX('Combined_Data'!O:O, MATCH(A184, 'Combined_Data'!A:A, 0))</f>
        <v>37</v>
      </c>
      <c r="F184" s="12">
        <f>INDEX('Combined_Data'!M:M, MATCH(A184, 'Combined_Data'!A:A, 0))</f>
        <v>2</v>
      </c>
      <c r="G184" s="12">
        <f>INDEX('Combined_Data'!N:N, MATCH(A184, 'Combined_Data'!A:A, 0))</f>
        <v>35</v>
      </c>
      <c r="H184" s="12" t="str">
        <f t="shared" si="8"/>
        <v>Weekend</v>
      </c>
      <c r="I184" s="12" t="str">
        <f t="shared" si="9"/>
        <v>Working Day</v>
      </c>
      <c r="J184" s="12" t="str">
        <f t="shared" si="10"/>
        <v>Low</v>
      </c>
      <c r="K184" s="12" t="str">
        <f>INDEX('Combined_Data'!H:H, MATCH(A184, 'Combined_Data'!A:A, 0))</f>
        <v>Clear</v>
      </c>
      <c r="L184" s="13">
        <f t="shared" si="11"/>
        <v>1</v>
      </c>
    </row>
    <row r="185" spans="1:12" x14ac:dyDescent="0.35">
      <c r="A185" s="10">
        <v>184</v>
      </c>
      <c r="B185" s="11">
        <f>INDEX('Combined_Data'!B:B, MATCH(Derived_Data!A185, 'Combined_Data'!A:A, 0))</f>
        <v>40551</v>
      </c>
      <c r="C185" s="12" t="str">
        <f>INDEX('Combined_Data'!G:G, MATCH(A185, 'Combined_Data'!A:A, 0))</f>
        <v>Saturday</v>
      </c>
      <c r="D185" s="12" t="b">
        <f>INDEX('Combined_Data'!F:F, MATCH(A185, 'Combined_Data'!A:A, 0))</f>
        <v>0</v>
      </c>
      <c r="E185" s="12">
        <f>INDEX('Combined_Data'!O:O, MATCH(A185, 'Combined_Data'!A:A, 0))</f>
        <v>34</v>
      </c>
      <c r="F185" s="12">
        <f>INDEX('Combined_Data'!M:M, MATCH(A185, 'Combined_Data'!A:A, 0))</f>
        <v>1</v>
      </c>
      <c r="G185" s="12">
        <f>INDEX('Combined_Data'!N:N, MATCH(A185, 'Combined_Data'!A:A, 0))</f>
        <v>33</v>
      </c>
      <c r="H185" s="12" t="str">
        <f t="shared" si="8"/>
        <v>Weekend</v>
      </c>
      <c r="I185" s="12" t="str">
        <f t="shared" si="9"/>
        <v>Working Day</v>
      </c>
      <c r="J185" s="12" t="str">
        <f t="shared" si="10"/>
        <v>Low</v>
      </c>
      <c r="K185" s="12" t="str">
        <f>INDEX('Combined_Data'!H:H, MATCH(A185, 'Combined_Data'!A:A, 0))</f>
        <v>Clear</v>
      </c>
      <c r="L185" s="13">
        <f t="shared" si="11"/>
        <v>1</v>
      </c>
    </row>
    <row r="186" spans="1:12" x14ac:dyDescent="0.35">
      <c r="A186" s="10">
        <v>185</v>
      </c>
      <c r="B186" s="11">
        <f>INDEX('Combined_Data'!B:B, MATCH(Derived_Data!A186, 'Combined_Data'!A:A, 0))</f>
        <v>40551</v>
      </c>
      <c r="C186" s="12" t="str">
        <f>INDEX('Combined_Data'!G:G, MATCH(A186, 'Combined_Data'!A:A, 0))</f>
        <v>Saturday</v>
      </c>
      <c r="D186" s="12" t="b">
        <f>INDEX('Combined_Data'!F:F, MATCH(A186, 'Combined_Data'!A:A, 0))</f>
        <v>0</v>
      </c>
      <c r="E186" s="12">
        <f>INDEX('Combined_Data'!O:O, MATCH(A186, 'Combined_Data'!A:A, 0))</f>
        <v>22</v>
      </c>
      <c r="F186" s="12">
        <f>INDEX('Combined_Data'!M:M, MATCH(A186, 'Combined_Data'!A:A, 0))</f>
        <v>0</v>
      </c>
      <c r="G186" s="12">
        <f>INDEX('Combined_Data'!N:N, MATCH(A186, 'Combined_Data'!A:A, 0))</f>
        <v>22</v>
      </c>
      <c r="H186" s="12" t="str">
        <f t="shared" si="8"/>
        <v>Weekend</v>
      </c>
      <c r="I186" s="12" t="str">
        <f t="shared" si="9"/>
        <v>Working Day</v>
      </c>
      <c r="J186" s="12" t="str">
        <f t="shared" si="10"/>
        <v>Low</v>
      </c>
      <c r="K186" s="12" t="str">
        <f>INDEX('Combined_Data'!H:H, MATCH(A186, 'Combined_Data'!A:A, 0))</f>
        <v>Clear</v>
      </c>
      <c r="L186" s="13">
        <f t="shared" si="11"/>
        <v>1</v>
      </c>
    </row>
    <row r="187" spans="1:12" x14ac:dyDescent="0.35">
      <c r="A187" s="10">
        <v>186</v>
      </c>
      <c r="B187" s="11">
        <f>INDEX('Combined_Data'!B:B, MATCH(Derived_Data!A187, 'Combined_Data'!A:A, 0))</f>
        <v>40552</v>
      </c>
      <c r="C187" s="12" t="str">
        <f>INDEX('Combined_Data'!G:G, MATCH(A187, 'Combined_Data'!A:A, 0))</f>
        <v>Sunday</v>
      </c>
      <c r="D187" s="12" t="b">
        <f>INDEX('Combined_Data'!F:F, MATCH(A187, 'Combined_Data'!A:A, 0))</f>
        <v>0</v>
      </c>
      <c r="E187" s="12">
        <f>INDEX('Combined_Data'!O:O, MATCH(A187, 'Combined_Data'!A:A, 0))</f>
        <v>25</v>
      </c>
      <c r="F187" s="12">
        <f>INDEX('Combined_Data'!M:M, MATCH(A187, 'Combined_Data'!A:A, 0))</f>
        <v>1</v>
      </c>
      <c r="G187" s="12">
        <f>INDEX('Combined_Data'!N:N, MATCH(A187, 'Combined_Data'!A:A, 0))</f>
        <v>24</v>
      </c>
      <c r="H187" s="12" t="str">
        <f t="shared" si="8"/>
        <v>Weekend</v>
      </c>
      <c r="I187" s="12" t="str">
        <f t="shared" si="9"/>
        <v>Working Day</v>
      </c>
      <c r="J187" s="12" t="str">
        <f t="shared" si="10"/>
        <v>Low</v>
      </c>
      <c r="K187" s="12" t="str">
        <f>INDEX('Combined_Data'!H:H, MATCH(A187, 'Combined_Data'!A:A, 0))</f>
        <v>Clear</v>
      </c>
      <c r="L187" s="13">
        <f t="shared" si="11"/>
        <v>1</v>
      </c>
    </row>
    <row r="188" spans="1:12" x14ac:dyDescent="0.35">
      <c r="A188" s="10">
        <v>187</v>
      </c>
      <c r="B188" s="11">
        <f>INDEX('Combined_Data'!B:B, MATCH(Derived_Data!A188, 'Combined_Data'!A:A, 0))</f>
        <v>40552</v>
      </c>
      <c r="C188" s="12" t="str">
        <f>INDEX('Combined_Data'!G:G, MATCH(A188, 'Combined_Data'!A:A, 0))</f>
        <v>Sunday</v>
      </c>
      <c r="D188" s="12" t="b">
        <f>INDEX('Combined_Data'!F:F, MATCH(A188, 'Combined_Data'!A:A, 0))</f>
        <v>0</v>
      </c>
      <c r="E188" s="12">
        <f>INDEX('Combined_Data'!O:O, MATCH(A188, 'Combined_Data'!A:A, 0))</f>
        <v>12</v>
      </c>
      <c r="F188" s="12">
        <f>INDEX('Combined_Data'!M:M, MATCH(A188, 'Combined_Data'!A:A, 0))</f>
        <v>0</v>
      </c>
      <c r="G188" s="12">
        <f>INDEX('Combined_Data'!N:N, MATCH(A188, 'Combined_Data'!A:A, 0))</f>
        <v>12</v>
      </c>
      <c r="H188" s="12" t="str">
        <f t="shared" si="8"/>
        <v>Weekend</v>
      </c>
      <c r="I188" s="12" t="str">
        <f t="shared" si="9"/>
        <v>Working Day</v>
      </c>
      <c r="J188" s="12" t="str">
        <f t="shared" si="10"/>
        <v>Low</v>
      </c>
      <c r="K188" s="12" t="str">
        <f>INDEX('Combined_Data'!H:H, MATCH(A188, 'Combined_Data'!A:A, 0))</f>
        <v>Clear</v>
      </c>
      <c r="L188" s="13">
        <f t="shared" si="11"/>
        <v>1</v>
      </c>
    </row>
    <row r="189" spans="1:12" x14ac:dyDescent="0.35">
      <c r="A189" s="10">
        <v>188</v>
      </c>
      <c r="B189" s="11">
        <f>INDEX('Combined_Data'!B:B, MATCH(Derived_Data!A189, 'Combined_Data'!A:A, 0))</f>
        <v>40552</v>
      </c>
      <c r="C189" s="12" t="str">
        <f>INDEX('Combined_Data'!G:G, MATCH(A189, 'Combined_Data'!A:A, 0))</f>
        <v>Sunday</v>
      </c>
      <c r="D189" s="12" t="b">
        <f>INDEX('Combined_Data'!F:F, MATCH(A189, 'Combined_Data'!A:A, 0))</f>
        <v>0</v>
      </c>
      <c r="E189" s="12">
        <f>INDEX('Combined_Data'!O:O, MATCH(A189, 'Combined_Data'!A:A, 0))</f>
        <v>11</v>
      </c>
      <c r="F189" s="12">
        <f>INDEX('Combined_Data'!M:M, MATCH(A189, 'Combined_Data'!A:A, 0))</f>
        <v>0</v>
      </c>
      <c r="G189" s="12">
        <f>INDEX('Combined_Data'!N:N, MATCH(A189, 'Combined_Data'!A:A, 0))</f>
        <v>11</v>
      </c>
      <c r="H189" s="12" t="str">
        <f t="shared" si="8"/>
        <v>Weekend</v>
      </c>
      <c r="I189" s="12" t="str">
        <f t="shared" si="9"/>
        <v>Working Day</v>
      </c>
      <c r="J189" s="12" t="str">
        <f t="shared" si="10"/>
        <v>Low</v>
      </c>
      <c r="K189" s="12" t="str">
        <f>INDEX('Combined_Data'!H:H, MATCH(A189, 'Combined_Data'!A:A, 0))</f>
        <v>Clear</v>
      </c>
      <c r="L189" s="13">
        <f t="shared" si="11"/>
        <v>1</v>
      </c>
    </row>
    <row r="190" spans="1:12" x14ac:dyDescent="0.35">
      <c r="A190" s="10">
        <v>189</v>
      </c>
      <c r="B190" s="11">
        <f>INDEX('Combined_Data'!B:B, MATCH(Derived_Data!A190, 'Combined_Data'!A:A, 0))</f>
        <v>40552</v>
      </c>
      <c r="C190" s="12" t="str">
        <f>INDEX('Combined_Data'!G:G, MATCH(A190, 'Combined_Data'!A:A, 0))</f>
        <v>Sunday</v>
      </c>
      <c r="D190" s="12" t="b">
        <f>INDEX('Combined_Data'!F:F, MATCH(A190, 'Combined_Data'!A:A, 0))</f>
        <v>0</v>
      </c>
      <c r="E190" s="12">
        <f>INDEX('Combined_Data'!O:O, MATCH(A190, 'Combined_Data'!A:A, 0))</f>
        <v>4</v>
      </c>
      <c r="F190" s="12">
        <f>INDEX('Combined_Data'!M:M, MATCH(A190, 'Combined_Data'!A:A, 0))</f>
        <v>0</v>
      </c>
      <c r="G190" s="12">
        <f>INDEX('Combined_Data'!N:N, MATCH(A190, 'Combined_Data'!A:A, 0))</f>
        <v>4</v>
      </c>
      <c r="H190" s="12" t="str">
        <f t="shared" si="8"/>
        <v>Weekend</v>
      </c>
      <c r="I190" s="12" t="str">
        <f t="shared" si="9"/>
        <v>Working Day</v>
      </c>
      <c r="J190" s="12" t="str">
        <f t="shared" si="10"/>
        <v>Low</v>
      </c>
      <c r="K190" s="12" t="str">
        <f>INDEX('Combined_Data'!H:H, MATCH(A190, 'Combined_Data'!A:A, 0))</f>
        <v>Clear</v>
      </c>
      <c r="L190" s="13">
        <f t="shared" si="11"/>
        <v>1</v>
      </c>
    </row>
    <row r="191" spans="1:12" x14ac:dyDescent="0.35">
      <c r="A191" s="10">
        <v>190</v>
      </c>
      <c r="B191" s="11">
        <f>INDEX('Combined_Data'!B:B, MATCH(Derived_Data!A191, 'Combined_Data'!A:A, 0))</f>
        <v>40552</v>
      </c>
      <c r="C191" s="12" t="str">
        <f>INDEX('Combined_Data'!G:G, MATCH(A191, 'Combined_Data'!A:A, 0))</f>
        <v>Sunday</v>
      </c>
      <c r="D191" s="12" t="b">
        <f>INDEX('Combined_Data'!F:F, MATCH(A191, 'Combined_Data'!A:A, 0))</f>
        <v>0</v>
      </c>
      <c r="E191" s="12">
        <f>INDEX('Combined_Data'!O:O, MATCH(A191, 'Combined_Data'!A:A, 0))</f>
        <v>1</v>
      </c>
      <c r="F191" s="12">
        <f>INDEX('Combined_Data'!M:M, MATCH(A191, 'Combined_Data'!A:A, 0))</f>
        <v>0</v>
      </c>
      <c r="G191" s="12">
        <f>INDEX('Combined_Data'!N:N, MATCH(A191, 'Combined_Data'!A:A, 0))</f>
        <v>1</v>
      </c>
      <c r="H191" s="12" t="str">
        <f t="shared" si="8"/>
        <v>Weekend</v>
      </c>
      <c r="I191" s="12" t="str">
        <f t="shared" si="9"/>
        <v>Working Day</v>
      </c>
      <c r="J191" s="12" t="str">
        <f t="shared" si="10"/>
        <v>Low</v>
      </c>
      <c r="K191" s="12" t="str">
        <f>INDEX('Combined_Data'!H:H, MATCH(A191, 'Combined_Data'!A:A, 0))</f>
        <v>Clear</v>
      </c>
      <c r="L191" s="13">
        <f t="shared" si="11"/>
        <v>1</v>
      </c>
    </row>
    <row r="192" spans="1:12" x14ac:dyDescent="0.35">
      <c r="A192" s="10">
        <v>191</v>
      </c>
      <c r="B192" s="11">
        <f>INDEX('Combined_Data'!B:B, MATCH(Derived_Data!A192, 'Combined_Data'!A:A, 0))</f>
        <v>40552</v>
      </c>
      <c r="C192" s="12" t="str">
        <f>INDEX('Combined_Data'!G:G, MATCH(A192, 'Combined_Data'!A:A, 0))</f>
        <v>Sunday</v>
      </c>
      <c r="D192" s="12" t="b">
        <f>INDEX('Combined_Data'!F:F, MATCH(A192, 'Combined_Data'!A:A, 0))</f>
        <v>0</v>
      </c>
      <c r="E192" s="12">
        <f>INDEX('Combined_Data'!O:O, MATCH(A192, 'Combined_Data'!A:A, 0))</f>
        <v>1</v>
      </c>
      <c r="F192" s="12">
        <f>INDEX('Combined_Data'!M:M, MATCH(A192, 'Combined_Data'!A:A, 0))</f>
        <v>0</v>
      </c>
      <c r="G192" s="12">
        <f>INDEX('Combined_Data'!N:N, MATCH(A192, 'Combined_Data'!A:A, 0))</f>
        <v>1</v>
      </c>
      <c r="H192" s="12" t="str">
        <f t="shared" si="8"/>
        <v>Weekend</v>
      </c>
      <c r="I192" s="12" t="str">
        <f t="shared" si="9"/>
        <v>Working Day</v>
      </c>
      <c r="J192" s="12" t="str">
        <f t="shared" si="10"/>
        <v>Low</v>
      </c>
      <c r="K192" s="12" t="str">
        <f>INDEX('Combined_Data'!H:H, MATCH(A192, 'Combined_Data'!A:A, 0))</f>
        <v>Clear</v>
      </c>
      <c r="L192" s="13">
        <f t="shared" si="11"/>
        <v>1</v>
      </c>
    </row>
    <row r="193" spans="1:12" x14ac:dyDescent="0.35">
      <c r="A193" s="10">
        <v>192</v>
      </c>
      <c r="B193" s="11">
        <f>INDEX('Combined_Data'!B:B, MATCH(Derived_Data!A193, 'Combined_Data'!A:A, 0))</f>
        <v>40552</v>
      </c>
      <c r="C193" s="12" t="str">
        <f>INDEX('Combined_Data'!G:G, MATCH(A193, 'Combined_Data'!A:A, 0))</f>
        <v>Sunday</v>
      </c>
      <c r="D193" s="12" t="b">
        <f>INDEX('Combined_Data'!F:F, MATCH(A193, 'Combined_Data'!A:A, 0))</f>
        <v>0</v>
      </c>
      <c r="E193" s="12">
        <f>INDEX('Combined_Data'!O:O, MATCH(A193, 'Combined_Data'!A:A, 0))</f>
        <v>1</v>
      </c>
      <c r="F193" s="12">
        <f>INDEX('Combined_Data'!M:M, MATCH(A193, 'Combined_Data'!A:A, 0))</f>
        <v>0</v>
      </c>
      <c r="G193" s="12">
        <f>INDEX('Combined_Data'!N:N, MATCH(A193, 'Combined_Data'!A:A, 0))</f>
        <v>1</v>
      </c>
      <c r="H193" s="12" t="str">
        <f t="shared" si="8"/>
        <v>Weekend</v>
      </c>
      <c r="I193" s="12" t="str">
        <f t="shared" si="9"/>
        <v>Working Day</v>
      </c>
      <c r="J193" s="12" t="str">
        <f t="shared" si="10"/>
        <v>Low</v>
      </c>
      <c r="K193" s="12" t="str">
        <f>INDEX('Combined_Data'!H:H, MATCH(A193, 'Combined_Data'!A:A, 0))</f>
        <v>Clear</v>
      </c>
      <c r="L193" s="13">
        <f t="shared" si="11"/>
        <v>1</v>
      </c>
    </row>
    <row r="194" spans="1:12" x14ac:dyDescent="0.35">
      <c r="A194" s="10">
        <v>193</v>
      </c>
      <c r="B194" s="11">
        <f>INDEX('Combined_Data'!B:B, MATCH(Derived_Data!A194, 'Combined_Data'!A:A, 0))</f>
        <v>40552</v>
      </c>
      <c r="C194" s="12" t="str">
        <f>INDEX('Combined_Data'!G:G, MATCH(A194, 'Combined_Data'!A:A, 0))</f>
        <v>Sunday</v>
      </c>
      <c r="D194" s="12" t="b">
        <f>INDEX('Combined_Data'!F:F, MATCH(A194, 'Combined_Data'!A:A, 0))</f>
        <v>0</v>
      </c>
      <c r="E194" s="12">
        <f>INDEX('Combined_Data'!O:O, MATCH(A194, 'Combined_Data'!A:A, 0))</f>
        <v>6</v>
      </c>
      <c r="F194" s="12">
        <f>INDEX('Combined_Data'!M:M, MATCH(A194, 'Combined_Data'!A:A, 0))</f>
        <v>1</v>
      </c>
      <c r="G194" s="12">
        <f>INDEX('Combined_Data'!N:N, MATCH(A194, 'Combined_Data'!A:A, 0))</f>
        <v>5</v>
      </c>
      <c r="H194" s="12" t="str">
        <f t="shared" si="8"/>
        <v>Weekend</v>
      </c>
      <c r="I194" s="12" t="str">
        <f t="shared" si="9"/>
        <v>Working Day</v>
      </c>
      <c r="J194" s="12" t="str">
        <f t="shared" si="10"/>
        <v>Low</v>
      </c>
      <c r="K194" s="12" t="str">
        <f>INDEX('Combined_Data'!H:H, MATCH(A194, 'Combined_Data'!A:A, 0))</f>
        <v>Clear</v>
      </c>
      <c r="L194" s="13">
        <f t="shared" si="11"/>
        <v>1</v>
      </c>
    </row>
    <row r="195" spans="1:12" x14ac:dyDescent="0.35">
      <c r="A195" s="10">
        <v>194</v>
      </c>
      <c r="B195" s="11">
        <f>INDEX('Combined_Data'!B:B, MATCH(Derived_Data!A195, 'Combined_Data'!A:A, 0))</f>
        <v>40552</v>
      </c>
      <c r="C195" s="12" t="str">
        <f>INDEX('Combined_Data'!G:G, MATCH(A195, 'Combined_Data'!A:A, 0))</f>
        <v>Sunday</v>
      </c>
      <c r="D195" s="12" t="b">
        <f>INDEX('Combined_Data'!F:F, MATCH(A195, 'Combined_Data'!A:A, 0))</f>
        <v>0</v>
      </c>
      <c r="E195" s="12">
        <f>INDEX('Combined_Data'!O:O, MATCH(A195, 'Combined_Data'!A:A, 0))</f>
        <v>10</v>
      </c>
      <c r="F195" s="12">
        <f>INDEX('Combined_Data'!M:M, MATCH(A195, 'Combined_Data'!A:A, 0))</f>
        <v>0</v>
      </c>
      <c r="G195" s="12">
        <f>INDEX('Combined_Data'!N:N, MATCH(A195, 'Combined_Data'!A:A, 0))</f>
        <v>10</v>
      </c>
      <c r="H195" s="12" t="str">
        <f t="shared" ref="H195:H258" si="12">IF(OR(TRIM(C195)="Saturday",TRIM(C195)="Sunday"),"Weekend","Weekday")</f>
        <v>Weekend</v>
      </c>
      <c r="I195" s="12" t="str">
        <f t="shared" ref="I195:I258" si="13">IF(D195=TRUE,"Holiday","Working Day")</f>
        <v>Working Day</v>
      </c>
      <c r="J195" s="12" t="str">
        <f t="shared" ref="J195:J258" si="14">IF(E195&lt;100,"Low",IF(E195&lt;=150,"Medium","High"))</f>
        <v>Low</v>
      </c>
      <c r="K195" s="12" t="str">
        <f>INDEX('Combined_Data'!H:H, MATCH(A195, 'Combined_Data'!A:A, 0))</f>
        <v>Clear</v>
      </c>
      <c r="L195" s="13">
        <f t="shared" ref="L195:L258" si="15">VLOOKUP(TRIM(K195), $T$2:$U$5, 2, FALSE)</f>
        <v>1</v>
      </c>
    </row>
    <row r="196" spans="1:12" x14ac:dyDescent="0.35">
      <c r="A196" s="10">
        <v>195</v>
      </c>
      <c r="B196" s="11">
        <f>INDEX('Combined_Data'!B:B, MATCH(Derived_Data!A196, 'Combined_Data'!A:A, 0))</f>
        <v>40552</v>
      </c>
      <c r="C196" s="12" t="str">
        <f>INDEX('Combined_Data'!G:G, MATCH(A196, 'Combined_Data'!A:A, 0))</f>
        <v>Sunday</v>
      </c>
      <c r="D196" s="12" t="b">
        <f>INDEX('Combined_Data'!F:F, MATCH(A196, 'Combined_Data'!A:A, 0))</f>
        <v>0</v>
      </c>
      <c r="E196" s="12">
        <f>INDEX('Combined_Data'!O:O, MATCH(A196, 'Combined_Data'!A:A, 0))</f>
        <v>19</v>
      </c>
      <c r="F196" s="12">
        <f>INDEX('Combined_Data'!M:M, MATCH(A196, 'Combined_Data'!A:A, 0))</f>
        <v>0</v>
      </c>
      <c r="G196" s="12">
        <f>INDEX('Combined_Data'!N:N, MATCH(A196, 'Combined_Data'!A:A, 0))</f>
        <v>19</v>
      </c>
      <c r="H196" s="12" t="str">
        <f t="shared" si="12"/>
        <v>Weekend</v>
      </c>
      <c r="I196" s="12" t="str">
        <f t="shared" si="13"/>
        <v>Working Day</v>
      </c>
      <c r="J196" s="12" t="str">
        <f t="shared" si="14"/>
        <v>Low</v>
      </c>
      <c r="K196" s="12" t="str">
        <f>INDEX('Combined_Data'!H:H, MATCH(A196, 'Combined_Data'!A:A, 0))</f>
        <v>Clear</v>
      </c>
      <c r="L196" s="13">
        <f t="shared" si="15"/>
        <v>1</v>
      </c>
    </row>
    <row r="197" spans="1:12" x14ac:dyDescent="0.35">
      <c r="A197" s="10">
        <v>196</v>
      </c>
      <c r="B197" s="11">
        <f>INDEX('Combined_Data'!B:B, MATCH(Derived_Data!A197, 'Combined_Data'!A:A, 0))</f>
        <v>40552</v>
      </c>
      <c r="C197" s="12" t="str">
        <f>INDEX('Combined_Data'!G:G, MATCH(A197, 'Combined_Data'!A:A, 0))</f>
        <v>Sunday</v>
      </c>
      <c r="D197" s="12" t="b">
        <f>INDEX('Combined_Data'!F:F, MATCH(A197, 'Combined_Data'!A:A, 0))</f>
        <v>0</v>
      </c>
      <c r="E197" s="12">
        <f>INDEX('Combined_Data'!O:O, MATCH(A197, 'Combined_Data'!A:A, 0))</f>
        <v>49</v>
      </c>
      <c r="F197" s="12">
        <f>INDEX('Combined_Data'!M:M, MATCH(A197, 'Combined_Data'!A:A, 0))</f>
        <v>0</v>
      </c>
      <c r="G197" s="12">
        <f>INDEX('Combined_Data'!N:N, MATCH(A197, 'Combined_Data'!A:A, 0))</f>
        <v>49</v>
      </c>
      <c r="H197" s="12" t="str">
        <f t="shared" si="12"/>
        <v>Weekend</v>
      </c>
      <c r="I197" s="12" t="str">
        <f t="shared" si="13"/>
        <v>Working Day</v>
      </c>
      <c r="J197" s="12" t="str">
        <f t="shared" si="14"/>
        <v>Low</v>
      </c>
      <c r="K197" s="12" t="str">
        <f>INDEX('Combined_Data'!H:H, MATCH(A197, 'Combined_Data'!A:A, 0))</f>
        <v>Clear</v>
      </c>
      <c r="L197" s="13">
        <f t="shared" si="15"/>
        <v>1</v>
      </c>
    </row>
    <row r="198" spans="1:12" x14ac:dyDescent="0.35">
      <c r="A198" s="10">
        <v>197</v>
      </c>
      <c r="B198" s="11">
        <f>INDEX('Combined_Data'!B:B, MATCH(Derived_Data!A198, 'Combined_Data'!A:A, 0))</f>
        <v>40552</v>
      </c>
      <c r="C198" s="12" t="str">
        <f>INDEX('Combined_Data'!G:G, MATCH(A198, 'Combined_Data'!A:A, 0))</f>
        <v>Sunday</v>
      </c>
      <c r="D198" s="12" t="b">
        <f>INDEX('Combined_Data'!F:F, MATCH(A198, 'Combined_Data'!A:A, 0))</f>
        <v>0</v>
      </c>
      <c r="E198" s="12">
        <f>INDEX('Combined_Data'!O:O, MATCH(A198, 'Combined_Data'!A:A, 0))</f>
        <v>49</v>
      </c>
      <c r="F198" s="12">
        <f>INDEX('Combined_Data'!M:M, MATCH(A198, 'Combined_Data'!A:A, 0))</f>
        <v>2</v>
      </c>
      <c r="G198" s="12">
        <f>INDEX('Combined_Data'!N:N, MATCH(A198, 'Combined_Data'!A:A, 0))</f>
        <v>47</v>
      </c>
      <c r="H198" s="12" t="str">
        <f t="shared" si="12"/>
        <v>Weekend</v>
      </c>
      <c r="I198" s="12" t="str">
        <f t="shared" si="13"/>
        <v>Working Day</v>
      </c>
      <c r="J198" s="12" t="str">
        <f t="shared" si="14"/>
        <v>Low</v>
      </c>
      <c r="K198" s="12" t="str">
        <f>INDEX('Combined_Data'!H:H, MATCH(A198, 'Combined_Data'!A:A, 0))</f>
        <v>Clear</v>
      </c>
      <c r="L198" s="13">
        <f t="shared" si="15"/>
        <v>1</v>
      </c>
    </row>
    <row r="199" spans="1:12" x14ac:dyDescent="0.35">
      <c r="A199" s="10">
        <v>198</v>
      </c>
      <c r="B199" s="11">
        <f>INDEX('Combined_Data'!B:B, MATCH(Derived_Data!A199, 'Combined_Data'!A:A, 0))</f>
        <v>40552</v>
      </c>
      <c r="C199" s="12" t="str">
        <f>INDEX('Combined_Data'!G:G, MATCH(A199, 'Combined_Data'!A:A, 0))</f>
        <v>Sunday</v>
      </c>
      <c r="D199" s="12" t="b">
        <f>INDEX('Combined_Data'!F:F, MATCH(A199, 'Combined_Data'!A:A, 0))</f>
        <v>0</v>
      </c>
      <c r="E199" s="12">
        <f>INDEX('Combined_Data'!O:O, MATCH(A199, 'Combined_Data'!A:A, 0))</f>
        <v>83</v>
      </c>
      <c r="F199" s="12">
        <f>INDEX('Combined_Data'!M:M, MATCH(A199, 'Combined_Data'!A:A, 0))</f>
        <v>4</v>
      </c>
      <c r="G199" s="12">
        <f>INDEX('Combined_Data'!N:N, MATCH(A199, 'Combined_Data'!A:A, 0))</f>
        <v>79</v>
      </c>
      <c r="H199" s="12" t="str">
        <f t="shared" si="12"/>
        <v>Weekend</v>
      </c>
      <c r="I199" s="12" t="str">
        <f t="shared" si="13"/>
        <v>Working Day</v>
      </c>
      <c r="J199" s="12" t="str">
        <f t="shared" si="14"/>
        <v>Low</v>
      </c>
      <c r="K199" s="12" t="str">
        <f>INDEX('Combined_Data'!H:H, MATCH(A199, 'Combined_Data'!A:A, 0))</f>
        <v>Clear</v>
      </c>
      <c r="L199" s="13">
        <f t="shared" si="15"/>
        <v>1</v>
      </c>
    </row>
    <row r="200" spans="1:12" x14ac:dyDescent="0.35">
      <c r="A200" s="10">
        <v>199</v>
      </c>
      <c r="B200" s="11">
        <f>INDEX('Combined_Data'!B:B, MATCH(Derived_Data!A200, 'Combined_Data'!A:A, 0))</f>
        <v>40552</v>
      </c>
      <c r="C200" s="12" t="str">
        <f>INDEX('Combined_Data'!G:G, MATCH(A200, 'Combined_Data'!A:A, 0))</f>
        <v>Sunday</v>
      </c>
      <c r="D200" s="12" t="b">
        <f>INDEX('Combined_Data'!F:F, MATCH(A200, 'Combined_Data'!A:A, 0))</f>
        <v>0</v>
      </c>
      <c r="E200" s="12">
        <f>INDEX('Combined_Data'!O:O, MATCH(A200, 'Combined_Data'!A:A, 0))</f>
        <v>75</v>
      </c>
      <c r="F200" s="12">
        <f>INDEX('Combined_Data'!M:M, MATCH(A200, 'Combined_Data'!A:A, 0))</f>
        <v>6</v>
      </c>
      <c r="G200" s="12">
        <f>INDEX('Combined_Data'!N:N, MATCH(A200, 'Combined_Data'!A:A, 0))</f>
        <v>69</v>
      </c>
      <c r="H200" s="12" t="str">
        <f t="shared" si="12"/>
        <v>Weekend</v>
      </c>
      <c r="I200" s="12" t="str">
        <f t="shared" si="13"/>
        <v>Working Day</v>
      </c>
      <c r="J200" s="12" t="str">
        <f t="shared" si="14"/>
        <v>Low</v>
      </c>
      <c r="K200" s="12" t="str">
        <f>INDEX('Combined_Data'!H:H, MATCH(A200, 'Combined_Data'!A:A, 0))</f>
        <v>Clear</v>
      </c>
      <c r="L200" s="13">
        <f t="shared" si="15"/>
        <v>1</v>
      </c>
    </row>
    <row r="201" spans="1:12" x14ac:dyDescent="0.35">
      <c r="A201" s="10">
        <v>200</v>
      </c>
      <c r="B201" s="11">
        <f>INDEX('Combined_Data'!B:B, MATCH(Derived_Data!A201, 'Combined_Data'!A:A, 0))</f>
        <v>40552</v>
      </c>
      <c r="C201" s="12" t="str">
        <f>INDEX('Combined_Data'!G:G, MATCH(A201, 'Combined_Data'!A:A, 0))</f>
        <v>Sunday</v>
      </c>
      <c r="D201" s="12" t="b">
        <f>INDEX('Combined_Data'!F:F, MATCH(A201, 'Combined_Data'!A:A, 0))</f>
        <v>0</v>
      </c>
      <c r="E201" s="12">
        <f>INDEX('Combined_Data'!O:O, MATCH(A201, 'Combined_Data'!A:A, 0))</f>
        <v>72</v>
      </c>
      <c r="F201" s="12">
        <f>INDEX('Combined_Data'!M:M, MATCH(A201, 'Combined_Data'!A:A, 0))</f>
        <v>8</v>
      </c>
      <c r="G201" s="12">
        <f>INDEX('Combined_Data'!N:N, MATCH(A201, 'Combined_Data'!A:A, 0))</f>
        <v>64</v>
      </c>
      <c r="H201" s="12" t="str">
        <f t="shared" si="12"/>
        <v>Weekend</v>
      </c>
      <c r="I201" s="12" t="str">
        <f t="shared" si="13"/>
        <v>Working Day</v>
      </c>
      <c r="J201" s="12" t="str">
        <f t="shared" si="14"/>
        <v>Low</v>
      </c>
      <c r="K201" s="12" t="str">
        <f>INDEX('Combined_Data'!H:H, MATCH(A201, 'Combined_Data'!A:A, 0))</f>
        <v>Clear</v>
      </c>
      <c r="L201" s="13">
        <f t="shared" si="15"/>
        <v>1</v>
      </c>
    </row>
    <row r="202" spans="1:12" x14ac:dyDescent="0.35">
      <c r="A202" s="10">
        <v>201</v>
      </c>
      <c r="B202" s="11">
        <f>INDEX('Combined_Data'!B:B, MATCH(Derived_Data!A202, 'Combined_Data'!A:A, 0))</f>
        <v>40552</v>
      </c>
      <c r="C202" s="12" t="str">
        <f>INDEX('Combined_Data'!G:G, MATCH(A202, 'Combined_Data'!A:A, 0))</f>
        <v>Sunday</v>
      </c>
      <c r="D202" s="12" t="b">
        <f>INDEX('Combined_Data'!F:F, MATCH(A202, 'Combined_Data'!A:A, 0))</f>
        <v>0</v>
      </c>
      <c r="E202" s="12">
        <f>INDEX('Combined_Data'!O:O, MATCH(A202, 'Combined_Data'!A:A, 0))</f>
        <v>82</v>
      </c>
      <c r="F202" s="12">
        <f>INDEX('Combined_Data'!M:M, MATCH(A202, 'Combined_Data'!A:A, 0))</f>
        <v>5</v>
      </c>
      <c r="G202" s="12">
        <f>INDEX('Combined_Data'!N:N, MATCH(A202, 'Combined_Data'!A:A, 0))</f>
        <v>77</v>
      </c>
      <c r="H202" s="12" t="str">
        <f t="shared" si="12"/>
        <v>Weekend</v>
      </c>
      <c r="I202" s="12" t="str">
        <f t="shared" si="13"/>
        <v>Working Day</v>
      </c>
      <c r="J202" s="12" t="str">
        <f t="shared" si="14"/>
        <v>Low</v>
      </c>
      <c r="K202" s="12" t="str">
        <f>INDEX('Combined_Data'!H:H, MATCH(A202, 'Combined_Data'!A:A, 0))</f>
        <v>Clear</v>
      </c>
      <c r="L202" s="13">
        <f t="shared" si="15"/>
        <v>1</v>
      </c>
    </row>
    <row r="203" spans="1:12" x14ac:dyDescent="0.35">
      <c r="A203" s="10">
        <v>202</v>
      </c>
      <c r="B203" s="11">
        <f>INDEX('Combined_Data'!B:B, MATCH(Derived_Data!A203, 'Combined_Data'!A:A, 0))</f>
        <v>40552</v>
      </c>
      <c r="C203" s="12" t="str">
        <f>INDEX('Combined_Data'!G:G, MATCH(A203, 'Combined_Data'!A:A, 0))</f>
        <v>Sunday</v>
      </c>
      <c r="D203" s="12" t="b">
        <f>INDEX('Combined_Data'!F:F, MATCH(A203, 'Combined_Data'!A:A, 0))</f>
        <v>0</v>
      </c>
      <c r="E203" s="12">
        <f>INDEX('Combined_Data'!O:O, MATCH(A203, 'Combined_Data'!A:A, 0))</f>
        <v>92</v>
      </c>
      <c r="F203" s="12">
        <f>INDEX('Combined_Data'!M:M, MATCH(A203, 'Combined_Data'!A:A, 0))</f>
        <v>13</v>
      </c>
      <c r="G203" s="12">
        <f>INDEX('Combined_Data'!N:N, MATCH(A203, 'Combined_Data'!A:A, 0))</f>
        <v>79</v>
      </c>
      <c r="H203" s="12" t="str">
        <f t="shared" si="12"/>
        <v>Weekend</v>
      </c>
      <c r="I203" s="12" t="str">
        <f t="shared" si="13"/>
        <v>Working Day</v>
      </c>
      <c r="J203" s="12" t="str">
        <f t="shared" si="14"/>
        <v>Low</v>
      </c>
      <c r="K203" s="12" t="str">
        <f>INDEX('Combined_Data'!H:H, MATCH(A203, 'Combined_Data'!A:A, 0))</f>
        <v>Clear</v>
      </c>
      <c r="L203" s="13">
        <f t="shared" si="15"/>
        <v>1</v>
      </c>
    </row>
    <row r="204" spans="1:12" x14ac:dyDescent="0.35">
      <c r="A204" s="10">
        <v>203</v>
      </c>
      <c r="B204" s="11">
        <f>INDEX('Combined_Data'!B:B, MATCH(Derived_Data!A204, 'Combined_Data'!A:A, 0))</f>
        <v>40552</v>
      </c>
      <c r="C204" s="12" t="str">
        <f>INDEX('Combined_Data'!G:G, MATCH(A204, 'Combined_Data'!A:A, 0))</f>
        <v>Sunday</v>
      </c>
      <c r="D204" s="12" t="b">
        <f>INDEX('Combined_Data'!F:F, MATCH(A204, 'Combined_Data'!A:A, 0))</f>
        <v>0</v>
      </c>
      <c r="E204" s="12">
        <f>INDEX('Combined_Data'!O:O, MATCH(A204, 'Combined_Data'!A:A, 0))</f>
        <v>62</v>
      </c>
      <c r="F204" s="12">
        <f>INDEX('Combined_Data'!M:M, MATCH(A204, 'Combined_Data'!A:A, 0))</f>
        <v>3</v>
      </c>
      <c r="G204" s="12">
        <f>INDEX('Combined_Data'!N:N, MATCH(A204, 'Combined_Data'!A:A, 0))</f>
        <v>59</v>
      </c>
      <c r="H204" s="12" t="str">
        <f t="shared" si="12"/>
        <v>Weekend</v>
      </c>
      <c r="I204" s="12" t="str">
        <f t="shared" si="13"/>
        <v>Working Day</v>
      </c>
      <c r="J204" s="12" t="str">
        <f t="shared" si="14"/>
        <v>Low</v>
      </c>
      <c r="K204" s="12" t="str">
        <f>INDEX('Combined_Data'!H:H, MATCH(A204, 'Combined_Data'!A:A, 0))</f>
        <v>Clear</v>
      </c>
      <c r="L204" s="13">
        <f t="shared" si="15"/>
        <v>1</v>
      </c>
    </row>
    <row r="205" spans="1:12" x14ac:dyDescent="0.35">
      <c r="A205" s="10">
        <v>204</v>
      </c>
      <c r="B205" s="11">
        <f>INDEX('Combined_Data'!B:B, MATCH(Derived_Data!A205, 'Combined_Data'!A:A, 0))</f>
        <v>40552</v>
      </c>
      <c r="C205" s="12" t="str">
        <f>INDEX('Combined_Data'!G:G, MATCH(A205, 'Combined_Data'!A:A, 0))</f>
        <v>Sunday</v>
      </c>
      <c r="D205" s="12" t="b">
        <f>INDEX('Combined_Data'!F:F, MATCH(A205, 'Combined_Data'!A:A, 0))</f>
        <v>0</v>
      </c>
      <c r="E205" s="12">
        <f>INDEX('Combined_Data'!O:O, MATCH(A205, 'Combined_Data'!A:A, 0))</f>
        <v>48</v>
      </c>
      <c r="F205" s="12">
        <f>INDEX('Combined_Data'!M:M, MATCH(A205, 'Combined_Data'!A:A, 0))</f>
        <v>4</v>
      </c>
      <c r="G205" s="12">
        <f>INDEX('Combined_Data'!N:N, MATCH(A205, 'Combined_Data'!A:A, 0))</f>
        <v>44</v>
      </c>
      <c r="H205" s="12" t="str">
        <f t="shared" si="12"/>
        <v>Weekend</v>
      </c>
      <c r="I205" s="12" t="str">
        <f t="shared" si="13"/>
        <v>Working Day</v>
      </c>
      <c r="J205" s="12" t="str">
        <f t="shared" si="14"/>
        <v>Low</v>
      </c>
      <c r="K205" s="12" t="str">
        <f>INDEX('Combined_Data'!H:H, MATCH(A205, 'Combined_Data'!A:A, 0))</f>
        <v>Clear</v>
      </c>
      <c r="L205" s="13">
        <f t="shared" si="15"/>
        <v>1</v>
      </c>
    </row>
    <row r="206" spans="1:12" x14ac:dyDescent="0.35">
      <c r="A206" s="10">
        <v>205</v>
      </c>
      <c r="B206" s="11">
        <f>INDEX('Combined_Data'!B:B, MATCH(Derived_Data!A206, 'Combined_Data'!A:A, 0))</f>
        <v>40552</v>
      </c>
      <c r="C206" s="12" t="str">
        <f>INDEX('Combined_Data'!G:G, MATCH(A206, 'Combined_Data'!A:A, 0))</f>
        <v>Sunday</v>
      </c>
      <c r="D206" s="12" t="b">
        <f>INDEX('Combined_Data'!F:F, MATCH(A206, 'Combined_Data'!A:A, 0))</f>
        <v>0</v>
      </c>
      <c r="E206" s="12">
        <f>INDEX('Combined_Data'!O:O, MATCH(A206, 'Combined_Data'!A:A, 0))</f>
        <v>41</v>
      </c>
      <c r="F206" s="12">
        <f>INDEX('Combined_Data'!M:M, MATCH(A206, 'Combined_Data'!A:A, 0))</f>
        <v>1</v>
      </c>
      <c r="G206" s="12">
        <f>INDEX('Combined_Data'!N:N, MATCH(A206, 'Combined_Data'!A:A, 0))</f>
        <v>40</v>
      </c>
      <c r="H206" s="12" t="str">
        <f t="shared" si="12"/>
        <v>Weekend</v>
      </c>
      <c r="I206" s="12" t="str">
        <f t="shared" si="13"/>
        <v>Working Day</v>
      </c>
      <c r="J206" s="12" t="str">
        <f t="shared" si="14"/>
        <v>Low</v>
      </c>
      <c r="K206" s="12" t="str">
        <f>INDEX('Combined_Data'!H:H, MATCH(A206, 'Combined_Data'!A:A, 0))</f>
        <v>Clear</v>
      </c>
      <c r="L206" s="13">
        <f t="shared" si="15"/>
        <v>1</v>
      </c>
    </row>
    <row r="207" spans="1:12" x14ac:dyDescent="0.35">
      <c r="A207" s="10">
        <v>206</v>
      </c>
      <c r="B207" s="11">
        <f>INDEX('Combined_Data'!B:B, MATCH(Derived_Data!A207, 'Combined_Data'!A:A, 0))</f>
        <v>40552</v>
      </c>
      <c r="C207" s="12" t="str">
        <f>INDEX('Combined_Data'!G:G, MATCH(A207, 'Combined_Data'!A:A, 0))</f>
        <v>Sunday</v>
      </c>
      <c r="D207" s="12" t="b">
        <f>INDEX('Combined_Data'!F:F, MATCH(A207, 'Combined_Data'!A:A, 0))</f>
        <v>0</v>
      </c>
      <c r="E207" s="12">
        <f>INDEX('Combined_Data'!O:O, MATCH(A207, 'Combined_Data'!A:A, 0))</f>
        <v>38</v>
      </c>
      <c r="F207" s="12">
        <f>INDEX('Combined_Data'!M:M, MATCH(A207, 'Combined_Data'!A:A, 0))</f>
        <v>0</v>
      </c>
      <c r="G207" s="12">
        <f>INDEX('Combined_Data'!N:N, MATCH(A207, 'Combined_Data'!A:A, 0))</f>
        <v>38</v>
      </c>
      <c r="H207" s="12" t="str">
        <f t="shared" si="12"/>
        <v>Weekend</v>
      </c>
      <c r="I207" s="12" t="str">
        <f t="shared" si="13"/>
        <v>Working Day</v>
      </c>
      <c r="J207" s="12" t="str">
        <f t="shared" si="14"/>
        <v>Low</v>
      </c>
      <c r="K207" s="12" t="str">
        <f>INDEX('Combined_Data'!H:H, MATCH(A207, 'Combined_Data'!A:A, 0))</f>
        <v>Clear</v>
      </c>
      <c r="L207" s="13">
        <f t="shared" si="15"/>
        <v>1</v>
      </c>
    </row>
    <row r="208" spans="1:12" x14ac:dyDescent="0.35">
      <c r="A208" s="10">
        <v>207</v>
      </c>
      <c r="B208" s="11">
        <f>INDEX('Combined_Data'!B:B, MATCH(Derived_Data!A208, 'Combined_Data'!A:A, 0))</f>
        <v>40552</v>
      </c>
      <c r="C208" s="12" t="str">
        <f>INDEX('Combined_Data'!G:G, MATCH(A208, 'Combined_Data'!A:A, 0))</f>
        <v>Sunday</v>
      </c>
      <c r="D208" s="12" t="b">
        <f>INDEX('Combined_Data'!F:F, MATCH(A208, 'Combined_Data'!A:A, 0))</f>
        <v>0</v>
      </c>
      <c r="E208" s="12">
        <f>INDEX('Combined_Data'!O:O, MATCH(A208, 'Combined_Data'!A:A, 0))</f>
        <v>20</v>
      </c>
      <c r="F208" s="12">
        <f>INDEX('Combined_Data'!M:M, MATCH(A208, 'Combined_Data'!A:A, 0))</f>
        <v>1</v>
      </c>
      <c r="G208" s="12">
        <f>INDEX('Combined_Data'!N:N, MATCH(A208, 'Combined_Data'!A:A, 0))</f>
        <v>19</v>
      </c>
      <c r="H208" s="12" t="str">
        <f t="shared" si="12"/>
        <v>Weekend</v>
      </c>
      <c r="I208" s="12" t="str">
        <f t="shared" si="13"/>
        <v>Working Day</v>
      </c>
      <c r="J208" s="12" t="str">
        <f t="shared" si="14"/>
        <v>Low</v>
      </c>
      <c r="K208" s="12" t="str">
        <f>INDEX('Combined_Data'!H:H, MATCH(A208, 'Combined_Data'!A:A, 0))</f>
        <v>Clear</v>
      </c>
      <c r="L208" s="13">
        <f t="shared" si="15"/>
        <v>1</v>
      </c>
    </row>
    <row r="209" spans="1:12" x14ac:dyDescent="0.35">
      <c r="A209" s="10">
        <v>208</v>
      </c>
      <c r="B209" s="11">
        <f>INDEX('Combined_Data'!B:B, MATCH(Derived_Data!A209, 'Combined_Data'!A:A, 0))</f>
        <v>40552</v>
      </c>
      <c r="C209" s="12" t="str">
        <f>INDEX('Combined_Data'!G:G, MATCH(A209, 'Combined_Data'!A:A, 0))</f>
        <v>Sunday</v>
      </c>
      <c r="D209" s="12" t="b">
        <f>INDEX('Combined_Data'!F:F, MATCH(A209, 'Combined_Data'!A:A, 0))</f>
        <v>0</v>
      </c>
      <c r="E209" s="12">
        <f>INDEX('Combined_Data'!O:O, MATCH(A209, 'Combined_Data'!A:A, 0))</f>
        <v>15</v>
      </c>
      <c r="F209" s="12">
        <f>INDEX('Combined_Data'!M:M, MATCH(A209, 'Combined_Data'!A:A, 0))</f>
        <v>5</v>
      </c>
      <c r="G209" s="12">
        <f>INDEX('Combined_Data'!N:N, MATCH(A209, 'Combined_Data'!A:A, 0))</f>
        <v>10</v>
      </c>
      <c r="H209" s="12" t="str">
        <f t="shared" si="12"/>
        <v>Weekend</v>
      </c>
      <c r="I209" s="12" t="str">
        <f t="shared" si="13"/>
        <v>Working Day</v>
      </c>
      <c r="J209" s="12" t="str">
        <f t="shared" si="14"/>
        <v>Low</v>
      </c>
      <c r="K209" s="12" t="str">
        <f>INDEX('Combined_Data'!H:H, MATCH(A209, 'Combined_Data'!A:A, 0))</f>
        <v>Clear</v>
      </c>
      <c r="L209" s="13">
        <f t="shared" si="15"/>
        <v>1</v>
      </c>
    </row>
    <row r="210" spans="1:12" x14ac:dyDescent="0.35">
      <c r="A210" s="10">
        <v>209</v>
      </c>
      <c r="B210" s="11">
        <f>INDEX('Combined_Data'!B:B, MATCH(Derived_Data!A210, 'Combined_Data'!A:A, 0))</f>
        <v>40552</v>
      </c>
      <c r="C210" s="12" t="str">
        <f>INDEX('Combined_Data'!G:G, MATCH(A210, 'Combined_Data'!A:A, 0))</f>
        <v>Sunday</v>
      </c>
      <c r="D210" s="12" t="b">
        <f>INDEX('Combined_Data'!F:F, MATCH(A210, 'Combined_Data'!A:A, 0))</f>
        <v>0</v>
      </c>
      <c r="E210" s="12">
        <f>INDEX('Combined_Data'!O:O, MATCH(A210, 'Combined_Data'!A:A, 0))</f>
        <v>6</v>
      </c>
      <c r="F210" s="12">
        <f>INDEX('Combined_Data'!M:M, MATCH(A210, 'Combined_Data'!A:A, 0))</f>
        <v>0</v>
      </c>
      <c r="G210" s="12">
        <f>INDEX('Combined_Data'!N:N, MATCH(A210, 'Combined_Data'!A:A, 0))</f>
        <v>6</v>
      </c>
      <c r="H210" s="12" t="str">
        <f t="shared" si="12"/>
        <v>Weekend</v>
      </c>
      <c r="I210" s="12" t="str">
        <f t="shared" si="13"/>
        <v>Working Day</v>
      </c>
      <c r="J210" s="12" t="str">
        <f t="shared" si="14"/>
        <v>Low</v>
      </c>
      <c r="K210" s="12" t="str">
        <f>INDEX('Combined_Data'!H:H, MATCH(A210, 'Combined_Data'!A:A, 0))</f>
        <v>Clear</v>
      </c>
      <c r="L210" s="13">
        <f t="shared" si="15"/>
        <v>1</v>
      </c>
    </row>
    <row r="211" spans="1:12" x14ac:dyDescent="0.35">
      <c r="A211" s="10">
        <v>210</v>
      </c>
      <c r="B211" s="11">
        <f>INDEX('Combined_Data'!B:B, MATCH(Derived_Data!A211, 'Combined_Data'!A:A, 0))</f>
        <v>40553</v>
      </c>
      <c r="C211" s="12" t="str">
        <f>INDEX('Combined_Data'!G:G, MATCH(A211, 'Combined_Data'!A:A, 0))</f>
        <v>Monday</v>
      </c>
      <c r="D211" s="12" t="b">
        <f>INDEX('Combined_Data'!F:F, MATCH(A211, 'Combined_Data'!A:A, 0))</f>
        <v>0</v>
      </c>
      <c r="E211" s="12">
        <f>INDEX('Combined_Data'!O:O, MATCH(A211, 'Combined_Data'!A:A, 0))</f>
        <v>5</v>
      </c>
      <c r="F211" s="12">
        <f>INDEX('Combined_Data'!M:M, MATCH(A211, 'Combined_Data'!A:A, 0))</f>
        <v>2</v>
      </c>
      <c r="G211" s="12">
        <f>INDEX('Combined_Data'!N:N, MATCH(A211, 'Combined_Data'!A:A, 0))</f>
        <v>3</v>
      </c>
      <c r="H211" s="12" t="str">
        <f t="shared" si="12"/>
        <v>Weekday</v>
      </c>
      <c r="I211" s="12" t="str">
        <f t="shared" si="13"/>
        <v>Working Day</v>
      </c>
      <c r="J211" s="12" t="str">
        <f t="shared" si="14"/>
        <v>Low</v>
      </c>
      <c r="K211" s="12" t="str">
        <f>INDEX('Combined_Data'!H:H, MATCH(A211, 'Combined_Data'!A:A, 0))</f>
        <v>Clear</v>
      </c>
      <c r="L211" s="13">
        <f t="shared" si="15"/>
        <v>1</v>
      </c>
    </row>
    <row r="212" spans="1:12" x14ac:dyDescent="0.35">
      <c r="A212" s="10">
        <v>211</v>
      </c>
      <c r="B212" s="11">
        <f>INDEX('Combined_Data'!B:B, MATCH(Derived_Data!A212, 'Combined_Data'!A:A, 0))</f>
        <v>40553</v>
      </c>
      <c r="C212" s="12" t="str">
        <f>INDEX('Combined_Data'!G:G, MATCH(A212, 'Combined_Data'!A:A, 0))</f>
        <v>Monday</v>
      </c>
      <c r="D212" s="12" t="b">
        <f>INDEX('Combined_Data'!F:F, MATCH(A212, 'Combined_Data'!A:A, 0))</f>
        <v>0</v>
      </c>
      <c r="E212" s="12">
        <f>INDEX('Combined_Data'!O:O, MATCH(A212, 'Combined_Data'!A:A, 0))</f>
        <v>1</v>
      </c>
      <c r="F212" s="12">
        <f>INDEX('Combined_Data'!M:M, MATCH(A212, 'Combined_Data'!A:A, 0))</f>
        <v>1</v>
      </c>
      <c r="G212" s="12">
        <f>INDEX('Combined_Data'!N:N, MATCH(A212, 'Combined_Data'!A:A, 0))</f>
        <v>0</v>
      </c>
      <c r="H212" s="12" t="str">
        <f t="shared" si="12"/>
        <v>Weekday</v>
      </c>
      <c r="I212" s="12" t="str">
        <f t="shared" si="13"/>
        <v>Working Day</v>
      </c>
      <c r="J212" s="12" t="str">
        <f t="shared" si="14"/>
        <v>Low</v>
      </c>
      <c r="K212" s="12" t="str">
        <f>INDEX('Combined_Data'!H:H, MATCH(A212, 'Combined_Data'!A:A, 0))</f>
        <v>Clear</v>
      </c>
      <c r="L212" s="13">
        <f t="shared" si="15"/>
        <v>1</v>
      </c>
    </row>
    <row r="213" spans="1:12" x14ac:dyDescent="0.35">
      <c r="A213" s="10">
        <v>212</v>
      </c>
      <c r="B213" s="11">
        <f>INDEX('Combined_Data'!B:B, MATCH(Derived_Data!A213, 'Combined_Data'!A:A, 0))</f>
        <v>40553</v>
      </c>
      <c r="C213" s="12" t="str">
        <f>INDEX('Combined_Data'!G:G, MATCH(A213, 'Combined_Data'!A:A, 0))</f>
        <v>Monday</v>
      </c>
      <c r="D213" s="12" t="b">
        <f>INDEX('Combined_Data'!F:F, MATCH(A213, 'Combined_Data'!A:A, 0))</f>
        <v>0</v>
      </c>
      <c r="E213" s="12">
        <f>INDEX('Combined_Data'!O:O, MATCH(A213, 'Combined_Data'!A:A, 0))</f>
        <v>3</v>
      </c>
      <c r="F213" s="12">
        <f>INDEX('Combined_Data'!M:M, MATCH(A213, 'Combined_Data'!A:A, 0))</f>
        <v>0</v>
      </c>
      <c r="G213" s="12">
        <f>INDEX('Combined_Data'!N:N, MATCH(A213, 'Combined_Data'!A:A, 0))</f>
        <v>3</v>
      </c>
      <c r="H213" s="12" t="str">
        <f t="shared" si="12"/>
        <v>Weekday</v>
      </c>
      <c r="I213" s="12" t="str">
        <f t="shared" si="13"/>
        <v>Working Day</v>
      </c>
      <c r="J213" s="12" t="str">
        <f t="shared" si="14"/>
        <v>Low</v>
      </c>
      <c r="K213" s="12" t="str">
        <f>INDEX('Combined_Data'!H:H, MATCH(A213, 'Combined_Data'!A:A, 0))</f>
        <v>Clear</v>
      </c>
      <c r="L213" s="13">
        <f t="shared" si="15"/>
        <v>1</v>
      </c>
    </row>
    <row r="214" spans="1:12" x14ac:dyDescent="0.35">
      <c r="A214" s="10">
        <v>213</v>
      </c>
      <c r="B214" s="11">
        <f>INDEX('Combined_Data'!B:B, MATCH(Derived_Data!A214, 'Combined_Data'!A:A, 0))</f>
        <v>40553</v>
      </c>
      <c r="C214" s="12" t="str">
        <f>INDEX('Combined_Data'!G:G, MATCH(A214, 'Combined_Data'!A:A, 0))</f>
        <v>Monday</v>
      </c>
      <c r="D214" s="12" t="b">
        <f>INDEX('Combined_Data'!F:F, MATCH(A214, 'Combined_Data'!A:A, 0))</f>
        <v>0</v>
      </c>
      <c r="E214" s="12">
        <f>INDEX('Combined_Data'!O:O, MATCH(A214, 'Combined_Data'!A:A, 0))</f>
        <v>1</v>
      </c>
      <c r="F214" s="12">
        <f>INDEX('Combined_Data'!M:M, MATCH(A214, 'Combined_Data'!A:A, 0))</f>
        <v>0</v>
      </c>
      <c r="G214" s="12">
        <f>INDEX('Combined_Data'!N:N, MATCH(A214, 'Combined_Data'!A:A, 0))</f>
        <v>1</v>
      </c>
      <c r="H214" s="12" t="str">
        <f t="shared" si="12"/>
        <v>Weekday</v>
      </c>
      <c r="I214" s="12" t="str">
        <f t="shared" si="13"/>
        <v>Working Day</v>
      </c>
      <c r="J214" s="12" t="str">
        <f t="shared" si="14"/>
        <v>Low</v>
      </c>
      <c r="K214" s="12" t="str">
        <f>INDEX('Combined_Data'!H:H, MATCH(A214, 'Combined_Data'!A:A, 0))</f>
        <v>Clear</v>
      </c>
      <c r="L214" s="13">
        <f t="shared" si="15"/>
        <v>1</v>
      </c>
    </row>
    <row r="215" spans="1:12" x14ac:dyDescent="0.35">
      <c r="A215" s="10">
        <v>214</v>
      </c>
      <c r="B215" s="11">
        <f>INDEX('Combined_Data'!B:B, MATCH(Derived_Data!A215, 'Combined_Data'!A:A, 0))</f>
        <v>40553</v>
      </c>
      <c r="C215" s="12" t="str">
        <f>INDEX('Combined_Data'!G:G, MATCH(A215, 'Combined_Data'!A:A, 0))</f>
        <v>Monday</v>
      </c>
      <c r="D215" s="12" t="b">
        <f>INDEX('Combined_Data'!F:F, MATCH(A215, 'Combined_Data'!A:A, 0))</f>
        <v>0</v>
      </c>
      <c r="E215" s="12">
        <f>INDEX('Combined_Data'!O:O, MATCH(A215, 'Combined_Data'!A:A, 0))</f>
        <v>3</v>
      </c>
      <c r="F215" s="12">
        <f>INDEX('Combined_Data'!M:M, MATCH(A215, 'Combined_Data'!A:A, 0))</f>
        <v>1</v>
      </c>
      <c r="G215" s="12">
        <f>INDEX('Combined_Data'!N:N, MATCH(A215, 'Combined_Data'!A:A, 0))</f>
        <v>2</v>
      </c>
      <c r="H215" s="12" t="str">
        <f t="shared" si="12"/>
        <v>Weekday</v>
      </c>
      <c r="I215" s="12" t="str">
        <f t="shared" si="13"/>
        <v>Working Day</v>
      </c>
      <c r="J215" s="12" t="str">
        <f t="shared" si="14"/>
        <v>Low</v>
      </c>
      <c r="K215" s="12" t="str">
        <f>INDEX('Combined_Data'!H:H, MATCH(A215, 'Combined_Data'!A:A, 0))</f>
        <v>Clear</v>
      </c>
      <c r="L215" s="13">
        <f t="shared" si="15"/>
        <v>1</v>
      </c>
    </row>
    <row r="216" spans="1:12" x14ac:dyDescent="0.35">
      <c r="A216" s="10">
        <v>215</v>
      </c>
      <c r="B216" s="11">
        <f>INDEX('Combined_Data'!B:B, MATCH(Derived_Data!A216, 'Combined_Data'!A:A, 0))</f>
        <v>40553</v>
      </c>
      <c r="C216" s="12" t="str">
        <f>INDEX('Combined_Data'!G:G, MATCH(A216, 'Combined_Data'!A:A, 0))</f>
        <v>Monday</v>
      </c>
      <c r="D216" s="12" t="b">
        <f>INDEX('Combined_Data'!F:F, MATCH(A216, 'Combined_Data'!A:A, 0))</f>
        <v>0</v>
      </c>
      <c r="E216" s="12">
        <f>INDEX('Combined_Data'!O:O, MATCH(A216, 'Combined_Data'!A:A, 0))</f>
        <v>3</v>
      </c>
      <c r="F216" s="12">
        <f>INDEX('Combined_Data'!M:M, MATCH(A216, 'Combined_Data'!A:A, 0))</f>
        <v>0</v>
      </c>
      <c r="G216" s="12">
        <f>INDEX('Combined_Data'!N:N, MATCH(A216, 'Combined_Data'!A:A, 0))</f>
        <v>3</v>
      </c>
      <c r="H216" s="12" t="str">
        <f t="shared" si="12"/>
        <v>Weekday</v>
      </c>
      <c r="I216" s="12" t="str">
        <f t="shared" si="13"/>
        <v>Working Day</v>
      </c>
      <c r="J216" s="12" t="str">
        <f t="shared" si="14"/>
        <v>Low</v>
      </c>
      <c r="K216" s="12" t="str">
        <f>INDEX('Combined_Data'!H:H, MATCH(A216, 'Combined_Data'!A:A, 0))</f>
        <v>Clear</v>
      </c>
      <c r="L216" s="13">
        <f t="shared" si="15"/>
        <v>1</v>
      </c>
    </row>
    <row r="217" spans="1:12" x14ac:dyDescent="0.35">
      <c r="A217" s="10">
        <v>216</v>
      </c>
      <c r="B217" s="11">
        <f>INDEX('Combined_Data'!B:B, MATCH(Derived_Data!A217, 'Combined_Data'!A:A, 0))</f>
        <v>40553</v>
      </c>
      <c r="C217" s="12" t="str">
        <f>INDEX('Combined_Data'!G:G, MATCH(A217, 'Combined_Data'!A:A, 0))</f>
        <v>Monday</v>
      </c>
      <c r="D217" s="12" t="b">
        <f>INDEX('Combined_Data'!F:F, MATCH(A217, 'Combined_Data'!A:A, 0))</f>
        <v>0</v>
      </c>
      <c r="E217" s="12">
        <f>INDEX('Combined_Data'!O:O, MATCH(A217, 'Combined_Data'!A:A, 0))</f>
        <v>31</v>
      </c>
      <c r="F217" s="12">
        <f>INDEX('Combined_Data'!M:M, MATCH(A217, 'Combined_Data'!A:A, 0))</f>
        <v>0</v>
      </c>
      <c r="G217" s="12">
        <f>INDEX('Combined_Data'!N:N, MATCH(A217, 'Combined_Data'!A:A, 0))</f>
        <v>31</v>
      </c>
      <c r="H217" s="12" t="str">
        <f t="shared" si="12"/>
        <v>Weekday</v>
      </c>
      <c r="I217" s="12" t="str">
        <f t="shared" si="13"/>
        <v>Working Day</v>
      </c>
      <c r="J217" s="12" t="str">
        <f t="shared" si="14"/>
        <v>Low</v>
      </c>
      <c r="K217" s="12" t="str">
        <f>INDEX('Combined_Data'!H:H, MATCH(A217, 'Combined_Data'!A:A, 0))</f>
        <v>Clear</v>
      </c>
      <c r="L217" s="13">
        <f t="shared" si="15"/>
        <v>1</v>
      </c>
    </row>
    <row r="218" spans="1:12" x14ac:dyDescent="0.35">
      <c r="A218" s="10">
        <v>217</v>
      </c>
      <c r="B218" s="11">
        <f>INDEX('Combined_Data'!B:B, MATCH(Derived_Data!A218, 'Combined_Data'!A:A, 0))</f>
        <v>40553</v>
      </c>
      <c r="C218" s="12" t="str">
        <f>INDEX('Combined_Data'!G:G, MATCH(A218, 'Combined_Data'!A:A, 0))</f>
        <v>Monday</v>
      </c>
      <c r="D218" s="12" t="b">
        <f>INDEX('Combined_Data'!F:F, MATCH(A218, 'Combined_Data'!A:A, 0))</f>
        <v>0</v>
      </c>
      <c r="E218" s="12">
        <f>INDEX('Combined_Data'!O:O, MATCH(A218, 'Combined_Data'!A:A, 0))</f>
        <v>77</v>
      </c>
      <c r="F218" s="12">
        <f>INDEX('Combined_Data'!M:M, MATCH(A218, 'Combined_Data'!A:A, 0))</f>
        <v>2</v>
      </c>
      <c r="G218" s="12">
        <f>INDEX('Combined_Data'!N:N, MATCH(A218, 'Combined_Data'!A:A, 0))</f>
        <v>75</v>
      </c>
      <c r="H218" s="12" t="str">
        <f t="shared" si="12"/>
        <v>Weekday</v>
      </c>
      <c r="I218" s="12" t="str">
        <f t="shared" si="13"/>
        <v>Working Day</v>
      </c>
      <c r="J218" s="12" t="str">
        <f t="shared" si="14"/>
        <v>Low</v>
      </c>
      <c r="K218" s="12" t="str">
        <f>INDEX('Combined_Data'!H:H, MATCH(A218, 'Combined_Data'!A:A, 0))</f>
        <v>Clear</v>
      </c>
      <c r="L218" s="13">
        <f t="shared" si="15"/>
        <v>1</v>
      </c>
    </row>
    <row r="219" spans="1:12" x14ac:dyDescent="0.35">
      <c r="A219" s="10">
        <v>218</v>
      </c>
      <c r="B219" s="11">
        <f>INDEX('Combined_Data'!B:B, MATCH(Derived_Data!A219, 'Combined_Data'!A:A, 0))</f>
        <v>40553</v>
      </c>
      <c r="C219" s="12" t="str">
        <f>INDEX('Combined_Data'!G:G, MATCH(A219, 'Combined_Data'!A:A, 0))</f>
        <v>Monday</v>
      </c>
      <c r="D219" s="12" t="b">
        <f>INDEX('Combined_Data'!F:F, MATCH(A219, 'Combined_Data'!A:A, 0))</f>
        <v>0</v>
      </c>
      <c r="E219" s="12">
        <f>INDEX('Combined_Data'!O:O, MATCH(A219, 'Combined_Data'!A:A, 0))</f>
        <v>188</v>
      </c>
      <c r="F219" s="12">
        <f>INDEX('Combined_Data'!M:M, MATCH(A219, 'Combined_Data'!A:A, 0))</f>
        <v>4</v>
      </c>
      <c r="G219" s="12">
        <f>INDEX('Combined_Data'!N:N, MATCH(A219, 'Combined_Data'!A:A, 0))</f>
        <v>184</v>
      </c>
      <c r="H219" s="12" t="str">
        <f t="shared" si="12"/>
        <v>Weekday</v>
      </c>
      <c r="I219" s="12" t="str">
        <f t="shared" si="13"/>
        <v>Working Day</v>
      </c>
      <c r="J219" s="12" t="str">
        <f t="shared" si="14"/>
        <v>High</v>
      </c>
      <c r="K219" s="12" t="str">
        <f>INDEX('Combined_Data'!H:H, MATCH(A219, 'Combined_Data'!A:A, 0))</f>
        <v>Mist</v>
      </c>
      <c r="L219" s="13">
        <f t="shared" si="15"/>
        <v>2</v>
      </c>
    </row>
    <row r="220" spans="1:12" x14ac:dyDescent="0.35">
      <c r="A220" s="10">
        <v>219</v>
      </c>
      <c r="B220" s="11">
        <f>INDEX('Combined_Data'!B:B, MATCH(Derived_Data!A220, 'Combined_Data'!A:A, 0))</f>
        <v>40553</v>
      </c>
      <c r="C220" s="12" t="str">
        <f>INDEX('Combined_Data'!G:G, MATCH(A220, 'Combined_Data'!A:A, 0))</f>
        <v>Monday</v>
      </c>
      <c r="D220" s="12" t="b">
        <f>INDEX('Combined_Data'!F:F, MATCH(A220, 'Combined_Data'!A:A, 0))</f>
        <v>0</v>
      </c>
      <c r="E220" s="12">
        <f>INDEX('Combined_Data'!O:O, MATCH(A220, 'Combined_Data'!A:A, 0))</f>
        <v>94</v>
      </c>
      <c r="F220" s="12">
        <f>INDEX('Combined_Data'!M:M, MATCH(A220, 'Combined_Data'!A:A, 0))</f>
        <v>2</v>
      </c>
      <c r="G220" s="12">
        <f>INDEX('Combined_Data'!N:N, MATCH(A220, 'Combined_Data'!A:A, 0))</f>
        <v>92</v>
      </c>
      <c r="H220" s="12" t="str">
        <f t="shared" si="12"/>
        <v>Weekday</v>
      </c>
      <c r="I220" s="12" t="str">
        <f t="shared" si="13"/>
        <v>Working Day</v>
      </c>
      <c r="J220" s="12" t="str">
        <f t="shared" si="14"/>
        <v>Low</v>
      </c>
      <c r="K220" s="12" t="str">
        <f>INDEX('Combined_Data'!H:H, MATCH(A220, 'Combined_Data'!A:A, 0))</f>
        <v>Mist</v>
      </c>
      <c r="L220" s="13">
        <f t="shared" si="15"/>
        <v>2</v>
      </c>
    </row>
    <row r="221" spans="1:12" x14ac:dyDescent="0.35">
      <c r="A221" s="10">
        <v>220</v>
      </c>
      <c r="B221" s="11">
        <f>INDEX('Combined_Data'!B:B, MATCH(Derived_Data!A221, 'Combined_Data'!A:A, 0))</f>
        <v>40553</v>
      </c>
      <c r="C221" s="12" t="str">
        <f>INDEX('Combined_Data'!G:G, MATCH(A221, 'Combined_Data'!A:A, 0))</f>
        <v>Monday</v>
      </c>
      <c r="D221" s="12" t="b">
        <f>INDEX('Combined_Data'!F:F, MATCH(A221, 'Combined_Data'!A:A, 0))</f>
        <v>0</v>
      </c>
      <c r="E221" s="12">
        <f>INDEX('Combined_Data'!O:O, MATCH(A221, 'Combined_Data'!A:A, 0))</f>
        <v>31</v>
      </c>
      <c r="F221" s="12">
        <f>INDEX('Combined_Data'!M:M, MATCH(A221, 'Combined_Data'!A:A, 0))</f>
        <v>0</v>
      </c>
      <c r="G221" s="12">
        <f>INDEX('Combined_Data'!N:N, MATCH(A221, 'Combined_Data'!A:A, 0))</f>
        <v>31</v>
      </c>
      <c r="H221" s="12" t="str">
        <f t="shared" si="12"/>
        <v>Weekday</v>
      </c>
      <c r="I221" s="12" t="str">
        <f t="shared" si="13"/>
        <v>Working Day</v>
      </c>
      <c r="J221" s="12" t="str">
        <f t="shared" si="14"/>
        <v>Low</v>
      </c>
      <c r="K221" s="12" t="str">
        <f>INDEX('Combined_Data'!H:H, MATCH(A221, 'Combined_Data'!A:A, 0))</f>
        <v>Mist</v>
      </c>
      <c r="L221" s="13">
        <f t="shared" si="15"/>
        <v>2</v>
      </c>
    </row>
    <row r="222" spans="1:12" x14ac:dyDescent="0.35">
      <c r="A222" s="10">
        <v>221</v>
      </c>
      <c r="B222" s="11">
        <f>INDEX('Combined_Data'!B:B, MATCH(Derived_Data!A222, 'Combined_Data'!A:A, 0))</f>
        <v>40553</v>
      </c>
      <c r="C222" s="12" t="str">
        <f>INDEX('Combined_Data'!G:G, MATCH(A222, 'Combined_Data'!A:A, 0))</f>
        <v>Monday</v>
      </c>
      <c r="D222" s="12" t="b">
        <f>INDEX('Combined_Data'!F:F, MATCH(A222, 'Combined_Data'!A:A, 0))</f>
        <v>0</v>
      </c>
      <c r="E222" s="12">
        <f>INDEX('Combined_Data'!O:O, MATCH(A222, 'Combined_Data'!A:A, 0))</f>
        <v>30</v>
      </c>
      <c r="F222" s="12">
        <f>INDEX('Combined_Data'!M:M, MATCH(A222, 'Combined_Data'!A:A, 0))</f>
        <v>2</v>
      </c>
      <c r="G222" s="12">
        <f>INDEX('Combined_Data'!N:N, MATCH(A222, 'Combined_Data'!A:A, 0))</f>
        <v>28</v>
      </c>
      <c r="H222" s="12" t="str">
        <f t="shared" si="12"/>
        <v>Weekday</v>
      </c>
      <c r="I222" s="12" t="str">
        <f t="shared" si="13"/>
        <v>Working Day</v>
      </c>
      <c r="J222" s="12" t="str">
        <f t="shared" si="14"/>
        <v>Low</v>
      </c>
      <c r="K222" s="12" t="str">
        <f>INDEX('Combined_Data'!H:H, MATCH(A222, 'Combined_Data'!A:A, 0))</f>
        <v>Mist</v>
      </c>
      <c r="L222" s="13">
        <f t="shared" si="15"/>
        <v>2</v>
      </c>
    </row>
    <row r="223" spans="1:12" x14ac:dyDescent="0.35">
      <c r="A223" s="10">
        <v>222</v>
      </c>
      <c r="B223" s="11">
        <f>INDEX('Combined_Data'!B:B, MATCH(Derived_Data!A223, 'Combined_Data'!A:A, 0))</f>
        <v>40553</v>
      </c>
      <c r="C223" s="12" t="str">
        <f>INDEX('Combined_Data'!G:G, MATCH(A223, 'Combined_Data'!A:A, 0))</f>
        <v>Monday</v>
      </c>
      <c r="D223" s="12" t="b">
        <f>INDEX('Combined_Data'!F:F, MATCH(A223, 'Combined_Data'!A:A, 0))</f>
        <v>0</v>
      </c>
      <c r="E223" s="12">
        <f>INDEX('Combined_Data'!O:O, MATCH(A223, 'Combined_Data'!A:A, 0))</f>
        <v>52</v>
      </c>
      <c r="F223" s="12">
        <f>INDEX('Combined_Data'!M:M, MATCH(A223, 'Combined_Data'!A:A, 0))</f>
        <v>5</v>
      </c>
      <c r="G223" s="12">
        <f>INDEX('Combined_Data'!N:N, MATCH(A223, 'Combined_Data'!A:A, 0))</f>
        <v>47</v>
      </c>
      <c r="H223" s="12" t="str">
        <f t="shared" si="12"/>
        <v>Weekday</v>
      </c>
      <c r="I223" s="12" t="str">
        <f t="shared" si="13"/>
        <v>Working Day</v>
      </c>
      <c r="J223" s="12" t="str">
        <f t="shared" si="14"/>
        <v>Low</v>
      </c>
      <c r="K223" s="12" t="str">
        <f>INDEX('Combined_Data'!H:H, MATCH(A223, 'Combined_Data'!A:A, 0))</f>
        <v>Mist</v>
      </c>
      <c r="L223" s="13">
        <f t="shared" si="15"/>
        <v>2</v>
      </c>
    </row>
    <row r="224" spans="1:12" x14ac:dyDescent="0.35">
      <c r="A224" s="10">
        <v>223</v>
      </c>
      <c r="B224" s="11">
        <f>INDEX('Combined_Data'!B:B, MATCH(Derived_Data!A224, 'Combined_Data'!A:A, 0))</f>
        <v>40553</v>
      </c>
      <c r="C224" s="12" t="str">
        <f>INDEX('Combined_Data'!G:G, MATCH(A224, 'Combined_Data'!A:A, 0))</f>
        <v>Monday</v>
      </c>
      <c r="D224" s="12" t="b">
        <f>INDEX('Combined_Data'!F:F, MATCH(A224, 'Combined_Data'!A:A, 0))</f>
        <v>0</v>
      </c>
      <c r="E224" s="12">
        <f>INDEX('Combined_Data'!O:O, MATCH(A224, 'Combined_Data'!A:A, 0))</f>
        <v>54</v>
      </c>
      <c r="F224" s="12">
        <f>INDEX('Combined_Data'!M:M, MATCH(A224, 'Combined_Data'!A:A, 0))</f>
        <v>4</v>
      </c>
      <c r="G224" s="12">
        <f>INDEX('Combined_Data'!N:N, MATCH(A224, 'Combined_Data'!A:A, 0))</f>
        <v>50</v>
      </c>
      <c r="H224" s="12" t="str">
        <f t="shared" si="12"/>
        <v>Weekday</v>
      </c>
      <c r="I224" s="12" t="str">
        <f t="shared" si="13"/>
        <v>Working Day</v>
      </c>
      <c r="J224" s="12" t="str">
        <f t="shared" si="14"/>
        <v>Low</v>
      </c>
      <c r="K224" s="12" t="str">
        <f>INDEX('Combined_Data'!H:H, MATCH(A224, 'Combined_Data'!A:A, 0))</f>
        <v>Mist</v>
      </c>
      <c r="L224" s="13">
        <f t="shared" si="15"/>
        <v>2</v>
      </c>
    </row>
    <row r="225" spans="1:12" x14ac:dyDescent="0.35">
      <c r="A225" s="10">
        <v>224</v>
      </c>
      <c r="B225" s="11">
        <f>INDEX('Combined_Data'!B:B, MATCH(Derived_Data!A225, 'Combined_Data'!A:A, 0))</f>
        <v>40553</v>
      </c>
      <c r="C225" s="12" t="str">
        <f>INDEX('Combined_Data'!G:G, MATCH(A225, 'Combined_Data'!A:A, 0))</f>
        <v>Monday</v>
      </c>
      <c r="D225" s="12" t="b">
        <f>INDEX('Combined_Data'!F:F, MATCH(A225, 'Combined_Data'!A:A, 0))</f>
        <v>0</v>
      </c>
      <c r="E225" s="12">
        <f>INDEX('Combined_Data'!O:O, MATCH(A225, 'Combined_Data'!A:A, 0))</f>
        <v>47</v>
      </c>
      <c r="F225" s="12">
        <f>INDEX('Combined_Data'!M:M, MATCH(A225, 'Combined_Data'!A:A, 0))</f>
        <v>0</v>
      </c>
      <c r="G225" s="12">
        <f>INDEX('Combined_Data'!N:N, MATCH(A225, 'Combined_Data'!A:A, 0))</f>
        <v>47</v>
      </c>
      <c r="H225" s="12" t="str">
        <f t="shared" si="12"/>
        <v>Weekday</v>
      </c>
      <c r="I225" s="12" t="str">
        <f t="shared" si="13"/>
        <v>Working Day</v>
      </c>
      <c r="J225" s="12" t="str">
        <f t="shared" si="14"/>
        <v>Low</v>
      </c>
      <c r="K225" s="12" t="str">
        <f>INDEX('Combined_Data'!H:H, MATCH(A225, 'Combined_Data'!A:A, 0))</f>
        <v>Mist</v>
      </c>
      <c r="L225" s="13">
        <f t="shared" si="15"/>
        <v>2</v>
      </c>
    </row>
    <row r="226" spans="1:12" x14ac:dyDescent="0.35">
      <c r="A226" s="10">
        <v>225</v>
      </c>
      <c r="B226" s="11">
        <f>INDEX('Combined_Data'!B:B, MATCH(Derived_Data!A226, 'Combined_Data'!A:A, 0))</f>
        <v>40553</v>
      </c>
      <c r="C226" s="12" t="str">
        <f>INDEX('Combined_Data'!G:G, MATCH(A226, 'Combined_Data'!A:A, 0))</f>
        <v>Monday</v>
      </c>
      <c r="D226" s="12" t="b">
        <f>INDEX('Combined_Data'!F:F, MATCH(A226, 'Combined_Data'!A:A, 0))</f>
        <v>0</v>
      </c>
      <c r="E226" s="12">
        <f>INDEX('Combined_Data'!O:O, MATCH(A226, 'Combined_Data'!A:A, 0))</f>
        <v>45</v>
      </c>
      <c r="F226" s="12">
        <f>INDEX('Combined_Data'!M:M, MATCH(A226, 'Combined_Data'!A:A, 0))</f>
        <v>2</v>
      </c>
      <c r="G226" s="12">
        <f>INDEX('Combined_Data'!N:N, MATCH(A226, 'Combined_Data'!A:A, 0))</f>
        <v>43</v>
      </c>
      <c r="H226" s="12" t="str">
        <f t="shared" si="12"/>
        <v>Weekday</v>
      </c>
      <c r="I226" s="12" t="str">
        <f t="shared" si="13"/>
        <v>Working Day</v>
      </c>
      <c r="J226" s="12" t="str">
        <f t="shared" si="14"/>
        <v>Low</v>
      </c>
      <c r="K226" s="12" t="str">
        <f>INDEX('Combined_Data'!H:H, MATCH(A226, 'Combined_Data'!A:A, 0))</f>
        <v>Mist</v>
      </c>
      <c r="L226" s="13">
        <f t="shared" si="15"/>
        <v>2</v>
      </c>
    </row>
    <row r="227" spans="1:12" x14ac:dyDescent="0.35">
      <c r="A227" s="10">
        <v>226</v>
      </c>
      <c r="B227" s="11">
        <f>INDEX('Combined_Data'!B:B, MATCH(Derived_Data!A227, 'Combined_Data'!A:A, 0))</f>
        <v>40553</v>
      </c>
      <c r="C227" s="12" t="str">
        <f>INDEX('Combined_Data'!G:G, MATCH(A227, 'Combined_Data'!A:A, 0))</f>
        <v>Monday</v>
      </c>
      <c r="D227" s="12" t="b">
        <f>INDEX('Combined_Data'!F:F, MATCH(A227, 'Combined_Data'!A:A, 0))</f>
        <v>0</v>
      </c>
      <c r="E227" s="12">
        <f>INDEX('Combined_Data'!O:O, MATCH(A227, 'Combined_Data'!A:A, 0))</f>
        <v>74</v>
      </c>
      <c r="F227" s="12">
        <f>INDEX('Combined_Data'!M:M, MATCH(A227, 'Combined_Data'!A:A, 0))</f>
        <v>4</v>
      </c>
      <c r="G227" s="12">
        <f>INDEX('Combined_Data'!N:N, MATCH(A227, 'Combined_Data'!A:A, 0))</f>
        <v>70</v>
      </c>
      <c r="H227" s="12" t="str">
        <f t="shared" si="12"/>
        <v>Weekday</v>
      </c>
      <c r="I227" s="12" t="str">
        <f t="shared" si="13"/>
        <v>Working Day</v>
      </c>
      <c r="J227" s="12" t="str">
        <f t="shared" si="14"/>
        <v>Low</v>
      </c>
      <c r="K227" s="12" t="str">
        <f>INDEX('Combined_Data'!H:H, MATCH(A227, 'Combined_Data'!A:A, 0))</f>
        <v>Clear</v>
      </c>
      <c r="L227" s="13">
        <f t="shared" si="15"/>
        <v>1</v>
      </c>
    </row>
    <row r="228" spans="1:12" x14ac:dyDescent="0.35">
      <c r="A228" s="10">
        <v>227</v>
      </c>
      <c r="B228" s="11">
        <f>INDEX('Combined_Data'!B:B, MATCH(Derived_Data!A228, 'Combined_Data'!A:A, 0))</f>
        <v>40553</v>
      </c>
      <c r="C228" s="12" t="str">
        <f>INDEX('Combined_Data'!G:G, MATCH(A228, 'Combined_Data'!A:A, 0))</f>
        <v>Monday</v>
      </c>
      <c r="D228" s="12" t="b">
        <f>INDEX('Combined_Data'!F:F, MATCH(A228, 'Combined_Data'!A:A, 0))</f>
        <v>0</v>
      </c>
      <c r="E228" s="12">
        <f>INDEX('Combined_Data'!O:O, MATCH(A228, 'Combined_Data'!A:A, 0))</f>
        <v>178</v>
      </c>
      <c r="F228" s="12">
        <f>INDEX('Combined_Data'!M:M, MATCH(A228, 'Combined_Data'!A:A, 0))</f>
        <v>4</v>
      </c>
      <c r="G228" s="12">
        <f>INDEX('Combined_Data'!N:N, MATCH(A228, 'Combined_Data'!A:A, 0))</f>
        <v>174</v>
      </c>
      <c r="H228" s="12" t="str">
        <f t="shared" si="12"/>
        <v>Weekday</v>
      </c>
      <c r="I228" s="12" t="str">
        <f t="shared" si="13"/>
        <v>Working Day</v>
      </c>
      <c r="J228" s="12" t="str">
        <f t="shared" si="14"/>
        <v>High</v>
      </c>
      <c r="K228" s="12" t="str">
        <f>INDEX('Combined_Data'!H:H, MATCH(A228, 'Combined_Data'!A:A, 0))</f>
        <v>Clear</v>
      </c>
      <c r="L228" s="13">
        <f t="shared" si="15"/>
        <v>1</v>
      </c>
    </row>
    <row r="229" spans="1:12" x14ac:dyDescent="0.35">
      <c r="A229" s="10">
        <v>228</v>
      </c>
      <c r="B229" s="11">
        <f>INDEX('Combined_Data'!B:B, MATCH(Derived_Data!A229, 'Combined_Data'!A:A, 0))</f>
        <v>40553</v>
      </c>
      <c r="C229" s="12" t="str">
        <f>INDEX('Combined_Data'!G:G, MATCH(A229, 'Combined_Data'!A:A, 0))</f>
        <v>Monday</v>
      </c>
      <c r="D229" s="12" t="b">
        <f>INDEX('Combined_Data'!F:F, MATCH(A229, 'Combined_Data'!A:A, 0))</f>
        <v>0</v>
      </c>
      <c r="E229" s="12">
        <f>INDEX('Combined_Data'!O:O, MATCH(A229, 'Combined_Data'!A:A, 0))</f>
        <v>155</v>
      </c>
      <c r="F229" s="12">
        <f>INDEX('Combined_Data'!M:M, MATCH(A229, 'Combined_Data'!A:A, 0))</f>
        <v>1</v>
      </c>
      <c r="G229" s="12">
        <f>INDEX('Combined_Data'!N:N, MATCH(A229, 'Combined_Data'!A:A, 0))</f>
        <v>154</v>
      </c>
      <c r="H229" s="12" t="str">
        <f t="shared" si="12"/>
        <v>Weekday</v>
      </c>
      <c r="I229" s="12" t="str">
        <f t="shared" si="13"/>
        <v>Working Day</v>
      </c>
      <c r="J229" s="12" t="str">
        <f t="shared" si="14"/>
        <v>High</v>
      </c>
      <c r="K229" s="12" t="str">
        <f>INDEX('Combined_Data'!H:H, MATCH(A229, 'Combined_Data'!A:A, 0))</f>
        <v>Clear</v>
      </c>
      <c r="L229" s="13">
        <f t="shared" si="15"/>
        <v>1</v>
      </c>
    </row>
    <row r="230" spans="1:12" x14ac:dyDescent="0.35">
      <c r="A230" s="10">
        <v>229</v>
      </c>
      <c r="B230" s="11">
        <f>INDEX('Combined_Data'!B:B, MATCH(Derived_Data!A230, 'Combined_Data'!A:A, 0))</f>
        <v>40553</v>
      </c>
      <c r="C230" s="12" t="str">
        <f>INDEX('Combined_Data'!G:G, MATCH(A230, 'Combined_Data'!A:A, 0))</f>
        <v>Monday</v>
      </c>
      <c r="D230" s="12" t="b">
        <f>INDEX('Combined_Data'!F:F, MATCH(A230, 'Combined_Data'!A:A, 0))</f>
        <v>0</v>
      </c>
      <c r="E230" s="12">
        <f>INDEX('Combined_Data'!O:O, MATCH(A230, 'Combined_Data'!A:A, 0))</f>
        <v>95</v>
      </c>
      <c r="F230" s="12">
        <f>INDEX('Combined_Data'!M:M, MATCH(A230, 'Combined_Data'!A:A, 0))</f>
        <v>3</v>
      </c>
      <c r="G230" s="12">
        <f>INDEX('Combined_Data'!N:N, MATCH(A230, 'Combined_Data'!A:A, 0))</f>
        <v>92</v>
      </c>
      <c r="H230" s="12" t="str">
        <f t="shared" si="12"/>
        <v>Weekday</v>
      </c>
      <c r="I230" s="12" t="str">
        <f t="shared" si="13"/>
        <v>Working Day</v>
      </c>
      <c r="J230" s="12" t="str">
        <f t="shared" si="14"/>
        <v>Low</v>
      </c>
      <c r="K230" s="12" t="str">
        <f>INDEX('Combined_Data'!H:H, MATCH(A230, 'Combined_Data'!A:A, 0))</f>
        <v>Clear</v>
      </c>
      <c r="L230" s="13">
        <f t="shared" si="15"/>
        <v>1</v>
      </c>
    </row>
    <row r="231" spans="1:12" x14ac:dyDescent="0.35">
      <c r="A231" s="10">
        <v>230</v>
      </c>
      <c r="B231" s="11">
        <f>INDEX('Combined_Data'!B:B, MATCH(Derived_Data!A231, 'Combined_Data'!A:A, 0))</f>
        <v>40553</v>
      </c>
      <c r="C231" s="12" t="str">
        <f>INDEX('Combined_Data'!G:G, MATCH(A231, 'Combined_Data'!A:A, 0))</f>
        <v>Monday</v>
      </c>
      <c r="D231" s="12" t="b">
        <f>INDEX('Combined_Data'!F:F, MATCH(A231, 'Combined_Data'!A:A, 0))</f>
        <v>0</v>
      </c>
      <c r="E231" s="12">
        <f>INDEX('Combined_Data'!O:O, MATCH(A231, 'Combined_Data'!A:A, 0))</f>
        <v>74</v>
      </c>
      <c r="F231" s="12">
        <f>INDEX('Combined_Data'!M:M, MATCH(A231, 'Combined_Data'!A:A, 0))</f>
        <v>1</v>
      </c>
      <c r="G231" s="12">
        <f>INDEX('Combined_Data'!N:N, MATCH(A231, 'Combined_Data'!A:A, 0))</f>
        <v>73</v>
      </c>
      <c r="H231" s="12" t="str">
        <f t="shared" si="12"/>
        <v>Weekday</v>
      </c>
      <c r="I231" s="12" t="str">
        <f t="shared" si="13"/>
        <v>Working Day</v>
      </c>
      <c r="J231" s="12" t="str">
        <f t="shared" si="14"/>
        <v>Low</v>
      </c>
      <c r="K231" s="12" t="str">
        <f>INDEX('Combined_Data'!H:H, MATCH(A231, 'Combined_Data'!A:A, 0))</f>
        <v>Clear</v>
      </c>
      <c r="L231" s="13">
        <f t="shared" si="15"/>
        <v>1</v>
      </c>
    </row>
    <row r="232" spans="1:12" x14ac:dyDescent="0.35">
      <c r="A232" s="10">
        <v>231</v>
      </c>
      <c r="B232" s="11">
        <f>INDEX('Combined_Data'!B:B, MATCH(Derived_Data!A232, 'Combined_Data'!A:A, 0))</f>
        <v>40553</v>
      </c>
      <c r="C232" s="12" t="str">
        <f>INDEX('Combined_Data'!G:G, MATCH(A232, 'Combined_Data'!A:A, 0))</f>
        <v>Monday</v>
      </c>
      <c r="D232" s="12" t="b">
        <f>INDEX('Combined_Data'!F:F, MATCH(A232, 'Combined_Data'!A:A, 0))</f>
        <v>0</v>
      </c>
      <c r="E232" s="12">
        <f>INDEX('Combined_Data'!O:O, MATCH(A232, 'Combined_Data'!A:A, 0))</f>
        <v>38</v>
      </c>
      <c r="F232" s="12">
        <f>INDEX('Combined_Data'!M:M, MATCH(A232, 'Combined_Data'!A:A, 0))</f>
        <v>1</v>
      </c>
      <c r="G232" s="12">
        <f>INDEX('Combined_Data'!N:N, MATCH(A232, 'Combined_Data'!A:A, 0))</f>
        <v>37</v>
      </c>
      <c r="H232" s="12" t="str">
        <f t="shared" si="12"/>
        <v>Weekday</v>
      </c>
      <c r="I232" s="12" t="str">
        <f t="shared" si="13"/>
        <v>Working Day</v>
      </c>
      <c r="J232" s="12" t="str">
        <f t="shared" si="14"/>
        <v>Low</v>
      </c>
      <c r="K232" s="12" t="str">
        <f>INDEX('Combined_Data'!H:H, MATCH(A232, 'Combined_Data'!A:A, 0))</f>
        <v>Clear</v>
      </c>
      <c r="L232" s="13">
        <f t="shared" si="15"/>
        <v>1</v>
      </c>
    </row>
    <row r="233" spans="1:12" x14ac:dyDescent="0.35">
      <c r="A233" s="10">
        <v>232</v>
      </c>
      <c r="B233" s="11">
        <f>INDEX('Combined_Data'!B:B, MATCH(Derived_Data!A233, 'Combined_Data'!A:A, 0))</f>
        <v>40553</v>
      </c>
      <c r="C233" s="12" t="str">
        <f>INDEX('Combined_Data'!G:G, MATCH(A233, 'Combined_Data'!A:A, 0))</f>
        <v>Monday</v>
      </c>
      <c r="D233" s="12" t="b">
        <f>INDEX('Combined_Data'!F:F, MATCH(A233, 'Combined_Data'!A:A, 0))</f>
        <v>0</v>
      </c>
      <c r="E233" s="12">
        <f>INDEX('Combined_Data'!O:O, MATCH(A233, 'Combined_Data'!A:A, 0))</f>
        <v>24</v>
      </c>
      <c r="F233" s="12">
        <f>INDEX('Combined_Data'!M:M, MATCH(A233, 'Combined_Data'!A:A, 0))</f>
        <v>2</v>
      </c>
      <c r="G233" s="12">
        <f>INDEX('Combined_Data'!N:N, MATCH(A233, 'Combined_Data'!A:A, 0))</f>
        <v>22</v>
      </c>
      <c r="H233" s="12" t="str">
        <f t="shared" si="12"/>
        <v>Weekday</v>
      </c>
      <c r="I233" s="12" t="str">
        <f t="shared" si="13"/>
        <v>Working Day</v>
      </c>
      <c r="J233" s="12" t="str">
        <f t="shared" si="14"/>
        <v>Low</v>
      </c>
      <c r="K233" s="12" t="str">
        <f>INDEX('Combined_Data'!H:H, MATCH(A233, 'Combined_Data'!A:A, 0))</f>
        <v>Clear</v>
      </c>
      <c r="L233" s="13">
        <f t="shared" si="15"/>
        <v>1</v>
      </c>
    </row>
    <row r="234" spans="1:12" x14ac:dyDescent="0.35">
      <c r="A234" s="10">
        <v>233</v>
      </c>
      <c r="B234" s="11">
        <f>INDEX('Combined_Data'!B:B, MATCH(Derived_Data!A234, 'Combined_Data'!A:A, 0))</f>
        <v>40553</v>
      </c>
      <c r="C234" s="12" t="str">
        <f>INDEX('Combined_Data'!G:G, MATCH(A234, 'Combined_Data'!A:A, 0))</f>
        <v>Monday</v>
      </c>
      <c r="D234" s="12" t="b">
        <f>INDEX('Combined_Data'!F:F, MATCH(A234, 'Combined_Data'!A:A, 0))</f>
        <v>0</v>
      </c>
      <c r="E234" s="12">
        <f>INDEX('Combined_Data'!O:O, MATCH(A234, 'Combined_Data'!A:A, 0))</f>
        <v>18</v>
      </c>
      <c r="F234" s="12">
        <f>INDEX('Combined_Data'!M:M, MATCH(A234, 'Combined_Data'!A:A, 0))</f>
        <v>0</v>
      </c>
      <c r="G234" s="12">
        <f>INDEX('Combined_Data'!N:N, MATCH(A234, 'Combined_Data'!A:A, 0))</f>
        <v>18</v>
      </c>
      <c r="H234" s="12" t="str">
        <f t="shared" si="12"/>
        <v>Weekday</v>
      </c>
      <c r="I234" s="12" t="str">
        <f t="shared" si="13"/>
        <v>Working Day</v>
      </c>
      <c r="J234" s="12" t="str">
        <f t="shared" si="14"/>
        <v>Low</v>
      </c>
      <c r="K234" s="12" t="str">
        <f>INDEX('Combined_Data'!H:H, MATCH(A234, 'Combined_Data'!A:A, 0))</f>
        <v>Clear</v>
      </c>
      <c r="L234" s="13">
        <f t="shared" si="15"/>
        <v>1</v>
      </c>
    </row>
    <row r="235" spans="1:12" x14ac:dyDescent="0.35">
      <c r="A235" s="10">
        <v>234</v>
      </c>
      <c r="B235" s="11">
        <f>INDEX('Combined_Data'!B:B, MATCH(Derived_Data!A235, 'Combined_Data'!A:A, 0))</f>
        <v>40554</v>
      </c>
      <c r="C235" s="12" t="str">
        <f>INDEX('Combined_Data'!G:G, MATCH(A235, 'Combined_Data'!A:A, 0))</f>
        <v>Tuesday</v>
      </c>
      <c r="D235" s="12" t="b">
        <f>INDEX('Combined_Data'!F:F, MATCH(A235, 'Combined_Data'!A:A, 0))</f>
        <v>0</v>
      </c>
      <c r="E235" s="12">
        <f>INDEX('Combined_Data'!O:O, MATCH(A235, 'Combined_Data'!A:A, 0))</f>
        <v>12</v>
      </c>
      <c r="F235" s="12">
        <f>INDEX('Combined_Data'!M:M, MATCH(A235, 'Combined_Data'!A:A, 0))</f>
        <v>2</v>
      </c>
      <c r="G235" s="12">
        <f>INDEX('Combined_Data'!N:N, MATCH(A235, 'Combined_Data'!A:A, 0))</f>
        <v>10</v>
      </c>
      <c r="H235" s="12" t="str">
        <f t="shared" si="12"/>
        <v>Weekday</v>
      </c>
      <c r="I235" s="12" t="str">
        <f t="shared" si="13"/>
        <v>Working Day</v>
      </c>
      <c r="J235" s="12" t="str">
        <f t="shared" si="14"/>
        <v>Low</v>
      </c>
      <c r="K235" s="12" t="str">
        <f>INDEX('Combined_Data'!H:H, MATCH(A235, 'Combined_Data'!A:A, 0))</f>
        <v>Clear</v>
      </c>
      <c r="L235" s="13">
        <f t="shared" si="15"/>
        <v>1</v>
      </c>
    </row>
    <row r="236" spans="1:12" x14ac:dyDescent="0.35">
      <c r="A236" s="10">
        <v>235</v>
      </c>
      <c r="B236" s="11">
        <f>INDEX('Combined_Data'!B:B, MATCH(Derived_Data!A236, 'Combined_Data'!A:A, 0))</f>
        <v>40554</v>
      </c>
      <c r="C236" s="12" t="str">
        <f>INDEX('Combined_Data'!G:G, MATCH(A236, 'Combined_Data'!A:A, 0))</f>
        <v>Tuesday</v>
      </c>
      <c r="D236" s="12" t="b">
        <f>INDEX('Combined_Data'!F:F, MATCH(A236, 'Combined_Data'!A:A, 0))</f>
        <v>0</v>
      </c>
      <c r="E236" s="12">
        <f>INDEX('Combined_Data'!O:O, MATCH(A236, 'Combined_Data'!A:A, 0))</f>
        <v>3</v>
      </c>
      <c r="F236" s="12">
        <f>INDEX('Combined_Data'!M:M, MATCH(A236, 'Combined_Data'!A:A, 0))</f>
        <v>0</v>
      </c>
      <c r="G236" s="12">
        <f>INDEX('Combined_Data'!N:N, MATCH(A236, 'Combined_Data'!A:A, 0))</f>
        <v>3</v>
      </c>
      <c r="H236" s="12" t="str">
        <f t="shared" si="12"/>
        <v>Weekday</v>
      </c>
      <c r="I236" s="12" t="str">
        <f t="shared" si="13"/>
        <v>Working Day</v>
      </c>
      <c r="J236" s="12" t="str">
        <f t="shared" si="14"/>
        <v>Low</v>
      </c>
      <c r="K236" s="12" t="str">
        <f>INDEX('Combined_Data'!H:H, MATCH(A236, 'Combined_Data'!A:A, 0))</f>
        <v>Clear</v>
      </c>
      <c r="L236" s="13">
        <f t="shared" si="15"/>
        <v>1</v>
      </c>
    </row>
    <row r="237" spans="1:12" x14ac:dyDescent="0.35">
      <c r="A237" s="10">
        <v>236</v>
      </c>
      <c r="B237" s="11">
        <f>INDEX('Combined_Data'!B:B, MATCH(Derived_Data!A237, 'Combined_Data'!A:A, 0))</f>
        <v>40554</v>
      </c>
      <c r="C237" s="12" t="str">
        <f>INDEX('Combined_Data'!G:G, MATCH(A237, 'Combined_Data'!A:A, 0))</f>
        <v>Tuesday</v>
      </c>
      <c r="D237" s="12" t="b">
        <f>INDEX('Combined_Data'!F:F, MATCH(A237, 'Combined_Data'!A:A, 0))</f>
        <v>0</v>
      </c>
      <c r="E237" s="12">
        <f>INDEX('Combined_Data'!O:O, MATCH(A237, 'Combined_Data'!A:A, 0))</f>
        <v>3</v>
      </c>
      <c r="F237" s="12">
        <f>INDEX('Combined_Data'!M:M, MATCH(A237, 'Combined_Data'!A:A, 0))</f>
        <v>0</v>
      </c>
      <c r="G237" s="12">
        <f>INDEX('Combined_Data'!N:N, MATCH(A237, 'Combined_Data'!A:A, 0))</f>
        <v>3</v>
      </c>
      <c r="H237" s="12" t="str">
        <f t="shared" si="12"/>
        <v>Weekday</v>
      </c>
      <c r="I237" s="12" t="str">
        <f t="shared" si="13"/>
        <v>Working Day</v>
      </c>
      <c r="J237" s="12" t="str">
        <f t="shared" si="14"/>
        <v>Low</v>
      </c>
      <c r="K237" s="12" t="str">
        <f>INDEX('Combined_Data'!H:H, MATCH(A237, 'Combined_Data'!A:A, 0))</f>
        <v>Mist</v>
      </c>
      <c r="L237" s="13">
        <f t="shared" si="15"/>
        <v>2</v>
      </c>
    </row>
    <row r="238" spans="1:12" x14ac:dyDescent="0.35">
      <c r="A238" s="10">
        <v>237</v>
      </c>
      <c r="B238" s="11">
        <f>INDEX('Combined_Data'!B:B, MATCH(Derived_Data!A238, 'Combined_Data'!A:A, 0))</f>
        <v>40554</v>
      </c>
      <c r="C238" s="12" t="str">
        <f>INDEX('Combined_Data'!G:G, MATCH(A238, 'Combined_Data'!A:A, 0))</f>
        <v>Tuesday</v>
      </c>
      <c r="D238" s="12" t="b">
        <f>INDEX('Combined_Data'!F:F, MATCH(A238, 'Combined_Data'!A:A, 0))</f>
        <v>0</v>
      </c>
      <c r="E238" s="12">
        <f>INDEX('Combined_Data'!O:O, MATCH(A238, 'Combined_Data'!A:A, 0))</f>
        <v>6</v>
      </c>
      <c r="F238" s="12">
        <f>INDEX('Combined_Data'!M:M, MATCH(A238, 'Combined_Data'!A:A, 0))</f>
        <v>0</v>
      </c>
      <c r="G238" s="12">
        <f>INDEX('Combined_Data'!N:N, MATCH(A238, 'Combined_Data'!A:A, 0))</f>
        <v>6</v>
      </c>
      <c r="H238" s="12" t="str">
        <f t="shared" si="12"/>
        <v>Weekday</v>
      </c>
      <c r="I238" s="12" t="str">
        <f t="shared" si="13"/>
        <v>Working Day</v>
      </c>
      <c r="J238" s="12" t="str">
        <f t="shared" si="14"/>
        <v>Low</v>
      </c>
      <c r="K238" s="12" t="str">
        <f>INDEX('Combined_Data'!H:H, MATCH(A238, 'Combined_Data'!A:A, 0))</f>
        <v>Mist</v>
      </c>
      <c r="L238" s="13">
        <f t="shared" si="15"/>
        <v>2</v>
      </c>
    </row>
    <row r="239" spans="1:12" x14ac:dyDescent="0.35">
      <c r="A239" s="10">
        <v>238</v>
      </c>
      <c r="B239" s="11">
        <f>INDEX('Combined_Data'!B:B, MATCH(Derived_Data!A239, 'Combined_Data'!A:A, 0))</f>
        <v>40554</v>
      </c>
      <c r="C239" s="12" t="str">
        <f>INDEX('Combined_Data'!G:G, MATCH(A239, 'Combined_Data'!A:A, 0))</f>
        <v>Tuesday</v>
      </c>
      <c r="D239" s="12" t="b">
        <f>INDEX('Combined_Data'!F:F, MATCH(A239, 'Combined_Data'!A:A, 0))</f>
        <v>0</v>
      </c>
      <c r="E239" s="12">
        <f>INDEX('Combined_Data'!O:O, MATCH(A239, 'Combined_Data'!A:A, 0))</f>
        <v>27</v>
      </c>
      <c r="F239" s="12">
        <f>INDEX('Combined_Data'!M:M, MATCH(A239, 'Combined_Data'!A:A, 0))</f>
        <v>0</v>
      </c>
      <c r="G239" s="12">
        <f>INDEX('Combined_Data'!N:N, MATCH(A239, 'Combined_Data'!A:A, 0))</f>
        <v>27</v>
      </c>
      <c r="H239" s="12" t="str">
        <f t="shared" si="12"/>
        <v>Weekday</v>
      </c>
      <c r="I239" s="12" t="str">
        <f t="shared" si="13"/>
        <v>Working Day</v>
      </c>
      <c r="J239" s="12" t="str">
        <f t="shared" si="14"/>
        <v>Low</v>
      </c>
      <c r="K239" s="12" t="str">
        <f>INDEX('Combined_Data'!H:H, MATCH(A239, 'Combined_Data'!A:A, 0))</f>
        <v>Mist</v>
      </c>
      <c r="L239" s="13">
        <f t="shared" si="15"/>
        <v>2</v>
      </c>
    </row>
    <row r="240" spans="1:12" x14ac:dyDescent="0.35">
      <c r="A240" s="10">
        <v>239</v>
      </c>
      <c r="B240" s="11">
        <f>INDEX('Combined_Data'!B:B, MATCH(Derived_Data!A240, 'Combined_Data'!A:A, 0))</f>
        <v>40554</v>
      </c>
      <c r="C240" s="12" t="str">
        <f>INDEX('Combined_Data'!G:G, MATCH(A240, 'Combined_Data'!A:A, 0))</f>
        <v>Tuesday</v>
      </c>
      <c r="D240" s="12" t="b">
        <f>INDEX('Combined_Data'!F:F, MATCH(A240, 'Combined_Data'!A:A, 0))</f>
        <v>0</v>
      </c>
      <c r="E240" s="12">
        <f>INDEX('Combined_Data'!O:O, MATCH(A240, 'Combined_Data'!A:A, 0))</f>
        <v>99</v>
      </c>
      <c r="F240" s="12">
        <f>INDEX('Combined_Data'!M:M, MATCH(A240, 'Combined_Data'!A:A, 0))</f>
        <v>2</v>
      </c>
      <c r="G240" s="12">
        <f>INDEX('Combined_Data'!N:N, MATCH(A240, 'Combined_Data'!A:A, 0))</f>
        <v>97</v>
      </c>
      <c r="H240" s="12" t="str">
        <f t="shared" si="12"/>
        <v>Weekday</v>
      </c>
      <c r="I240" s="12" t="str">
        <f t="shared" si="13"/>
        <v>Working Day</v>
      </c>
      <c r="J240" s="12" t="str">
        <f t="shared" si="14"/>
        <v>Low</v>
      </c>
      <c r="K240" s="12" t="str">
        <f>INDEX('Combined_Data'!H:H, MATCH(A240, 'Combined_Data'!A:A, 0))</f>
        <v>Mist</v>
      </c>
      <c r="L240" s="13">
        <f t="shared" si="15"/>
        <v>2</v>
      </c>
    </row>
    <row r="241" spans="1:12" x14ac:dyDescent="0.35">
      <c r="A241" s="10">
        <v>240</v>
      </c>
      <c r="B241" s="11">
        <f>INDEX('Combined_Data'!B:B, MATCH(Derived_Data!A241, 'Combined_Data'!A:A, 0))</f>
        <v>40554</v>
      </c>
      <c r="C241" s="12" t="str">
        <f>INDEX('Combined_Data'!G:G, MATCH(A241, 'Combined_Data'!A:A, 0))</f>
        <v>Tuesday</v>
      </c>
      <c r="D241" s="12" t="b">
        <f>INDEX('Combined_Data'!F:F, MATCH(A241, 'Combined_Data'!A:A, 0))</f>
        <v>0</v>
      </c>
      <c r="E241" s="12">
        <f>INDEX('Combined_Data'!O:O, MATCH(A241, 'Combined_Data'!A:A, 0))</f>
        <v>217</v>
      </c>
      <c r="F241" s="12">
        <f>INDEX('Combined_Data'!M:M, MATCH(A241, 'Combined_Data'!A:A, 0))</f>
        <v>3</v>
      </c>
      <c r="G241" s="12">
        <f>INDEX('Combined_Data'!N:N, MATCH(A241, 'Combined_Data'!A:A, 0))</f>
        <v>214</v>
      </c>
      <c r="H241" s="12" t="str">
        <f t="shared" si="12"/>
        <v>Weekday</v>
      </c>
      <c r="I241" s="12" t="str">
        <f t="shared" si="13"/>
        <v>Working Day</v>
      </c>
      <c r="J241" s="12" t="str">
        <f t="shared" si="14"/>
        <v>High</v>
      </c>
      <c r="K241" s="12" t="str">
        <f>INDEX('Combined_Data'!H:H, MATCH(A241, 'Combined_Data'!A:A, 0))</f>
        <v>Mist</v>
      </c>
      <c r="L241" s="13">
        <f t="shared" si="15"/>
        <v>2</v>
      </c>
    </row>
    <row r="242" spans="1:12" x14ac:dyDescent="0.35">
      <c r="A242" s="10">
        <v>241</v>
      </c>
      <c r="B242" s="11">
        <f>INDEX('Combined_Data'!B:B, MATCH(Derived_Data!A242, 'Combined_Data'!A:A, 0))</f>
        <v>40554</v>
      </c>
      <c r="C242" s="12" t="str">
        <f>INDEX('Combined_Data'!G:G, MATCH(A242, 'Combined_Data'!A:A, 0))</f>
        <v>Tuesday</v>
      </c>
      <c r="D242" s="12" t="b">
        <f>INDEX('Combined_Data'!F:F, MATCH(A242, 'Combined_Data'!A:A, 0))</f>
        <v>0</v>
      </c>
      <c r="E242" s="12">
        <f>INDEX('Combined_Data'!O:O, MATCH(A242, 'Combined_Data'!A:A, 0))</f>
        <v>130</v>
      </c>
      <c r="F242" s="12">
        <f>INDEX('Combined_Data'!M:M, MATCH(A242, 'Combined_Data'!A:A, 0))</f>
        <v>3</v>
      </c>
      <c r="G242" s="12">
        <f>INDEX('Combined_Data'!N:N, MATCH(A242, 'Combined_Data'!A:A, 0))</f>
        <v>127</v>
      </c>
      <c r="H242" s="12" t="str">
        <f t="shared" si="12"/>
        <v>Weekday</v>
      </c>
      <c r="I242" s="12" t="str">
        <f t="shared" si="13"/>
        <v>Working Day</v>
      </c>
      <c r="J242" s="12" t="str">
        <f t="shared" si="14"/>
        <v>Medium</v>
      </c>
      <c r="K242" s="12" t="str">
        <f>INDEX('Combined_Data'!H:H, MATCH(A242, 'Combined_Data'!A:A, 0))</f>
        <v>Mist</v>
      </c>
      <c r="L242" s="13">
        <f t="shared" si="15"/>
        <v>2</v>
      </c>
    </row>
    <row r="243" spans="1:12" x14ac:dyDescent="0.35">
      <c r="A243" s="10">
        <v>242</v>
      </c>
      <c r="B243" s="11">
        <f>INDEX('Combined_Data'!B:B, MATCH(Derived_Data!A243, 'Combined_Data'!A:A, 0))</f>
        <v>40554</v>
      </c>
      <c r="C243" s="12" t="str">
        <f>INDEX('Combined_Data'!G:G, MATCH(A243, 'Combined_Data'!A:A, 0))</f>
        <v>Tuesday</v>
      </c>
      <c r="D243" s="12" t="b">
        <f>INDEX('Combined_Data'!F:F, MATCH(A243, 'Combined_Data'!A:A, 0))</f>
        <v>0</v>
      </c>
      <c r="E243" s="12">
        <f>INDEX('Combined_Data'!O:O, MATCH(A243, 'Combined_Data'!A:A, 0))</f>
        <v>54</v>
      </c>
      <c r="F243" s="12">
        <f>INDEX('Combined_Data'!M:M, MATCH(A243, 'Combined_Data'!A:A, 0))</f>
        <v>3</v>
      </c>
      <c r="G243" s="12">
        <f>INDEX('Combined_Data'!N:N, MATCH(A243, 'Combined_Data'!A:A, 0))</f>
        <v>51</v>
      </c>
      <c r="H243" s="12" t="str">
        <f t="shared" si="12"/>
        <v>Weekday</v>
      </c>
      <c r="I243" s="12" t="str">
        <f t="shared" si="13"/>
        <v>Working Day</v>
      </c>
      <c r="J243" s="12" t="str">
        <f t="shared" si="14"/>
        <v>Low</v>
      </c>
      <c r="K243" s="12" t="str">
        <f>INDEX('Combined_Data'!H:H, MATCH(A243, 'Combined_Data'!A:A, 0))</f>
        <v>Mist</v>
      </c>
      <c r="L243" s="13">
        <f t="shared" si="15"/>
        <v>2</v>
      </c>
    </row>
    <row r="244" spans="1:12" x14ac:dyDescent="0.35">
      <c r="A244" s="10">
        <v>243</v>
      </c>
      <c r="B244" s="11">
        <f>INDEX('Combined_Data'!B:B, MATCH(Derived_Data!A244, 'Combined_Data'!A:A, 0))</f>
        <v>40554</v>
      </c>
      <c r="C244" s="12" t="str">
        <f>INDEX('Combined_Data'!G:G, MATCH(A244, 'Combined_Data'!A:A, 0))</f>
        <v>Tuesday</v>
      </c>
      <c r="D244" s="12" t="b">
        <f>INDEX('Combined_Data'!F:F, MATCH(A244, 'Combined_Data'!A:A, 0))</f>
        <v>0</v>
      </c>
      <c r="E244" s="12">
        <f>INDEX('Combined_Data'!O:O, MATCH(A244, 'Combined_Data'!A:A, 0))</f>
        <v>35</v>
      </c>
      <c r="F244" s="12">
        <f>INDEX('Combined_Data'!M:M, MATCH(A244, 'Combined_Data'!A:A, 0))</f>
        <v>4</v>
      </c>
      <c r="G244" s="12">
        <f>INDEX('Combined_Data'!N:N, MATCH(A244, 'Combined_Data'!A:A, 0))</f>
        <v>31</v>
      </c>
      <c r="H244" s="12" t="str">
        <f t="shared" si="12"/>
        <v>Weekday</v>
      </c>
      <c r="I244" s="12" t="str">
        <f t="shared" si="13"/>
        <v>Working Day</v>
      </c>
      <c r="J244" s="12" t="str">
        <f t="shared" si="14"/>
        <v>Low</v>
      </c>
      <c r="K244" s="12" t="str">
        <f>INDEX('Combined_Data'!H:H, MATCH(A244, 'Combined_Data'!A:A, 0))</f>
        <v>Mist</v>
      </c>
      <c r="L244" s="13">
        <f t="shared" si="15"/>
        <v>2</v>
      </c>
    </row>
    <row r="245" spans="1:12" x14ac:dyDescent="0.35">
      <c r="A245" s="10">
        <v>244</v>
      </c>
      <c r="B245" s="11">
        <f>INDEX('Combined_Data'!B:B, MATCH(Derived_Data!A245, 'Combined_Data'!A:A, 0))</f>
        <v>40554</v>
      </c>
      <c r="C245" s="12" t="str">
        <f>INDEX('Combined_Data'!G:G, MATCH(A245, 'Combined_Data'!A:A, 0))</f>
        <v>Tuesday</v>
      </c>
      <c r="D245" s="12" t="b">
        <f>INDEX('Combined_Data'!F:F, MATCH(A245, 'Combined_Data'!A:A, 0))</f>
        <v>0</v>
      </c>
      <c r="E245" s="12">
        <f>INDEX('Combined_Data'!O:O, MATCH(A245, 'Combined_Data'!A:A, 0))</f>
        <v>57</v>
      </c>
      <c r="F245" s="12">
        <f>INDEX('Combined_Data'!M:M, MATCH(A245, 'Combined_Data'!A:A, 0))</f>
        <v>2</v>
      </c>
      <c r="G245" s="12">
        <f>INDEX('Combined_Data'!N:N, MATCH(A245, 'Combined_Data'!A:A, 0))</f>
        <v>55</v>
      </c>
      <c r="H245" s="12" t="str">
        <f t="shared" si="12"/>
        <v>Weekday</v>
      </c>
      <c r="I245" s="12" t="str">
        <f t="shared" si="13"/>
        <v>Working Day</v>
      </c>
      <c r="J245" s="12" t="str">
        <f t="shared" si="14"/>
        <v>Low</v>
      </c>
      <c r="K245" s="12" t="str">
        <f>INDEX('Combined_Data'!H:H, MATCH(A245, 'Combined_Data'!A:A, 0))</f>
        <v>Mist</v>
      </c>
      <c r="L245" s="13">
        <f t="shared" si="15"/>
        <v>2</v>
      </c>
    </row>
    <row r="246" spans="1:12" x14ac:dyDescent="0.35">
      <c r="A246" s="10">
        <v>245</v>
      </c>
      <c r="B246" s="11">
        <f>INDEX('Combined_Data'!B:B, MATCH(Derived_Data!A246, 'Combined_Data'!A:A, 0))</f>
        <v>40554</v>
      </c>
      <c r="C246" s="12" t="str">
        <f>INDEX('Combined_Data'!G:G, MATCH(A246, 'Combined_Data'!A:A, 0))</f>
        <v>Tuesday</v>
      </c>
      <c r="D246" s="12" t="b">
        <f>INDEX('Combined_Data'!F:F, MATCH(A246, 'Combined_Data'!A:A, 0))</f>
        <v>0</v>
      </c>
      <c r="E246" s="12">
        <f>INDEX('Combined_Data'!O:O, MATCH(A246, 'Combined_Data'!A:A, 0))</f>
        <v>52</v>
      </c>
      <c r="F246" s="12">
        <f>INDEX('Combined_Data'!M:M, MATCH(A246, 'Combined_Data'!A:A, 0))</f>
        <v>6</v>
      </c>
      <c r="G246" s="12">
        <f>INDEX('Combined_Data'!N:N, MATCH(A246, 'Combined_Data'!A:A, 0))</f>
        <v>46</v>
      </c>
      <c r="H246" s="12" t="str">
        <f t="shared" si="12"/>
        <v>Weekday</v>
      </c>
      <c r="I246" s="12" t="str">
        <f t="shared" si="13"/>
        <v>Working Day</v>
      </c>
      <c r="J246" s="12" t="str">
        <f t="shared" si="14"/>
        <v>Low</v>
      </c>
      <c r="K246" s="12" t="str">
        <f>INDEX('Combined_Data'!H:H, MATCH(A246, 'Combined_Data'!A:A, 0))</f>
        <v>Mist</v>
      </c>
      <c r="L246" s="13">
        <f t="shared" si="15"/>
        <v>2</v>
      </c>
    </row>
    <row r="247" spans="1:12" x14ac:dyDescent="0.35">
      <c r="A247" s="10">
        <v>246</v>
      </c>
      <c r="B247" s="11">
        <f>INDEX('Combined_Data'!B:B, MATCH(Derived_Data!A247, 'Combined_Data'!A:A, 0))</f>
        <v>40554</v>
      </c>
      <c r="C247" s="12" t="str">
        <f>INDEX('Combined_Data'!G:G, MATCH(A247, 'Combined_Data'!A:A, 0))</f>
        <v>Tuesday</v>
      </c>
      <c r="D247" s="12" t="b">
        <f>INDEX('Combined_Data'!F:F, MATCH(A247, 'Combined_Data'!A:A, 0))</f>
        <v>0</v>
      </c>
      <c r="E247" s="12">
        <f>INDEX('Combined_Data'!O:O, MATCH(A247, 'Combined_Data'!A:A, 0))</f>
        <v>63</v>
      </c>
      <c r="F247" s="12">
        <f>INDEX('Combined_Data'!M:M, MATCH(A247, 'Combined_Data'!A:A, 0))</f>
        <v>3</v>
      </c>
      <c r="G247" s="12">
        <f>INDEX('Combined_Data'!N:N, MATCH(A247, 'Combined_Data'!A:A, 0))</f>
        <v>60</v>
      </c>
      <c r="H247" s="12" t="str">
        <f t="shared" si="12"/>
        <v>Weekday</v>
      </c>
      <c r="I247" s="12" t="str">
        <f t="shared" si="13"/>
        <v>Working Day</v>
      </c>
      <c r="J247" s="12" t="str">
        <f t="shared" si="14"/>
        <v>Low</v>
      </c>
      <c r="K247" s="12" t="str">
        <f>INDEX('Combined_Data'!H:H, MATCH(A247, 'Combined_Data'!A:A, 0))</f>
        <v>Mist</v>
      </c>
      <c r="L247" s="13">
        <f t="shared" si="15"/>
        <v>2</v>
      </c>
    </row>
    <row r="248" spans="1:12" x14ac:dyDescent="0.35">
      <c r="A248" s="10">
        <v>247</v>
      </c>
      <c r="B248" s="11">
        <f>INDEX('Combined_Data'!B:B, MATCH(Derived_Data!A248, 'Combined_Data'!A:A, 0))</f>
        <v>40554</v>
      </c>
      <c r="C248" s="12" t="str">
        <f>INDEX('Combined_Data'!G:G, MATCH(A248, 'Combined_Data'!A:A, 0))</f>
        <v>Tuesday</v>
      </c>
      <c r="D248" s="12" t="b">
        <f>INDEX('Combined_Data'!F:F, MATCH(A248, 'Combined_Data'!A:A, 0))</f>
        <v>0</v>
      </c>
      <c r="E248" s="12">
        <f>INDEX('Combined_Data'!O:O, MATCH(A248, 'Combined_Data'!A:A, 0))</f>
        <v>47</v>
      </c>
      <c r="F248" s="12">
        <f>INDEX('Combined_Data'!M:M, MATCH(A248, 'Combined_Data'!A:A, 0))</f>
        <v>2</v>
      </c>
      <c r="G248" s="12">
        <f>INDEX('Combined_Data'!N:N, MATCH(A248, 'Combined_Data'!A:A, 0))</f>
        <v>45</v>
      </c>
      <c r="H248" s="12" t="str">
        <f t="shared" si="12"/>
        <v>Weekday</v>
      </c>
      <c r="I248" s="12" t="str">
        <f t="shared" si="13"/>
        <v>Working Day</v>
      </c>
      <c r="J248" s="12" t="str">
        <f t="shared" si="14"/>
        <v>Low</v>
      </c>
      <c r="K248" s="12" t="str">
        <f>INDEX('Combined_Data'!H:H, MATCH(A248, 'Combined_Data'!A:A, 0))</f>
        <v>Mist</v>
      </c>
      <c r="L248" s="13">
        <f t="shared" si="15"/>
        <v>2</v>
      </c>
    </row>
    <row r="249" spans="1:12" x14ac:dyDescent="0.35">
      <c r="A249" s="10">
        <v>248</v>
      </c>
      <c r="B249" s="11">
        <f>INDEX('Combined_Data'!B:B, MATCH(Derived_Data!A249, 'Combined_Data'!A:A, 0))</f>
        <v>40554</v>
      </c>
      <c r="C249" s="12" t="str">
        <f>INDEX('Combined_Data'!G:G, MATCH(A249, 'Combined_Data'!A:A, 0))</f>
        <v>Tuesday</v>
      </c>
      <c r="D249" s="12" t="b">
        <f>INDEX('Combined_Data'!F:F, MATCH(A249, 'Combined_Data'!A:A, 0))</f>
        <v>0</v>
      </c>
      <c r="E249" s="12">
        <f>INDEX('Combined_Data'!O:O, MATCH(A249, 'Combined_Data'!A:A, 0))</f>
        <v>76</v>
      </c>
      <c r="F249" s="12">
        <f>INDEX('Combined_Data'!M:M, MATCH(A249, 'Combined_Data'!A:A, 0))</f>
        <v>4</v>
      </c>
      <c r="G249" s="12">
        <f>INDEX('Combined_Data'!N:N, MATCH(A249, 'Combined_Data'!A:A, 0))</f>
        <v>72</v>
      </c>
      <c r="H249" s="12" t="str">
        <f t="shared" si="12"/>
        <v>Weekday</v>
      </c>
      <c r="I249" s="12" t="str">
        <f t="shared" si="13"/>
        <v>Working Day</v>
      </c>
      <c r="J249" s="12" t="str">
        <f t="shared" si="14"/>
        <v>Low</v>
      </c>
      <c r="K249" s="12" t="str">
        <f>INDEX('Combined_Data'!H:H, MATCH(A249, 'Combined_Data'!A:A, 0))</f>
        <v>Mist</v>
      </c>
      <c r="L249" s="13">
        <f t="shared" si="15"/>
        <v>2</v>
      </c>
    </row>
    <row r="250" spans="1:12" x14ac:dyDescent="0.35">
      <c r="A250" s="10">
        <v>249</v>
      </c>
      <c r="B250" s="11">
        <f>INDEX('Combined_Data'!B:B, MATCH(Derived_Data!A250, 'Combined_Data'!A:A, 0))</f>
        <v>40554</v>
      </c>
      <c r="C250" s="12" t="str">
        <f>INDEX('Combined_Data'!G:G, MATCH(A250, 'Combined_Data'!A:A, 0))</f>
        <v>Tuesday</v>
      </c>
      <c r="D250" s="12" t="b">
        <f>INDEX('Combined_Data'!F:F, MATCH(A250, 'Combined_Data'!A:A, 0))</f>
        <v>0</v>
      </c>
      <c r="E250" s="12">
        <f>INDEX('Combined_Data'!O:O, MATCH(A250, 'Combined_Data'!A:A, 0))</f>
        <v>136</v>
      </c>
      <c r="F250" s="12">
        <f>INDEX('Combined_Data'!M:M, MATCH(A250, 'Combined_Data'!A:A, 0))</f>
        <v>6</v>
      </c>
      <c r="G250" s="12">
        <f>INDEX('Combined_Data'!N:N, MATCH(A250, 'Combined_Data'!A:A, 0))</f>
        <v>130</v>
      </c>
      <c r="H250" s="12" t="str">
        <f t="shared" si="12"/>
        <v>Weekday</v>
      </c>
      <c r="I250" s="12" t="str">
        <f t="shared" si="13"/>
        <v>Working Day</v>
      </c>
      <c r="J250" s="12" t="str">
        <f t="shared" si="14"/>
        <v>Medium</v>
      </c>
      <c r="K250" s="12" t="str">
        <f>INDEX('Combined_Data'!H:H, MATCH(A250, 'Combined_Data'!A:A, 0))</f>
        <v>Mist</v>
      </c>
      <c r="L250" s="13">
        <f t="shared" si="15"/>
        <v>2</v>
      </c>
    </row>
    <row r="251" spans="1:12" x14ac:dyDescent="0.35">
      <c r="A251" s="10">
        <v>250</v>
      </c>
      <c r="B251" s="11">
        <f>INDEX('Combined_Data'!B:B, MATCH(Derived_Data!A251, 'Combined_Data'!A:A, 0))</f>
        <v>40554</v>
      </c>
      <c r="C251" s="12" t="str">
        <f>INDEX('Combined_Data'!G:G, MATCH(A251, 'Combined_Data'!A:A, 0))</f>
        <v>Tuesday</v>
      </c>
      <c r="D251" s="12" t="b">
        <f>INDEX('Combined_Data'!F:F, MATCH(A251, 'Combined_Data'!A:A, 0))</f>
        <v>0</v>
      </c>
      <c r="E251" s="12">
        <f>INDEX('Combined_Data'!O:O, MATCH(A251, 'Combined_Data'!A:A, 0))</f>
        <v>95</v>
      </c>
      <c r="F251" s="12">
        <f>INDEX('Combined_Data'!M:M, MATCH(A251, 'Combined_Data'!A:A, 0))</f>
        <v>1</v>
      </c>
      <c r="G251" s="12">
        <f>INDEX('Combined_Data'!N:N, MATCH(A251, 'Combined_Data'!A:A, 0))</f>
        <v>94</v>
      </c>
      <c r="H251" s="12" t="str">
        <f t="shared" si="12"/>
        <v>Weekday</v>
      </c>
      <c r="I251" s="12" t="str">
        <f t="shared" si="13"/>
        <v>Working Day</v>
      </c>
      <c r="J251" s="12" t="str">
        <f t="shared" si="14"/>
        <v>Low</v>
      </c>
      <c r="K251" s="12" t="str">
        <f>INDEX('Combined_Data'!H:H, MATCH(A251, 'Combined_Data'!A:A, 0))</f>
        <v>Light Snow</v>
      </c>
      <c r="L251" s="13">
        <f t="shared" si="15"/>
        <v>3</v>
      </c>
    </row>
    <row r="252" spans="1:12" x14ac:dyDescent="0.35">
      <c r="A252" s="10">
        <v>251</v>
      </c>
      <c r="B252" s="11">
        <f>INDEX('Combined_Data'!B:B, MATCH(Derived_Data!A252, 'Combined_Data'!A:A, 0))</f>
        <v>40554</v>
      </c>
      <c r="C252" s="12" t="str">
        <f>INDEX('Combined_Data'!G:G, MATCH(A252, 'Combined_Data'!A:A, 0))</f>
        <v>Tuesday</v>
      </c>
      <c r="D252" s="12" t="b">
        <f>INDEX('Combined_Data'!F:F, MATCH(A252, 'Combined_Data'!A:A, 0))</f>
        <v>0</v>
      </c>
      <c r="E252" s="12">
        <f>INDEX('Combined_Data'!O:O, MATCH(A252, 'Combined_Data'!A:A, 0))</f>
        <v>51</v>
      </c>
      <c r="F252" s="12">
        <f>INDEX('Combined_Data'!M:M, MATCH(A252, 'Combined_Data'!A:A, 0))</f>
        <v>0</v>
      </c>
      <c r="G252" s="12">
        <f>INDEX('Combined_Data'!N:N, MATCH(A252, 'Combined_Data'!A:A, 0))</f>
        <v>51</v>
      </c>
      <c r="H252" s="12" t="str">
        <f t="shared" si="12"/>
        <v>Weekday</v>
      </c>
      <c r="I252" s="12" t="str">
        <f t="shared" si="13"/>
        <v>Working Day</v>
      </c>
      <c r="J252" s="12" t="str">
        <f t="shared" si="14"/>
        <v>Low</v>
      </c>
      <c r="K252" s="12" t="str">
        <f>INDEX('Combined_Data'!H:H, MATCH(A252, 'Combined_Data'!A:A, 0))</f>
        <v>Light Snow</v>
      </c>
      <c r="L252" s="13">
        <f t="shared" si="15"/>
        <v>3</v>
      </c>
    </row>
    <row r="253" spans="1:12" x14ac:dyDescent="0.35">
      <c r="A253" s="10">
        <v>252</v>
      </c>
      <c r="B253" s="11">
        <f>INDEX('Combined_Data'!B:B, MATCH(Derived_Data!A253, 'Combined_Data'!A:A, 0))</f>
        <v>40554</v>
      </c>
      <c r="C253" s="12" t="str">
        <f>INDEX('Combined_Data'!G:G, MATCH(A253, 'Combined_Data'!A:A, 0))</f>
        <v>Tuesday</v>
      </c>
      <c r="D253" s="12" t="b">
        <f>INDEX('Combined_Data'!F:F, MATCH(A253, 'Combined_Data'!A:A, 0))</f>
        <v>0</v>
      </c>
      <c r="E253" s="12">
        <f>INDEX('Combined_Data'!O:O, MATCH(A253, 'Combined_Data'!A:A, 0))</f>
        <v>32</v>
      </c>
      <c r="F253" s="12">
        <f>INDEX('Combined_Data'!M:M, MATCH(A253, 'Combined_Data'!A:A, 0))</f>
        <v>0</v>
      </c>
      <c r="G253" s="12">
        <f>INDEX('Combined_Data'!N:N, MATCH(A253, 'Combined_Data'!A:A, 0))</f>
        <v>32</v>
      </c>
      <c r="H253" s="12" t="str">
        <f t="shared" si="12"/>
        <v>Weekday</v>
      </c>
      <c r="I253" s="12" t="str">
        <f t="shared" si="13"/>
        <v>Working Day</v>
      </c>
      <c r="J253" s="12" t="str">
        <f t="shared" si="14"/>
        <v>Low</v>
      </c>
      <c r="K253" s="12" t="str">
        <f>INDEX('Combined_Data'!H:H, MATCH(A253, 'Combined_Data'!A:A, 0))</f>
        <v>Light Snow</v>
      </c>
      <c r="L253" s="13">
        <f t="shared" si="15"/>
        <v>3</v>
      </c>
    </row>
    <row r="254" spans="1:12" x14ac:dyDescent="0.35">
      <c r="A254" s="10">
        <v>253</v>
      </c>
      <c r="B254" s="11">
        <f>INDEX('Combined_Data'!B:B, MATCH(Derived_Data!A254, 'Combined_Data'!A:A, 0))</f>
        <v>40554</v>
      </c>
      <c r="C254" s="12" t="str">
        <f>INDEX('Combined_Data'!G:G, MATCH(A254, 'Combined_Data'!A:A, 0))</f>
        <v>Tuesday</v>
      </c>
      <c r="D254" s="12" t="b">
        <f>INDEX('Combined_Data'!F:F, MATCH(A254, 'Combined_Data'!A:A, 0))</f>
        <v>0</v>
      </c>
      <c r="E254" s="12">
        <f>INDEX('Combined_Data'!O:O, MATCH(A254, 'Combined_Data'!A:A, 0))</f>
        <v>20</v>
      </c>
      <c r="F254" s="12">
        <f>INDEX('Combined_Data'!M:M, MATCH(A254, 'Combined_Data'!A:A, 0))</f>
        <v>0</v>
      </c>
      <c r="G254" s="12">
        <f>INDEX('Combined_Data'!N:N, MATCH(A254, 'Combined_Data'!A:A, 0))</f>
        <v>20</v>
      </c>
      <c r="H254" s="12" t="str">
        <f t="shared" si="12"/>
        <v>Weekday</v>
      </c>
      <c r="I254" s="12" t="str">
        <f t="shared" si="13"/>
        <v>Working Day</v>
      </c>
      <c r="J254" s="12" t="str">
        <f t="shared" si="14"/>
        <v>Low</v>
      </c>
      <c r="K254" s="12" t="str">
        <f>INDEX('Combined_Data'!H:H, MATCH(A254, 'Combined_Data'!A:A, 0))</f>
        <v>Light Snow</v>
      </c>
      <c r="L254" s="13">
        <f t="shared" si="15"/>
        <v>3</v>
      </c>
    </row>
    <row r="255" spans="1:12" x14ac:dyDescent="0.35">
      <c r="A255" s="10">
        <v>254</v>
      </c>
      <c r="B255" s="11">
        <f>INDEX('Combined_Data'!B:B, MATCH(Derived_Data!A255, 'Combined_Data'!A:A, 0))</f>
        <v>40554</v>
      </c>
      <c r="C255" s="12" t="str">
        <f>INDEX('Combined_Data'!G:G, MATCH(A255, 'Combined_Data'!A:A, 0))</f>
        <v>Tuesday</v>
      </c>
      <c r="D255" s="12" t="b">
        <f>INDEX('Combined_Data'!F:F, MATCH(A255, 'Combined_Data'!A:A, 0))</f>
        <v>0</v>
      </c>
      <c r="E255" s="12">
        <f>INDEX('Combined_Data'!O:O, MATCH(A255, 'Combined_Data'!A:A, 0))</f>
        <v>29</v>
      </c>
      <c r="F255" s="12">
        <f>INDEX('Combined_Data'!M:M, MATCH(A255, 'Combined_Data'!A:A, 0))</f>
        <v>1</v>
      </c>
      <c r="G255" s="12">
        <f>INDEX('Combined_Data'!N:N, MATCH(A255, 'Combined_Data'!A:A, 0))</f>
        <v>28</v>
      </c>
      <c r="H255" s="12" t="str">
        <f t="shared" si="12"/>
        <v>Weekday</v>
      </c>
      <c r="I255" s="12" t="str">
        <f t="shared" si="13"/>
        <v>Working Day</v>
      </c>
      <c r="J255" s="12" t="str">
        <f t="shared" si="14"/>
        <v>Low</v>
      </c>
      <c r="K255" s="12" t="str">
        <f>INDEX('Combined_Data'!H:H, MATCH(A255, 'Combined_Data'!A:A, 0))</f>
        <v>Light Snow</v>
      </c>
      <c r="L255" s="13">
        <f t="shared" si="15"/>
        <v>3</v>
      </c>
    </row>
    <row r="256" spans="1:12" x14ac:dyDescent="0.35">
      <c r="A256" s="10">
        <v>255</v>
      </c>
      <c r="B256" s="11">
        <f>INDEX('Combined_Data'!B:B, MATCH(Derived_Data!A256, 'Combined_Data'!A:A, 0))</f>
        <v>40554</v>
      </c>
      <c r="C256" s="12" t="str">
        <f>INDEX('Combined_Data'!G:G, MATCH(A256, 'Combined_Data'!A:A, 0))</f>
        <v>Tuesday</v>
      </c>
      <c r="D256" s="12" t="b">
        <f>INDEX('Combined_Data'!F:F, MATCH(A256, 'Combined_Data'!A:A, 0))</f>
        <v>0</v>
      </c>
      <c r="E256" s="12">
        <f>INDEX('Combined_Data'!O:O, MATCH(A256, 'Combined_Data'!A:A, 0))</f>
        <v>19</v>
      </c>
      <c r="F256" s="12">
        <f>INDEX('Combined_Data'!M:M, MATCH(A256, 'Combined_Data'!A:A, 0))</f>
        <v>1</v>
      </c>
      <c r="G256" s="12">
        <f>INDEX('Combined_Data'!N:N, MATCH(A256, 'Combined_Data'!A:A, 0))</f>
        <v>18</v>
      </c>
      <c r="H256" s="12" t="str">
        <f t="shared" si="12"/>
        <v>Weekday</v>
      </c>
      <c r="I256" s="12" t="str">
        <f t="shared" si="13"/>
        <v>Working Day</v>
      </c>
      <c r="J256" s="12" t="str">
        <f t="shared" si="14"/>
        <v>Low</v>
      </c>
      <c r="K256" s="12" t="str">
        <f>INDEX('Combined_Data'!H:H, MATCH(A256, 'Combined_Data'!A:A, 0))</f>
        <v>Light Snow</v>
      </c>
      <c r="L256" s="13">
        <f t="shared" si="15"/>
        <v>3</v>
      </c>
    </row>
    <row r="257" spans="1:12" x14ac:dyDescent="0.35">
      <c r="A257" s="10">
        <v>256</v>
      </c>
      <c r="B257" s="11">
        <f>INDEX('Combined_Data'!B:B, MATCH(Derived_Data!A257, 'Combined_Data'!A:A, 0))</f>
        <v>40555</v>
      </c>
      <c r="C257" s="12" t="str">
        <f>INDEX('Combined_Data'!G:G, MATCH(A257, 'Combined_Data'!A:A, 0))</f>
        <v>Wednesday</v>
      </c>
      <c r="D257" s="12" t="b">
        <f>INDEX('Combined_Data'!F:F, MATCH(A257, 'Combined_Data'!A:A, 0))</f>
        <v>0</v>
      </c>
      <c r="E257" s="12">
        <f>INDEX('Combined_Data'!O:O, MATCH(A257, 'Combined_Data'!A:A, 0))</f>
        <v>7</v>
      </c>
      <c r="F257" s="12">
        <f>INDEX('Combined_Data'!M:M, MATCH(A257, 'Combined_Data'!A:A, 0))</f>
        <v>0</v>
      </c>
      <c r="G257" s="12">
        <f>INDEX('Combined_Data'!N:N, MATCH(A257, 'Combined_Data'!A:A, 0))</f>
        <v>7</v>
      </c>
      <c r="H257" s="12" t="str">
        <f t="shared" si="12"/>
        <v>Weekday</v>
      </c>
      <c r="I257" s="12" t="str">
        <f t="shared" si="13"/>
        <v>Working Day</v>
      </c>
      <c r="J257" s="12" t="str">
        <f t="shared" si="14"/>
        <v>Low</v>
      </c>
      <c r="K257" s="12" t="str">
        <f>INDEX('Combined_Data'!H:H, MATCH(A257, 'Combined_Data'!A:A, 0))</f>
        <v>Mist</v>
      </c>
      <c r="L257" s="13">
        <f t="shared" si="15"/>
        <v>2</v>
      </c>
    </row>
    <row r="258" spans="1:12" x14ac:dyDescent="0.35">
      <c r="A258" s="10">
        <v>257</v>
      </c>
      <c r="B258" s="11">
        <f>INDEX('Combined_Data'!B:B, MATCH(Derived_Data!A258, 'Combined_Data'!A:A, 0))</f>
        <v>40555</v>
      </c>
      <c r="C258" s="12" t="str">
        <f>INDEX('Combined_Data'!G:G, MATCH(A258, 'Combined_Data'!A:A, 0))</f>
        <v>Wednesday</v>
      </c>
      <c r="D258" s="12" t="b">
        <f>INDEX('Combined_Data'!F:F, MATCH(A258, 'Combined_Data'!A:A, 0))</f>
        <v>0</v>
      </c>
      <c r="E258" s="12">
        <f>INDEX('Combined_Data'!O:O, MATCH(A258, 'Combined_Data'!A:A, 0))</f>
        <v>6</v>
      </c>
      <c r="F258" s="12">
        <f>INDEX('Combined_Data'!M:M, MATCH(A258, 'Combined_Data'!A:A, 0))</f>
        <v>0</v>
      </c>
      <c r="G258" s="12">
        <f>INDEX('Combined_Data'!N:N, MATCH(A258, 'Combined_Data'!A:A, 0))</f>
        <v>6</v>
      </c>
      <c r="H258" s="12" t="str">
        <f t="shared" si="12"/>
        <v>Weekday</v>
      </c>
      <c r="I258" s="12" t="str">
        <f t="shared" si="13"/>
        <v>Working Day</v>
      </c>
      <c r="J258" s="12" t="str">
        <f t="shared" si="14"/>
        <v>Low</v>
      </c>
      <c r="K258" s="12" t="str">
        <f>INDEX('Combined_Data'!H:H, MATCH(A258, 'Combined_Data'!A:A, 0))</f>
        <v>Mist</v>
      </c>
      <c r="L258" s="13">
        <f t="shared" si="15"/>
        <v>2</v>
      </c>
    </row>
    <row r="259" spans="1:12" x14ac:dyDescent="0.35">
      <c r="A259" s="10">
        <v>258</v>
      </c>
      <c r="B259" s="11">
        <f>INDEX('Combined_Data'!B:B, MATCH(Derived_Data!A259, 'Combined_Data'!A:A, 0))</f>
        <v>40555</v>
      </c>
      <c r="C259" s="12" t="str">
        <f>INDEX('Combined_Data'!G:G, MATCH(A259, 'Combined_Data'!A:A, 0))</f>
        <v>Wednesday</v>
      </c>
      <c r="D259" s="12" t="b">
        <f>INDEX('Combined_Data'!F:F, MATCH(A259, 'Combined_Data'!A:A, 0))</f>
        <v>0</v>
      </c>
      <c r="E259" s="12">
        <f>INDEX('Combined_Data'!O:O, MATCH(A259, 'Combined_Data'!A:A, 0))</f>
        <v>1</v>
      </c>
      <c r="F259" s="12">
        <f>INDEX('Combined_Data'!M:M, MATCH(A259, 'Combined_Data'!A:A, 0))</f>
        <v>0</v>
      </c>
      <c r="G259" s="12">
        <f>INDEX('Combined_Data'!N:N, MATCH(A259, 'Combined_Data'!A:A, 0))</f>
        <v>1</v>
      </c>
      <c r="H259" s="12" t="str">
        <f t="shared" ref="H259:H322" si="16">IF(OR(TRIM(C259)="Saturday",TRIM(C259)="Sunday"),"Weekend","Weekday")</f>
        <v>Weekday</v>
      </c>
      <c r="I259" s="12" t="str">
        <f t="shared" ref="I259:I322" si="17">IF(D259=TRUE,"Holiday","Working Day")</f>
        <v>Working Day</v>
      </c>
      <c r="J259" s="12" t="str">
        <f t="shared" ref="J259:J322" si="18">IF(E259&lt;100,"Low",IF(E259&lt;=150,"Medium","High"))</f>
        <v>Low</v>
      </c>
      <c r="K259" s="12" t="str">
        <f>INDEX('Combined_Data'!H:H, MATCH(A259, 'Combined_Data'!A:A, 0))</f>
        <v>Clear</v>
      </c>
      <c r="L259" s="13">
        <f t="shared" ref="L259:L322" si="19">VLOOKUP(TRIM(K259), $T$2:$U$5, 2, FALSE)</f>
        <v>1</v>
      </c>
    </row>
    <row r="260" spans="1:12" x14ac:dyDescent="0.35">
      <c r="A260" s="10">
        <v>259</v>
      </c>
      <c r="B260" s="11">
        <f>INDEX('Combined_Data'!B:B, MATCH(Derived_Data!A260, 'Combined_Data'!A:A, 0))</f>
        <v>40555</v>
      </c>
      <c r="C260" s="12" t="str">
        <f>INDEX('Combined_Data'!G:G, MATCH(A260, 'Combined_Data'!A:A, 0))</f>
        <v>Wednesday</v>
      </c>
      <c r="D260" s="12" t="b">
        <f>INDEX('Combined_Data'!F:F, MATCH(A260, 'Combined_Data'!A:A, 0))</f>
        <v>0</v>
      </c>
      <c r="E260" s="12">
        <f>INDEX('Combined_Data'!O:O, MATCH(A260, 'Combined_Data'!A:A, 0))</f>
        <v>5</v>
      </c>
      <c r="F260" s="12">
        <f>INDEX('Combined_Data'!M:M, MATCH(A260, 'Combined_Data'!A:A, 0))</f>
        <v>0</v>
      </c>
      <c r="G260" s="12">
        <f>INDEX('Combined_Data'!N:N, MATCH(A260, 'Combined_Data'!A:A, 0))</f>
        <v>5</v>
      </c>
      <c r="H260" s="12" t="str">
        <f t="shared" si="16"/>
        <v>Weekday</v>
      </c>
      <c r="I260" s="12" t="str">
        <f t="shared" si="17"/>
        <v>Working Day</v>
      </c>
      <c r="J260" s="12" t="str">
        <f t="shared" si="18"/>
        <v>Low</v>
      </c>
      <c r="K260" s="12" t="str">
        <f>INDEX('Combined_Data'!H:H, MATCH(A260, 'Combined_Data'!A:A, 0))</f>
        <v>Clear</v>
      </c>
      <c r="L260" s="13">
        <f t="shared" si="19"/>
        <v>1</v>
      </c>
    </row>
    <row r="261" spans="1:12" x14ac:dyDescent="0.35">
      <c r="A261" s="10">
        <v>260</v>
      </c>
      <c r="B261" s="11">
        <f>INDEX('Combined_Data'!B:B, MATCH(Derived_Data!A261, 'Combined_Data'!A:A, 0))</f>
        <v>40555</v>
      </c>
      <c r="C261" s="12" t="str">
        <f>INDEX('Combined_Data'!G:G, MATCH(A261, 'Combined_Data'!A:A, 0))</f>
        <v>Wednesday</v>
      </c>
      <c r="D261" s="12" t="b">
        <f>INDEX('Combined_Data'!F:F, MATCH(A261, 'Combined_Data'!A:A, 0))</f>
        <v>0</v>
      </c>
      <c r="E261" s="12">
        <f>INDEX('Combined_Data'!O:O, MATCH(A261, 'Combined_Data'!A:A, 0))</f>
        <v>16</v>
      </c>
      <c r="F261" s="12">
        <f>INDEX('Combined_Data'!M:M, MATCH(A261, 'Combined_Data'!A:A, 0))</f>
        <v>0</v>
      </c>
      <c r="G261" s="12">
        <f>INDEX('Combined_Data'!N:N, MATCH(A261, 'Combined_Data'!A:A, 0))</f>
        <v>16</v>
      </c>
      <c r="H261" s="12" t="str">
        <f t="shared" si="16"/>
        <v>Weekday</v>
      </c>
      <c r="I261" s="12" t="str">
        <f t="shared" si="17"/>
        <v>Working Day</v>
      </c>
      <c r="J261" s="12" t="str">
        <f t="shared" si="18"/>
        <v>Low</v>
      </c>
      <c r="K261" s="12" t="str">
        <f>INDEX('Combined_Data'!H:H, MATCH(A261, 'Combined_Data'!A:A, 0))</f>
        <v>Clear</v>
      </c>
      <c r="L261" s="13">
        <f t="shared" si="19"/>
        <v>1</v>
      </c>
    </row>
    <row r="262" spans="1:12" x14ac:dyDescent="0.35">
      <c r="A262" s="10">
        <v>261</v>
      </c>
      <c r="B262" s="11">
        <f>INDEX('Combined_Data'!B:B, MATCH(Derived_Data!A262, 'Combined_Data'!A:A, 0))</f>
        <v>40555</v>
      </c>
      <c r="C262" s="12" t="str">
        <f>INDEX('Combined_Data'!G:G, MATCH(A262, 'Combined_Data'!A:A, 0))</f>
        <v>Wednesday</v>
      </c>
      <c r="D262" s="12" t="b">
        <f>INDEX('Combined_Data'!F:F, MATCH(A262, 'Combined_Data'!A:A, 0))</f>
        <v>0</v>
      </c>
      <c r="E262" s="12">
        <f>INDEX('Combined_Data'!O:O, MATCH(A262, 'Combined_Data'!A:A, 0))</f>
        <v>54</v>
      </c>
      <c r="F262" s="12">
        <f>INDEX('Combined_Data'!M:M, MATCH(A262, 'Combined_Data'!A:A, 0))</f>
        <v>0</v>
      </c>
      <c r="G262" s="12">
        <f>INDEX('Combined_Data'!N:N, MATCH(A262, 'Combined_Data'!A:A, 0))</f>
        <v>54</v>
      </c>
      <c r="H262" s="12" t="str">
        <f t="shared" si="16"/>
        <v>Weekday</v>
      </c>
      <c r="I262" s="12" t="str">
        <f t="shared" si="17"/>
        <v>Working Day</v>
      </c>
      <c r="J262" s="12" t="str">
        <f t="shared" si="18"/>
        <v>Low</v>
      </c>
      <c r="K262" s="12" t="str">
        <f>INDEX('Combined_Data'!H:H, MATCH(A262, 'Combined_Data'!A:A, 0))</f>
        <v>Clear</v>
      </c>
      <c r="L262" s="13">
        <f t="shared" si="19"/>
        <v>1</v>
      </c>
    </row>
    <row r="263" spans="1:12" x14ac:dyDescent="0.35">
      <c r="A263" s="10">
        <v>262</v>
      </c>
      <c r="B263" s="11">
        <f>INDEX('Combined_Data'!B:B, MATCH(Derived_Data!A263, 'Combined_Data'!A:A, 0))</f>
        <v>40555</v>
      </c>
      <c r="C263" s="12" t="str">
        <f>INDEX('Combined_Data'!G:G, MATCH(A263, 'Combined_Data'!A:A, 0))</f>
        <v>Wednesday</v>
      </c>
      <c r="D263" s="12" t="b">
        <f>INDEX('Combined_Data'!F:F, MATCH(A263, 'Combined_Data'!A:A, 0))</f>
        <v>0</v>
      </c>
      <c r="E263" s="12">
        <f>INDEX('Combined_Data'!O:O, MATCH(A263, 'Combined_Data'!A:A, 0))</f>
        <v>128</v>
      </c>
      <c r="F263" s="12">
        <f>INDEX('Combined_Data'!M:M, MATCH(A263, 'Combined_Data'!A:A, 0))</f>
        <v>3</v>
      </c>
      <c r="G263" s="12">
        <f>INDEX('Combined_Data'!N:N, MATCH(A263, 'Combined_Data'!A:A, 0))</f>
        <v>125</v>
      </c>
      <c r="H263" s="12" t="str">
        <f t="shared" si="16"/>
        <v>Weekday</v>
      </c>
      <c r="I263" s="12" t="str">
        <f t="shared" si="17"/>
        <v>Working Day</v>
      </c>
      <c r="J263" s="12" t="str">
        <f t="shared" si="18"/>
        <v>Medium</v>
      </c>
      <c r="K263" s="12" t="str">
        <f>INDEX('Combined_Data'!H:H, MATCH(A263, 'Combined_Data'!A:A, 0))</f>
        <v>Clear</v>
      </c>
      <c r="L263" s="13">
        <f t="shared" si="19"/>
        <v>1</v>
      </c>
    </row>
    <row r="264" spans="1:12" x14ac:dyDescent="0.35">
      <c r="A264" s="10">
        <v>263</v>
      </c>
      <c r="B264" s="11">
        <f>INDEX('Combined_Data'!B:B, MATCH(Derived_Data!A264, 'Combined_Data'!A:A, 0))</f>
        <v>40555</v>
      </c>
      <c r="C264" s="12" t="str">
        <f>INDEX('Combined_Data'!G:G, MATCH(A264, 'Combined_Data'!A:A, 0))</f>
        <v>Wednesday</v>
      </c>
      <c r="D264" s="12" t="b">
        <f>INDEX('Combined_Data'!F:F, MATCH(A264, 'Combined_Data'!A:A, 0))</f>
        <v>0</v>
      </c>
      <c r="E264" s="12">
        <f>INDEX('Combined_Data'!O:O, MATCH(A264, 'Combined_Data'!A:A, 0))</f>
        <v>81</v>
      </c>
      <c r="F264" s="12">
        <f>INDEX('Combined_Data'!M:M, MATCH(A264, 'Combined_Data'!A:A, 0))</f>
        <v>3</v>
      </c>
      <c r="G264" s="12">
        <f>INDEX('Combined_Data'!N:N, MATCH(A264, 'Combined_Data'!A:A, 0))</f>
        <v>78</v>
      </c>
      <c r="H264" s="12" t="str">
        <f t="shared" si="16"/>
        <v>Weekday</v>
      </c>
      <c r="I264" s="12" t="str">
        <f t="shared" si="17"/>
        <v>Working Day</v>
      </c>
      <c r="J264" s="12" t="str">
        <f t="shared" si="18"/>
        <v>Low</v>
      </c>
      <c r="K264" s="12" t="str">
        <f>INDEX('Combined_Data'!H:H, MATCH(A264, 'Combined_Data'!A:A, 0))</f>
        <v>Clear</v>
      </c>
      <c r="L264" s="13">
        <f t="shared" si="19"/>
        <v>1</v>
      </c>
    </row>
    <row r="265" spans="1:12" x14ac:dyDescent="0.35">
      <c r="A265" s="10">
        <v>264</v>
      </c>
      <c r="B265" s="11">
        <f>INDEX('Combined_Data'!B:B, MATCH(Derived_Data!A265, 'Combined_Data'!A:A, 0))</f>
        <v>40555</v>
      </c>
      <c r="C265" s="12" t="str">
        <f>INDEX('Combined_Data'!G:G, MATCH(A265, 'Combined_Data'!A:A, 0))</f>
        <v>Wednesday</v>
      </c>
      <c r="D265" s="12" t="b">
        <f>INDEX('Combined_Data'!F:F, MATCH(A265, 'Combined_Data'!A:A, 0))</f>
        <v>0</v>
      </c>
      <c r="E265" s="12">
        <f>INDEX('Combined_Data'!O:O, MATCH(A265, 'Combined_Data'!A:A, 0))</f>
        <v>39</v>
      </c>
      <c r="F265" s="12">
        <f>INDEX('Combined_Data'!M:M, MATCH(A265, 'Combined_Data'!A:A, 0))</f>
        <v>0</v>
      </c>
      <c r="G265" s="12">
        <f>INDEX('Combined_Data'!N:N, MATCH(A265, 'Combined_Data'!A:A, 0))</f>
        <v>39</v>
      </c>
      <c r="H265" s="12" t="str">
        <f t="shared" si="16"/>
        <v>Weekday</v>
      </c>
      <c r="I265" s="12" t="str">
        <f t="shared" si="17"/>
        <v>Working Day</v>
      </c>
      <c r="J265" s="12" t="str">
        <f t="shared" si="18"/>
        <v>Low</v>
      </c>
      <c r="K265" s="12" t="str">
        <f>INDEX('Combined_Data'!H:H, MATCH(A265, 'Combined_Data'!A:A, 0))</f>
        <v>Clear</v>
      </c>
      <c r="L265" s="13">
        <f t="shared" si="19"/>
        <v>1</v>
      </c>
    </row>
    <row r="266" spans="1:12" x14ac:dyDescent="0.35">
      <c r="A266" s="10">
        <v>265</v>
      </c>
      <c r="B266" s="11">
        <f>INDEX('Combined_Data'!B:B, MATCH(Derived_Data!A266, 'Combined_Data'!A:A, 0))</f>
        <v>40555</v>
      </c>
      <c r="C266" s="12" t="str">
        <f>INDEX('Combined_Data'!G:G, MATCH(A266, 'Combined_Data'!A:A, 0))</f>
        <v>Wednesday</v>
      </c>
      <c r="D266" s="12" t="b">
        <f>INDEX('Combined_Data'!F:F, MATCH(A266, 'Combined_Data'!A:A, 0))</f>
        <v>0</v>
      </c>
      <c r="E266" s="12">
        <f>INDEX('Combined_Data'!O:O, MATCH(A266, 'Combined_Data'!A:A, 0))</f>
        <v>35</v>
      </c>
      <c r="F266" s="12">
        <f>INDEX('Combined_Data'!M:M, MATCH(A266, 'Combined_Data'!A:A, 0))</f>
        <v>3</v>
      </c>
      <c r="G266" s="12">
        <f>INDEX('Combined_Data'!N:N, MATCH(A266, 'Combined_Data'!A:A, 0))</f>
        <v>32</v>
      </c>
      <c r="H266" s="12" t="str">
        <f t="shared" si="16"/>
        <v>Weekday</v>
      </c>
      <c r="I266" s="12" t="str">
        <f t="shared" si="17"/>
        <v>Working Day</v>
      </c>
      <c r="J266" s="12" t="str">
        <f t="shared" si="18"/>
        <v>Low</v>
      </c>
      <c r="K266" s="12" t="str">
        <f>INDEX('Combined_Data'!H:H, MATCH(A266, 'Combined_Data'!A:A, 0))</f>
        <v>Clear</v>
      </c>
      <c r="L266" s="13">
        <f t="shared" si="19"/>
        <v>1</v>
      </c>
    </row>
    <row r="267" spans="1:12" x14ac:dyDescent="0.35">
      <c r="A267" s="10">
        <v>266</v>
      </c>
      <c r="B267" s="11">
        <f>INDEX('Combined_Data'!B:B, MATCH(Derived_Data!A267, 'Combined_Data'!A:A, 0))</f>
        <v>40555</v>
      </c>
      <c r="C267" s="12" t="str">
        <f>INDEX('Combined_Data'!G:G, MATCH(A267, 'Combined_Data'!A:A, 0))</f>
        <v>Wednesday</v>
      </c>
      <c r="D267" s="12" t="b">
        <f>INDEX('Combined_Data'!F:F, MATCH(A267, 'Combined_Data'!A:A, 0))</f>
        <v>0</v>
      </c>
      <c r="E267" s="12">
        <f>INDEX('Combined_Data'!O:O, MATCH(A267, 'Combined_Data'!A:A, 0))</f>
        <v>55</v>
      </c>
      <c r="F267" s="12">
        <f>INDEX('Combined_Data'!M:M, MATCH(A267, 'Combined_Data'!A:A, 0))</f>
        <v>3</v>
      </c>
      <c r="G267" s="12">
        <f>INDEX('Combined_Data'!N:N, MATCH(A267, 'Combined_Data'!A:A, 0))</f>
        <v>52</v>
      </c>
      <c r="H267" s="12" t="str">
        <f t="shared" si="16"/>
        <v>Weekday</v>
      </c>
      <c r="I267" s="12" t="str">
        <f t="shared" si="17"/>
        <v>Working Day</v>
      </c>
      <c r="J267" s="12" t="str">
        <f t="shared" si="18"/>
        <v>Low</v>
      </c>
      <c r="K267" s="12" t="str">
        <f>INDEX('Combined_Data'!H:H, MATCH(A267, 'Combined_Data'!A:A, 0))</f>
        <v>Clear</v>
      </c>
      <c r="L267" s="13">
        <f t="shared" si="19"/>
        <v>1</v>
      </c>
    </row>
    <row r="268" spans="1:12" x14ac:dyDescent="0.35">
      <c r="A268" s="10">
        <v>267</v>
      </c>
      <c r="B268" s="11">
        <f>INDEX('Combined_Data'!B:B, MATCH(Derived_Data!A268, 'Combined_Data'!A:A, 0))</f>
        <v>40555</v>
      </c>
      <c r="C268" s="12" t="str">
        <f>INDEX('Combined_Data'!G:G, MATCH(A268, 'Combined_Data'!A:A, 0))</f>
        <v>Wednesday</v>
      </c>
      <c r="D268" s="12" t="b">
        <f>INDEX('Combined_Data'!F:F, MATCH(A268, 'Combined_Data'!A:A, 0))</f>
        <v>0</v>
      </c>
      <c r="E268" s="12">
        <f>INDEX('Combined_Data'!O:O, MATCH(A268, 'Combined_Data'!A:A, 0))</f>
        <v>49</v>
      </c>
      <c r="F268" s="12">
        <f>INDEX('Combined_Data'!M:M, MATCH(A268, 'Combined_Data'!A:A, 0))</f>
        <v>0</v>
      </c>
      <c r="G268" s="12">
        <f>INDEX('Combined_Data'!N:N, MATCH(A268, 'Combined_Data'!A:A, 0))</f>
        <v>49</v>
      </c>
      <c r="H268" s="12" t="str">
        <f t="shared" si="16"/>
        <v>Weekday</v>
      </c>
      <c r="I268" s="12" t="str">
        <f t="shared" si="17"/>
        <v>Working Day</v>
      </c>
      <c r="J268" s="12" t="str">
        <f t="shared" si="18"/>
        <v>Low</v>
      </c>
      <c r="K268" s="12" t="str">
        <f>INDEX('Combined_Data'!H:H, MATCH(A268, 'Combined_Data'!A:A, 0))</f>
        <v>Clear</v>
      </c>
      <c r="L268" s="13">
        <f t="shared" si="19"/>
        <v>1</v>
      </c>
    </row>
    <row r="269" spans="1:12" x14ac:dyDescent="0.35">
      <c r="A269" s="10">
        <v>268</v>
      </c>
      <c r="B269" s="11">
        <f>INDEX('Combined_Data'!B:B, MATCH(Derived_Data!A269, 'Combined_Data'!A:A, 0))</f>
        <v>40555</v>
      </c>
      <c r="C269" s="12" t="str">
        <f>INDEX('Combined_Data'!G:G, MATCH(A269, 'Combined_Data'!A:A, 0))</f>
        <v>Wednesday</v>
      </c>
      <c r="D269" s="12" t="b">
        <f>INDEX('Combined_Data'!F:F, MATCH(A269, 'Combined_Data'!A:A, 0))</f>
        <v>0</v>
      </c>
      <c r="E269" s="12">
        <f>INDEX('Combined_Data'!O:O, MATCH(A269, 'Combined_Data'!A:A, 0))</f>
        <v>44</v>
      </c>
      <c r="F269" s="12">
        <f>INDEX('Combined_Data'!M:M, MATCH(A269, 'Combined_Data'!A:A, 0))</f>
        <v>0</v>
      </c>
      <c r="G269" s="12">
        <f>INDEX('Combined_Data'!N:N, MATCH(A269, 'Combined_Data'!A:A, 0))</f>
        <v>44</v>
      </c>
      <c r="H269" s="12" t="str">
        <f t="shared" si="16"/>
        <v>Weekday</v>
      </c>
      <c r="I269" s="12" t="str">
        <f t="shared" si="17"/>
        <v>Working Day</v>
      </c>
      <c r="J269" s="12" t="str">
        <f t="shared" si="18"/>
        <v>Low</v>
      </c>
      <c r="K269" s="12" t="str">
        <f>INDEX('Combined_Data'!H:H, MATCH(A269, 'Combined_Data'!A:A, 0))</f>
        <v>Clear</v>
      </c>
      <c r="L269" s="13">
        <f t="shared" si="19"/>
        <v>1</v>
      </c>
    </row>
    <row r="270" spans="1:12" x14ac:dyDescent="0.35">
      <c r="A270" s="10">
        <v>269</v>
      </c>
      <c r="B270" s="11">
        <f>INDEX('Combined_Data'!B:B, MATCH(Derived_Data!A270, 'Combined_Data'!A:A, 0))</f>
        <v>40555</v>
      </c>
      <c r="C270" s="12" t="str">
        <f>INDEX('Combined_Data'!G:G, MATCH(A270, 'Combined_Data'!A:A, 0))</f>
        <v>Wednesday</v>
      </c>
      <c r="D270" s="12" t="b">
        <f>INDEX('Combined_Data'!F:F, MATCH(A270, 'Combined_Data'!A:A, 0))</f>
        <v>0</v>
      </c>
      <c r="E270" s="12">
        <f>INDEX('Combined_Data'!O:O, MATCH(A270, 'Combined_Data'!A:A, 0))</f>
        <v>49</v>
      </c>
      <c r="F270" s="12">
        <f>INDEX('Combined_Data'!M:M, MATCH(A270, 'Combined_Data'!A:A, 0))</f>
        <v>1</v>
      </c>
      <c r="G270" s="12">
        <f>INDEX('Combined_Data'!N:N, MATCH(A270, 'Combined_Data'!A:A, 0))</f>
        <v>48</v>
      </c>
      <c r="H270" s="12" t="str">
        <f t="shared" si="16"/>
        <v>Weekday</v>
      </c>
      <c r="I270" s="12" t="str">
        <f t="shared" si="17"/>
        <v>Working Day</v>
      </c>
      <c r="J270" s="12" t="str">
        <f t="shared" si="18"/>
        <v>Low</v>
      </c>
      <c r="K270" s="12" t="str">
        <f>INDEX('Combined_Data'!H:H, MATCH(A270, 'Combined_Data'!A:A, 0))</f>
        <v>Clear</v>
      </c>
      <c r="L270" s="13">
        <f t="shared" si="19"/>
        <v>1</v>
      </c>
    </row>
    <row r="271" spans="1:12" x14ac:dyDescent="0.35">
      <c r="A271" s="10">
        <v>270</v>
      </c>
      <c r="B271" s="11">
        <f>INDEX('Combined_Data'!B:B, MATCH(Derived_Data!A271, 'Combined_Data'!A:A, 0))</f>
        <v>40555</v>
      </c>
      <c r="C271" s="12" t="str">
        <f>INDEX('Combined_Data'!G:G, MATCH(A271, 'Combined_Data'!A:A, 0))</f>
        <v>Wednesday</v>
      </c>
      <c r="D271" s="12" t="b">
        <f>INDEX('Combined_Data'!F:F, MATCH(A271, 'Combined_Data'!A:A, 0))</f>
        <v>0</v>
      </c>
      <c r="E271" s="12">
        <f>INDEX('Combined_Data'!O:O, MATCH(A271, 'Combined_Data'!A:A, 0))</f>
        <v>68</v>
      </c>
      <c r="F271" s="12">
        <f>INDEX('Combined_Data'!M:M, MATCH(A271, 'Combined_Data'!A:A, 0))</f>
        <v>5</v>
      </c>
      <c r="G271" s="12">
        <f>INDEX('Combined_Data'!N:N, MATCH(A271, 'Combined_Data'!A:A, 0))</f>
        <v>63</v>
      </c>
      <c r="H271" s="12" t="str">
        <f t="shared" si="16"/>
        <v>Weekday</v>
      </c>
      <c r="I271" s="12" t="str">
        <f t="shared" si="17"/>
        <v>Working Day</v>
      </c>
      <c r="J271" s="12" t="str">
        <f t="shared" si="18"/>
        <v>Low</v>
      </c>
      <c r="K271" s="12" t="str">
        <f>INDEX('Combined_Data'!H:H, MATCH(A271, 'Combined_Data'!A:A, 0))</f>
        <v>Clear</v>
      </c>
      <c r="L271" s="13">
        <f t="shared" si="19"/>
        <v>1</v>
      </c>
    </row>
    <row r="272" spans="1:12" x14ac:dyDescent="0.35">
      <c r="A272" s="10">
        <v>271</v>
      </c>
      <c r="B272" s="11">
        <f>INDEX('Combined_Data'!B:B, MATCH(Derived_Data!A272, 'Combined_Data'!A:A, 0))</f>
        <v>40555</v>
      </c>
      <c r="C272" s="12" t="str">
        <f>INDEX('Combined_Data'!G:G, MATCH(A272, 'Combined_Data'!A:A, 0))</f>
        <v>Wednesday</v>
      </c>
      <c r="D272" s="12" t="b">
        <f>INDEX('Combined_Data'!F:F, MATCH(A272, 'Combined_Data'!A:A, 0))</f>
        <v>0</v>
      </c>
      <c r="E272" s="12">
        <f>INDEX('Combined_Data'!O:O, MATCH(A272, 'Combined_Data'!A:A, 0))</f>
        <v>139</v>
      </c>
      <c r="F272" s="12">
        <f>INDEX('Combined_Data'!M:M, MATCH(A272, 'Combined_Data'!A:A, 0))</f>
        <v>0</v>
      </c>
      <c r="G272" s="12">
        <f>INDEX('Combined_Data'!N:N, MATCH(A272, 'Combined_Data'!A:A, 0))</f>
        <v>139</v>
      </c>
      <c r="H272" s="12" t="str">
        <f t="shared" si="16"/>
        <v>Weekday</v>
      </c>
      <c r="I272" s="12" t="str">
        <f t="shared" si="17"/>
        <v>Working Day</v>
      </c>
      <c r="J272" s="12" t="str">
        <f t="shared" si="18"/>
        <v>Medium</v>
      </c>
      <c r="K272" s="12" t="str">
        <f>INDEX('Combined_Data'!H:H, MATCH(A272, 'Combined_Data'!A:A, 0))</f>
        <v>Clear</v>
      </c>
      <c r="L272" s="13">
        <f t="shared" si="19"/>
        <v>1</v>
      </c>
    </row>
    <row r="273" spans="1:12" x14ac:dyDescent="0.35">
      <c r="A273" s="10">
        <v>272</v>
      </c>
      <c r="B273" s="11">
        <f>INDEX('Combined_Data'!B:B, MATCH(Derived_Data!A273, 'Combined_Data'!A:A, 0))</f>
        <v>40555</v>
      </c>
      <c r="C273" s="12" t="str">
        <f>INDEX('Combined_Data'!G:G, MATCH(A273, 'Combined_Data'!A:A, 0))</f>
        <v>Wednesday</v>
      </c>
      <c r="D273" s="12" t="b">
        <f>INDEX('Combined_Data'!F:F, MATCH(A273, 'Combined_Data'!A:A, 0))</f>
        <v>0</v>
      </c>
      <c r="E273" s="12">
        <f>INDEX('Combined_Data'!O:O, MATCH(A273, 'Combined_Data'!A:A, 0))</f>
        <v>137</v>
      </c>
      <c r="F273" s="12">
        <f>INDEX('Combined_Data'!M:M, MATCH(A273, 'Combined_Data'!A:A, 0))</f>
        <v>2</v>
      </c>
      <c r="G273" s="12">
        <f>INDEX('Combined_Data'!N:N, MATCH(A273, 'Combined_Data'!A:A, 0))</f>
        <v>135</v>
      </c>
      <c r="H273" s="12" t="str">
        <f t="shared" si="16"/>
        <v>Weekday</v>
      </c>
      <c r="I273" s="12" t="str">
        <f t="shared" si="17"/>
        <v>Working Day</v>
      </c>
      <c r="J273" s="12" t="str">
        <f t="shared" si="18"/>
        <v>Medium</v>
      </c>
      <c r="K273" s="12" t="str">
        <f>INDEX('Combined_Data'!H:H, MATCH(A273, 'Combined_Data'!A:A, 0))</f>
        <v>Clear</v>
      </c>
      <c r="L273" s="13">
        <f t="shared" si="19"/>
        <v>1</v>
      </c>
    </row>
    <row r="274" spans="1:12" x14ac:dyDescent="0.35">
      <c r="A274" s="10">
        <v>273</v>
      </c>
      <c r="B274" s="11">
        <f>INDEX('Combined_Data'!B:B, MATCH(Derived_Data!A274, 'Combined_Data'!A:A, 0))</f>
        <v>40555</v>
      </c>
      <c r="C274" s="12" t="str">
        <f>INDEX('Combined_Data'!G:G, MATCH(A274, 'Combined_Data'!A:A, 0))</f>
        <v>Wednesday</v>
      </c>
      <c r="D274" s="12" t="b">
        <f>INDEX('Combined_Data'!F:F, MATCH(A274, 'Combined_Data'!A:A, 0))</f>
        <v>0</v>
      </c>
      <c r="E274" s="12">
        <f>INDEX('Combined_Data'!O:O, MATCH(A274, 'Combined_Data'!A:A, 0))</f>
        <v>83</v>
      </c>
      <c r="F274" s="12">
        <f>INDEX('Combined_Data'!M:M, MATCH(A274, 'Combined_Data'!A:A, 0))</f>
        <v>1</v>
      </c>
      <c r="G274" s="12">
        <f>INDEX('Combined_Data'!N:N, MATCH(A274, 'Combined_Data'!A:A, 0))</f>
        <v>82</v>
      </c>
      <c r="H274" s="12" t="str">
        <f t="shared" si="16"/>
        <v>Weekday</v>
      </c>
      <c r="I274" s="12" t="str">
        <f t="shared" si="17"/>
        <v>Working Day</v>
      </c>
      <c r="J274" s="12" t="str">
        <f t="shared" si="18"/>
        <v>Low</v>
      </c>
      <c r="K274" s="12" t="str">
        <f>INDEX('Combined_Data'!H:H, MATCH(A274, 'Combined_Data'!A:A, 0))</f>
        <v>Clear</v>
      </c>
      <c r="L274" s="13">
        <f t="shared" si="19"/>
        <v>1</v>
      </c>
    </row>
    <row r="275" spans="1:12" x14ac:dyDescent="0.35">
      <c r="A275" s="10">
        <v>274</v>
      </c>
      <c r="B275" s="11">
        <f>INDEX('Combined_Data'!B:B, MATCH(Derived_Data!A275, 'Combined_Data'!A:A, 0))</f>
        <v>40555</v>
      </c>
      <c r="C275" s="12" t="str">
        <f>INDEX('Combined_Data'!G:G, MATCH(A275, 'Combined_Data'!A:A, 0))</f>
        <v>Wednesday</v>
      </c>
      <c r="D275" s="12" t="b">
        <f>INDEX('Combined_Data'!F:F, MATCH(A275, 'Combined_Data'!A:A, 0))</f>
        <v>0</v>
      </c>
      <c r="E275" s="12">
        <f>INDEX('Combined_Data'!O:O, MATCH(A275, 'Combined_Data'!A:A, 0))</f>
        <v>56</v>
      </c>
      <c r="F275" s="12">
        <f>INDEX('Combined_Data'!M:M, MATCH(A275, 'Combined_Data'!A:A, 0))</f>
        <v>2</v>
      </c>
      <c r="G275" s="12">
        <f>INDEX('Combined_Data'!N:N, MATCH(A275, 'Combined_Data'!A:A, 0))</f>
        <v>54</v>
      </c>
      <c r="H275" s="12" t="str">
        <f t="shared" si="16"/>
        <v>Weekday</v>
      </c>
      <c r="I275" s="12" t="str">
        <f t="shared" si="17"/>
        <v>Working Day</v>
      </c>
      <c r="J275" s="12" t="str">
        <f t="shared" si="18"/>
        <v>Low</v>
      </c>
      <c r="K275" s="12" t="str">
        <f>INDEX('Combined_Data'!H:H, MATCH(A275, 'Combined_Data'!A:A, 0))</f>
        <v>Clear</v>
      </c>
      <c r="L275" s="13">
        <f t="shared" si="19"/>
        <v>1</v>
      </c>
    </row>
    <row r="276" spans="1:12" x14ac:dyDescent="0.35">
      <c r="A276" s="10">
        <v>275</v>
      </c>
      <c r="B276" s="11">
        <f>INDEX('Combined_Data'!B:B, MATCH(Derived_Data!A276, 'Combined_Data'!A:A, 0))</f>
        <v>40555</v>
      </c>
      <c r="C276" s="12" t="str">
        <f>INDEX('Combined_Data'!G:G, MATCH(A276, 'Combined_Data'!A:A, 0))</f>
        <v>Wednesday</v>
      </c>
      <c r="D276" s="12" t="b">
        <f>INDEX('Combined_Data'!F:F, MATCH(A276, 'Combined_Data'!A:A, 0))</f>
        <v>0</v>
      </c>
      <c r="E276" s="12">
        <f>INDEX('Combined_Data'!O:O, MATCH(A276, 'Combined_Data'!A:A, 0))</f>
        <v>57</v>
      </c>
      <c r="F276" s="12">
        <f>INDEX('Combined_Data'!M:M, MATCH(A276, 'Combined_Data'!A:A, 0))</f>
        <v>0</v>
      </c>
      <c r="G276" s="12">
        <f>INDEX('Combined_Data'!N:N, MATCH(A276, 'Combined_Data'!A:A, 0))</f>
        <v>57</v>
      </c>
      <c r="H276" s="12" t="str">
        <f t="shared" si="16"/>
        <v>Weekday</v>
      </c>
      <c r="I276" s="12" t="str">
        <f t="shared" si="17"/>
        <v>Working Day</v>
      </c>
      <c r="J276" s="12" t="str">
        <f t="shared" si="18"/>
        <v>Low</v>
      </c>
      <c r="K276" s="12" t="str">
        <f>INDEX('Combined_Data'!H:H, MATCH(A276, 'Combined_Data'!A:A, 0))</f>
        <v>Clear</v>
      </c>
      <c r="L276" s="13">
        <f t="shared" si="19"/>
        <v>1</v>
      </c>
    </row>
    <row r="277" spans="1:12" x14ac:dyDescent="0.35">
      <c r="A277" s="10">
        <v>276</v>
      </c>
      <c r="B277" s="11">
        <f>INDEX('Combined_Data'!B:B, MATCH(Derived_Data!A277, 'Combined_Data'!A:A, 0))</f>
        <v>40555</v>
      </c>
      <c r="C277" s="12" t="str">
        <f>INDEX('Combined_Data'!G:G, MATCH(A277, 'Combined_Data'!A:A, 0))</f>
        <v>Wednesday</v>
      </c>
      <c r="D277" s="12" t="b">
        <f>INDEX('Combined_Data'!F:F, MATCH(A277, 'Combined_Data'!A:A, 0))</f>
        <v>0</v>
      </c>
      <c r="E277" s="12">
        <f>INDEX('Combined_Data'!O:O, MATCH(A277, 'Combined_Data'!A:A, 0))</f>
        <v>33</v>
      </c>
      <c r="F277" s="12">
        <f>INDEX('Combined_Data'!M:M, MATCH(A277, 'Combined_Data'!A:A, 0))</f>
        <v>1</v>
      </c>
      <c r="G277" s="12">
        <f>INDEX('Combined_Data'!N:N, MATCH(A277, 'Combined_Data'!A:A, 0))</f>
        <v>32</v>
      </c>
      <c r="H277" s="12" t="str">
        <f t="shared" si="16"/>
        <v>Weekday</v>
      </c>
      <c r="I277" s="12" t="str">
        <f t="shared" si="17"/>
        <v>Working Day</v>
      </c>
      <c r="J277" s="12" t="str">
        <f t="shared" si="18"/>
        <v>Low</v>
      </c>
      <c r="K277" s="12" t="str">
        <f>INDEX('Combined_Data'!H:H, MATCH(A277, 'Combined_Data'!A:A, 0))</f>
        <v>Clear</v>
      </c>
      <c r="L277" s="13">
        <f t="shared" si="19"/>
        <v>1</v>
      </c>
    </row>
    <row r="278" spans="1:12" x14ac:dyDescent="0.35">
      <c r="A278" s="10">
        <v>277</v>
      </c>
      <c r="B278" s="11">
        <f>INDEX('Combined_Data'!B:B, MATCH(Derived_Data!A278, 'Combined_Data'!A:A, 0))</f>
        <v>40555</v>
      </c>
      <c r="C278" s="12" t="str">
        <f>INDEX('Combined_Data'!G:G, MATCH(A278, 'Combined_Data'!A:A, 0))</f>
        <v>Wednesday</v>
      </c>
      <c r="D278" s="12" t="b">
        <f>INDEX('Combined_Data'!F:F, MATCH(A278, 'Combined_Data'!A:A, 0))</f>
        <v>0</v>
      </c>
      <c r="E278" s="12">
        <f>INDEX('Combined_Data'!O:O, MATCH(A278, 'Combined_Data'!A:A, 0))</f>
        <v>20</v>
      </c>
      <c r="F278" s="12">
        <f>INDEX('Combined_Data'!M:M, MATCH(A278, 'Combined_Data'!A:A, 0))</f>
        <v>1</v>
      </c>
      <c r="G278" s="12">
        <f>INDEX('Combined_Data'!N:N, MATCH(A278, 'Combined_Data'!A:A, 0))</f>
        <v>19</v>
      </c>
      <c r="H278" s="12" t="str">
        <f t="shared" si="16"/>
        <v>Weekday</v>
      </c>
      <c r="I278" s="12" t="str">
        <f t="shared" si="17"/>
        <v>Working Day</v>
      </c>
      <c r="J278" s="12" t="str">
        <f t="shared" si="18"/>
        <v>Low</v>
      </c>
      <c r="K278" s="12" t="str">
        <f>INDEX('Combined_Data'!H:H, MATCH(A278, 'Combined_Data'!A:A, 0))</f>
        <v>Clear</v>
      </c>
      <c r="L278" s="13">
        <f t="shared" si="19"/>
        <v>1</v>
      </c>
    </row>
    <row r="279" spans="1:12" x14ac:dyDescent="0.35">
      <c r="A279" s="10">
        <v>278</v>
      </c>
      <c r="B279" s="11">
        <f>INDEX('Combined_Data'!B:B, MATCH(Derived_Data!A279, 'Combined_Data'!A:A, 0))</f>
        <v>40556</v>
      </c>
      <c r="C279" s="12" t="str">
        <f>INDEX('Combined_Data'!G:G, MATCH(A279, 'Combined_Data'!A:A, 0))</f>
        <v>Thursday</v>
      </c>
      <c r="D279" s="12" t="b">
        <f>INDEX('Combined_Data'!F:F, MATCH(A279, 'Combined_Data'!A:A, 0))</f>
        <v>0</v>
      </c>
      <c r="E279" s="12">
        <f>INDEX('Combined_Data'!O:O, MATCH(A279, 'Combined_Data'!A:A, 0))</f>
        <v>7</v>
      </c>
      <c r="F279" s="12">
        <f>INDEX('Combined_Data'!M:M, MATCH(A279, 'Combined_Data'!A:A, 0))</f>
        <v>1</v>
      </c>
      <c r="G279" s="12">
        <f>INDEX('Combined_Data'!N:N, MATCH(A279, 'Combined_Data'!A:A, 0))</f>
        <v>6</v>
      </c>
      <c r="H279" s="12" t="str">
        <f t="shared" si="16"/>
        <v>Weekday</v>
      </c>
      <c r="I279" s="12" t="str">
        <f t="shared" si="17"/>
        <v>Working Day</v>
      </c>
      <c r="J279" s="12" t="str">
        <f t="shared" si="18"/>
        <v>Low</v>
      </c>
      <c r="K279" s="12" t="str">
        <f>INDEX('Combined_Data'!H:H, MATCH(A279, 'Combined_Data'!A:A, 0))</f>
        <v>Clear</v>
      </c>
      <c r="L279" s="13">
        <f t="shared" si="19"/>
        <v>1</v>
      </c>
    </row>
    <row r="280" spans="1:12" x14ac:dyDescent="0.35">
      <c r="A280" s="10">
        <v>279</v>
      </c>
      <c r="B280" s="11">
        <f>INDEX('Combined_Data'!B:B, MATCH(Derived_Data!A280, 'Combined_Data'!A:A, 0))</f>
        <v>40556</v>
      </c>
      <c r="C280" s="12" t="str">
        <f>INDEX('Combined_Data'!G:G, MATCH(A280, 'Combined_Data'!A:A, 0))</f>
        <v>Thursday</v>
      </c>
      <c r="D280" s="12" t="b">
        <f>INDEX('Combined_Data'!F:F, MATCH(A280, 'Combined_Data'!A:A, 0))</f>
        <v>0</v>
      </c>
      <c r="E280" s="12">
        <f>INDEX('Combined_Data'!O:O, MATCH(A280, 'Combined_Data'!A:A, 0))</f>
        <v>2</v>
      </c>
      <c r="F280" s="12">
        <f>INDEX('Combined_Data'!M:M, MATCH(A280, 'Combined_Data'!A:A, 0))</f>
        <v>0</v>
      </c>
      <c r="G280" s="12">
        <f>INDEX('Combined_Data'!N:N, MATCH(A280, 'Combined_Data'!A:A, 0))</f>
        <v>2</v>
      </c>
      <c r="H280" s="12" t="str">
        <f t="shared" si="16"/>
        <v>Weekday</v>
      </c>
      <c r="I280" s="12" t="str">
        <f t="shared" si="17"/>
        <v>Working Day</v>
      </c>
      <c r="J280" s="12" t="str">
        <f t="shared" si="18"/>
        <v>Low</v>
      </c>
      <c r="K280" s="12" t="str">
        <f>INDEX('Combined_Data'!H:H, MATCH(A280, 'Combined_Data'!A:A, 0))</f>
        <v>Clear</v>
      </c>
      <c r="L280" s="13">
        <f t="shared" si="19"/>
        <v>1</v>
      </c>
    </row>
    <row r="281" spans="1:12" x14ac:dyDescent="0.35">
      <c r="A281" s="10">
        <v>280</v>
      </c>
      <c r="B281" s="11">
        <f>INDEX('Combined_Data'!B:B, MATCH(Derived_Data!A281, 'Combined_Data'!A:A, 0))</f>
        <v>40556</v>
      </c>
      <c r="C281" s="12" t="str">
        <f>INDEX('Combined_Data'!G:G, MATCH(A281, 'Combined_Data'!A:A, 0))</f>
        <v>Thursday</v>
      </c>
      <c r="D281" s="12" t="b">
        <f>INDEX('Combined_Data'!F:F, MATCH(A281, 'Combined_Data'!A:A, 0))</f>
        <v>0</v>
      </c>
      <c r="E281" s="12">
        <f>INDEX('Combined_Data'!O:O, MATCH(A281, 'Combined_Data'!A:A, 0))</f>
        <v>2</v>
      </c>
      <c r="F281" s="12">
        <f>INDEX('Combined_Data'!M:M, MATCH(A281, 'Combined_Data'!A:A, 0))</f>
        <v>0</v>
      </c>
      <c r="G281" s="12">
        <f>INDEX('Combined_Data'!N:N, MATCH(A281, 'Combined_Data'!A:A, 0))</f>
        <v>2</v>
      </c>
      <c r="H281" s="12" t="str">
        <f t="shared" si="16"/>
        <v>Weekday</v>
      </c>
      <c r="I281" s="12" t="str">
        <f t="shared" si="17"/>
        <v>Working Day</v>
      </c>
      <c r="J281" s="12" t="str">
        <f t="shared" si="18"/>
        <v>Low</v>
      </c>
      <c r="K281" s="12" t="str">
        <f>INDEX('Combined_Data'!H:H, MATCH(A281, 'Combined_Data'!A:A, 0))</f>
        <v>Clear</v>
      </c>
      <c r="L281" s="13">
        <f t="shared" si="19"/>
        <v>1</v>
      </c>
    </row>
    <row r="282" spans="1:12" x14ac:dyDescent="0.35">
      <c r="A282" s="10">
        <v>281</v>
      </c>
      <c r="B282" s="11">
        <f>INDEX('Combined_Data'!B:B, MATCH(Derived_Data!A282, 'Combined_Data'!A:A, 0))</f>
        <v>40556</v>
      </c>
      <c r="C282" s="12" t="str">
        <f>INDEX('Combined_Data'!G:G, MATCH(A282, 'Combined_Data'!A:A, 0))</f>
        <v>Thursday</v>
      </c>
      <c r="D282" s="12" t="b">
        <f>INDEX('Combined_Data'!F:F, MATCH(A282, 'Combined_Data'!A:A, 0))</f>
        <v>0</v>
      </c>
      <c r="E282" s="12">
        <f>INDEX('Combined_Data'!O:O, MATCH(A282, 'Combined_Data'!A:A, 0))</f>
        <v>3</v>
      </c>
      <c r="F282" s="12">
        <f>INDEX('Combined_Data'!M:M, MATCH(A282, 'Combined_Data'!A:A, 0))</f>
        <v>0</v>
      </c>
      <c r="G282" s="12">
        <f>INDEX('Combined_Data'!N:N, MATCH(A282, 'Combined_Data'!A:A, 0))</f>
        <v>3</v>
      </c>
      <c r="H282" s="12" t="str">
        <f t="shared" si="16"/>
        <v>Weekday</v>
      </c>
      <c r="I282" s="12" t="str">
        <f t="shared" si="17"/>
        <v>Working Day</v>
      </c>
      <c r="J282" s="12" t="str">
        <f t="shared" si="18"/>
        <v>Low</v>
      </c>
      <c r="K282" s="12" t="str">
        <f>INDEX('Combined_Data'!H:H, MATCH(A282, 'Combined_Data'!A:A, 0))</f>
        <v>Clear</v>
      </c>
      <c r="L282" s="13">
        <f t="shared" si="19"/>
        <v>1</v>
      </c>
    </row>
    <row r="283" spans="1:12" x14ac:dyDescent="0.35">
      <c r="A283" s="10">
        <v>282</v>
      </c>
      <c r="B283" s="11">
        <f>INDEX('Combined_Data'!B:B, MATCH(Derived_Data!A283, 'Combined_Data'!A:A, 0))</f>
        <v>40556</v>
      </c>
      <c r="C283" s="12" t="str">
        <f>INDEX('Combined_Data'!G:G, MATCH(A283, 'Combined_Data'!A:A, 0))</f>
        <v>Thursday</v>
      </c>
      <c r="D283" s="12" t="b">
        <f>INDEX('Combined_Data'!F:F, MATCH(A283, 'Combined_Data'!A:A, 0))</f>
        <v>0</v>
      </c>
      <c r="E283" s="12">
        <f>INDEX('Combined_Data'!O:O, MATCH(A283, 'Combined_Data'!A:A, 0))</f>
        <v>4</v>
      </c>
      <c r="F283" s="12">
        <f>INDEX('Combined_Data'!M:M, MATCH(A283, 'Combined_Data'!A:A, 0))</f>
        <v>0</v>
      </c>
      <c r="G283" s="12">
        <f>INDEX('Combined_Data'!N:N, MATCH(A283, 'Combined_Data'!A:A, 0))</f>
        <v>4</v>
      </c>
      <c r="H283" s="12" t="str">
        <f t="shared" si="16"/>
        <v>Weekday</v>
      </c>
      <c r="I283" s="12" t="str">
        <f t="shared" si="17"/>
        <v>Working Day</v>
      </c>
      <c r="J283" s="12" t="str">
        <f t="shared" si="18"/>
        <v>Low</v>
      </c>
      <c r="K283" s="12" t="str">
        <f>INDEX('Combined_Data'!H:H, MATCH(A283, 'Combined_Data'!A:A, 0))</f>
        <v>Clear</v>
      </c>
      <c r="L283" s="13">
        <f t="shared" si="19"/>
        <v>1</v>
      </c>
    </row>
    <row r="284" spans="1:12" x14ac:dyDescent="0.35">
      <c r="A284" s="10">
        <v>283</v>
      </c>
      <c r="B284" s="11">
        <f>INDEX('Combined_Data'!B:B, MATCH(Derived_Data!A284, 'Combined_Data'!A:A, 0))</f>
        <v>40556</v>
      </c>
      <c r="C284" s="12" t="str">
        <f>INDEX('Combined_Data'!G:G, MATCH(A284, 'Combined_Data'!A:A, 0))</f>
        <v>Thursday</v>
      </c>
      <c r="D284" s="12" t="b">
        <f>INDEX('Combined_Data'!F:F, MATCH(A284, 'Combined_Data'!A:A, 0))</f>
        <v>0</v>
      </c>
      <c r="E284" s="12">
        <f>INDEX('Combined_Data'!O:O, MATCH(A284, 'Combined_Data'!A:A, 0))</f>
        <v>3</v>
      </c>
      <c r="F284" s="12">
        <f>INDEX('Combined_Data'!M:M, MATCH(A284, 'Combined_Data'!A:A, 0))</f>
        <v>0</v>
      </c>
      <c r="G284" s="12">
        <f>INDEX('Combined_Data'!N:N, MATCH(A284, 'Combined_Data'!A:A, 0))</f>
        <v>3</v>
      </c>
      <c r="H284" s="12" t="str">
        <f t="shared" si="16"/>
        <v>Weekday</v>
      </c>
      <c r="I284" s="12" t="str">
        <f t="shared" si="17"/>
        <v>Working Day</v>
      </c>
      <c r="J284" s="12" t="str">
        <f t="shared" si="18"/>
        <v>Low</v>
      </c>
      <c r="K284" s="12" t="str">
        <f>INDEX('Combined_Data'!H:H, MATCH(A284, 'Combined_Data'!A:A, 0))</f>
        <v>Clear</v>
      </c>
      <c r="L284" s="13">
        <f t="shared" si="19"/>
        <v>1</v>
      </c>
    </row>
    <row r="285" spans="1:12" x14ac:dyDescent="0.35">
      <c r="A285" s="10">
        <v>284</v>
      </c>
      <c r="B285" s="11">
        <f>INDEX('Combined_Data'!B:B, MATCH(Derived_Data!A285, 'Combined_Data'!A:A, 0))</f>
        <v>40556</v>
      </c>
      <c r="C285" s="12" t="str">
        <f>INDEX('Combined_Data'!G:G, MATCH(A285, 'Combined_Data'!A:A, 0))</f>
        <v>Thursday</v>
      </c>
      <c r="D285" s="12" t="b">
        <f>INDEX('Combined_Data'!F:F, MATCH(A285, 'Combined_Data'!A:A, 0))</f>
        <v>0</v>
      </c>
      <c r="E285" s="12">
        <f>INDEX('Combined_Data'!O:O, MATCH(A285, 'Combined_Data'!A:A, 0))</f>
        <v>28</v>
      </c>
      <c r="F285" s="12">
        <f>INDEX('Combined_Data'!M:M, MATCH(A285, 'Combined_Data'!A:A, 0))</f>
        <v>0</v>
      </c>
      <c r="G285" s="12">
        <f>INDEX('Combined_Data'!N:N, MATCH(A285, 'Combined_Data'!A:A, 0))</f>
        <v>28</v>
      </c>
      <c r="H285" s="12" t="str">
        <f t="shared" si="16"/>
        <v>Weekday</v>
      </c>
      <c r="I285" s="12" t="str">
        <f t="shared" si="17"/>
        <v>Working Day</v>
      </c>
      <c r="J285" s="12" t="str">
        <f t="shared" si="18"/>
        <v>Low</v>
      </c>
      <c r="K285" s="12" t="str">
        <f>INDEX('Combined_Data'!H:H, MATCH(A285, 'Combined_Data'!A:A, 0))</f>
        <v>Clear</v>
      </c>
      <c r="L285" s="13">
        <f t="shared" si="19"/>
        <v>1</v>
      </c>
    </row>
    <row r="286" spans="1:12" x14ac:dyDescent="0.35">
      <c r="A286" s="10">
        <v>285</v>
      </c>
      <c r="B286" s="11">
        <f>INDEX('Combined_Data'!B:B, MATCH(Derived_Data!A286, 'Combined_Data'!A:A, 0))</f>
        <v>40556</v>
      </c>
      <c r="C286" s="12" t="str">
        <f>INDEX('Combined_Data'!G:G, MATCH(A286, 'Combined_Data'!A:A, 0))</f>
        <v>Thursday</v>
      </c>
      <c r="D286" s="12" t="b">
        <f>INDEX('Combined_Data'!F:F, MATCH(A286, 'Combined_Data'!A:A, 0))</f>
        <v>0</v>
      </c>
      <c r="E286" s="12">
        <f>INDEX('Combined_Data'!O:O, MATCH(A286, 'Combined_Data'!A:A, 0))</f>
        <v>72</v>
      </c>
      <c r="F286" s="12">
        <f>INDEX('Combined_Data'!M:M, MATCH(A286, 'Combined_Data'!A:A, 0))</f>
        <v>0</v>
      </c>
      <c r="G286" s="12">
        <f>INDEX('Combined_Data'!N:N, MATCH(A286, 'Combined_Data'!A:A, 0))</f>
        <v>72</v>
      </c>
      <c r="H286" s="12" t="str">
        <f t="shared" si="16"/>
        <v>Weekday</v>
      </c>
      <c r="I286" s="12" t="str">
        <f t="shared" si="17"/>
        <v>Working Day</v>
      </c>
      <c r="J286" s="12" t="str">
        <f t="shared" si="18"/>
        <v>Low</v>
      </c>
      <c r="K286" s="12" t="str">
        <f>INDEX('Combined_Data'!H:H, MATCH(A286, 'Combined_Data'!A:A, 0))</f>
        <v>Clear</v>
      </c>
      <c r="L286" s="13">
        <f t="shared" si="19"/>
        <v>1</v>
      </c>
    </row>
    <row r="287" spans="1:12" x14ac:dyDescent="0.35">
      <c r="A287" s="10">
        <v>286</v>
      </c>
      <c r="B287" s="11">
        <f>INDEX('Combined_Data'!B:B, MATCH(Derived_Data!A287, 'Combined_Data'!A:A, 0))</f>
        <v>40556</v>
      </c>
      <c r="C287" s="12" t="str">
        <f>INDEX('Combined_Data'!G:G, MATCH(A287, 'Combined_Data'!A:A, 0))</f>
        <v>Thursday</v>
      </c>
      <c r="D287" s="12" t="b">
        <f>INDEX('Combined_Data'!F:F, MATCH(A287, 'Combined_Data'!A:A, 0))</f>
        <v>0</v>
      </c>
      <c r="E287" s="12">
        <f>INDEX('Combined_Data'!O:O, MATCH(A287, 'Combined_Data'!A:A, 0))</f>
        <v>202</v>
      </c>
      <c r="F287" s="12">
        <f>INDEX('Combined_Data'!M:M, MATCH(A287, 'Combined_Data'!A:A, 0))</f>
        <v>5</v>
      </c>
      <c r="G287" s="12">
        <f>INDEX('Combined_Data'!N:N, MATCH(A287, 'Combined_Data'!A:A, 0))</f>
        <v>197</v>
      </c>
      <c r="H287" s="12" t="str">
        <f t="shared" si="16"/>
        <v>Weekday</v>
      </c>
      <c r="I287" s="12" t="str">
        <f t="shared" si="17"/>
        <v>Working Day</v>
      </c>
      <c r="J287" s="12" t="str">
        <f t="shared" si="18"/>
        <v>High</v>
      </c>
      <c r="K287" s="12" t="str">
        <f>INDEX('Combined_Data'!H:H, MATCH(A287, 'Combined_Data'!A:A, 0))</f>
        <v>Clear</v>
      </c>
      <c r="L287" s="13">
        <f t="shared" si="19"/>
        <v>1</v>
      </c>
    </row>
    <row r="288" spans="1:12" x14ac:dyDescent="0.35">
      <c r="A288" s="10">
        <v>287</v>
      </c>
      <c r="B288" s="11">
        <f>INDEX('Combined_Data'!B:B, MATCH(Derived_Data!A288, 'Combined_Data'!A:A, 0))</f>
        <v>40556</v>
      </c>
      <c r="C288" s="12" t="str">
        <f>INDEX('Combined_Data'!G:G, MATCH(A288, 'Combined_Data'!A:A, 0))</f>
        <v>Thursday</v>
      </c>
      <c r="D288" s="12" t="b">
        <f>INDEX('Combined_Data'!F:F, MATCH(A288, 'Combined_Data'!A:A, 0))</f>
        <v>0</v>
      </c>
      <c r="E288" s="12">
        <f>INDEX('Combined_Data'!O:O, MATCH(A288, 'Combined_Data'!A:A, 0))</f>
        <v>139</v>
      </c>
      <c r="F288" s="12">
        <f>INDEX('Combined_Data'!M:M, MATCH(A288, 'Combined_Data'!A:A, 0))</f>
        <v>2</v>
      </c>
      <c r="G288" s="12">
        <f>INDEX('Combined_Data'!N:N, MATCH(A288, 'Combined_Data'!A:A, 0))</f>
        <v>137</v>
      </c>
      <c r="H288" s="12" t="str">
        <f t="shared" si="16"/>
        <v>Weekday</v>
      </c>
      <c r="I288" s="12" t="str">
        <f t="shared" si="17"/>
        <v>Working Day</v>
      </c>
      <c r="J288" s="12" t="str">
        <f t="shared" si="18"/>
        <v>Medium</v>
      </c>
      <c r="K288" s="12" t="str">
        <f>INDEX('Combined_Data'!H:H, MATCH(A288, 'Combined_Data'!A:A, 0))</f>
        <v>Clear</v>
      </c>
      <c r="L288" s="13">
        <f t="shared" si="19"/>
        <v>1</v>
      </c>
    </row>
    <row r="289" spans="1:12" x14ac:dyDescent="0.35">
      <c r="A289" s="10">
        <v>288</v>
      </c>
      <c r="B289" s="11">
        <f>INDEX('Combined_Data'!B:B, MATCH(Derived_Data!A289, 'Combined_Data'!A:A, 0))</f>
        <v>40556</v>
      </c>
      <c r="C289" s="12" t="str">
        <f>INDEX('Combined_Data'!G:G, MATCH(A289, 'Combined_Data'!A:A, 0))</f>
        <v>Thursday</v>
      </c>
      <c r="D289" s="12" t="b">
        <f>INDEX('Combined_Data'!F:F, MATCH(A289, 'Combined_Data'!A:A, 0))</f>
        <v>0</v>
      </c>
      <c r="E289" s="12">
        <f>INDEX('Combined_Data'!O:O, MATCH(A289, 'Combined_Data'!A:A, 0))</f>
        <v>38</v>
      </c>
      <c r="F289" s="12">
        <f>INDEX('Combined_Data'!M:M, MATCH(A289, 'Combined_Data'!A:A, 0))</f>
        <v>2</v>
      </c>
      <c r="G289" s="12">
        <f>INDEX('Combined_Data'!N:N, MATCH(A289, 'Combined_Data'!A:A, 0))</f>
        <v>36</v>
      </c>
      <c r="H289" s="12" t="str">
        <f t="shared" si="16"/>
        <v>Weekday</v>
      </c>
      <c r="I289" s="12" t="str">
        <f t="shared" si="17"/>
        <v>Working Day</v>
      </c>
      <c r="J289" s="12" t="str">
        <f t="shared" si="18"/>
        <v>Low</v>
      </c>
      <c r="K289" s="12" t="str">
        <f>INDEX('Combined_Data'!H:H, MATCH(A289, 'Combined_Data'!A:A, 0))</f>
        <v>Mist</v>
      </c>
      <c r="L289" s="13">
        <f t="shared" si="19"/>
        <v>2</v>
      </c>
    </row>
    <row r="290" spans="1:12" x14ac:dyDescent="0.35">
      <c r="A290" s="10">
        <v>289</v>
      </c>
      <c r="B290" s="11">
        <f>INDEX('Combined_Data'!B:B, MATCH(Derived_Data!A290, 'Combined_Data'!A:A, 0))</f>
        <v>40556</v>
      </c>
      <c r="C290" s="12" t="str">
        <f>INDEX('Combined_Data'!G:G, MATCH(A290, 'Combined_Data'!A:A, 0))</f>
        <v>Thursday</v>
      </c>
      <c r="D290" s="12" t="b">
        <f>INDEX('Combined_Data'!F:F, MATCH(A290, 'Combined_Data'!A:A, 0))</f>
        <v>0</v>
      </c>
      <c r="E290" s="12">
        <f>INDEX('Combined_Data'!O:O, MATCH(A290, 'Combined_Data'!A:A, 0))</f>
        <v>37</v>
      </c>
      <c r="F290" s="12">
        <f>INDEX('Combined_Data'!M:M, MATCH(A290, 'Combined_Data'!A:A, 0))</f>
        <v>4</v>
      </c>
      <c r="G290" s="12">
        <f>INDEX('Combined_Data'!N:N, MATCH(A290, 'Combined_Data'!A:A, 0))</f>
        <v>33</v>
      </c>
      <c r="H290" s="12" t="str">
        <f t="shared" si="16"/>
        <v>Weekday</v>
      </c>
      <c r="I290" s="12" t="str">
        <f t="shared" si="17"/>
        <v>Working Day</v>
      </c>
      <c r="J290" s="12" t="str">
        <f t="shared" si="18"/>
        <v>Low</v>
      </c>
      <c r="K290" s="12" t="str">
        <f>INDEX('Combined_Data'!H:H, MATCH(A290, 'Combined_Data'!A:A, 0))</f>
        <v>Mist</v>
      </c>
      <c r="L290" s="13">
        <f t="shared" si="19"/>
        <v>2</v>
      </c>
    </row>
    <row r="291" spans="1:12" x14ac:dyDescent="0.35">
      <c r="A291" s="10">
        <v>290</v>
      </c>
      <c r="B291" s="11">
        <f>INDEX('Combined_Data'!B:B, MATCH(Derived_Data!A291, 'Combined_Data'!A:A, 0))</f>
        <v>40556</v>
      </c>
      <c r="C291" s="12" t="str">
        <f>INDEX('Combined_Data'!G:G, MATCH(A291, 'Combined_Data'!A:A, 0))</f>
        <v>Thursday</v>
      </c>
      <c r="D291" s="12" t="b">
        <f>INDEX('Combined_Data'!F:F, MATCH(A291, 'Combined_Data'!A:A, 0))</f>
        <v>0</v>
      </c>
      <c r="E291" s="12">
        <f>INDEX('Combined_Data'!O:O, MATCH(A291, 'Combined_Data'!A:A, 0))</f>
        <v>52</v>
      </c>
      <c r="F291" s="12">
        <f>INDEX('Combined_Data'!M:M, MATCH(A291, 'Combined_Data'!A:A, 0))</f>
        <v>3</v>
      </c>
      <c r="G291" s="12">
        <f>INDEX('Combined_Data'!N:N, MATCH(A291, 'Combined_Data'!A:A, 0))</f>
        <v>49</v>
      </c>
      <c r="H291" s="12" t="str">
        <f t="shared" si="16"/>
        <v>Weekday</v>
      </c>
      <c r="I291" s="12" t="str">
        <f t="shared" si="17"/>
        <v>Working Day</v>
      </c>
      <c r="J291" s="12" t="str">
        <f t="shared" si="18"/>
        <v>Low</v>
      </c>
      <c r="K291" s="12" t="str">
        <f>INDEX('Combined_Data'!H:H, MATCH(A291, 'Combined_Data'!A:A, 0))</f>
        <v>Clear</v>
      </c>
      <c r="L291" s="13">
        <f t="shared" si="19"/>
        <v>1</v>
      </c>
    </row>
    <row r="292" spans="1:12" x14ac:dyDescent="0.35">
      <c r="A292" s="10">
        <v>291</v>
      </c>
      <c r="B292" s="11">
        <f>INDEX('Combined_Data'!B:B, MATCH(Derived_Data!A292, 'Combined_Data'!A:A, 0))</f>
        <v>40556</v>
      </c>
      <c r="C292" s="12" t="str">
        <f>INDEX('Combined_Data'!G:G, MATCH(A292, 'Combined_Data'!A:A, 0))</f>
        <v>Thursday</v>
      </c>
      <c r="D292" s="12" t="b">
        <f>INDEX('Combined_Data'!F:F, MATCH(A292, 'Combined_Data'!A:A, 0))</f>
        <v>0</v>
      </c>
      <c r="E292" s="12">
        <f>INDEX('Combined_Data'!O:O, MATCH(A292, 'Combined_Data'!A:A, 0))</f>
        <v>83</v>
      </c>
      <c r="F292" s="12">
        <f>INDEX('Combined_Data'!M:M, MATCH(A292, 'Combined_Data'!A:A, 0))</f>
        <v>2</v>
      </c>
      <c r="G292" s="12">
        <f>INDEX('Combined_Data'!N:N, MATCH(A292, 'Combined_Data'!A:A, 0))</f>
        <v>81</v>
      </c>
      <c r="H292" s="12" t="str">
        <f t="shared" si="16"/>
        <v>Weekday</v>
      </c>
      <c r="I292" s="12" t="str">
        <f t="shared" si="17"/>
        <v>Working Day</v>
      </c>
      <c r="J292" s="12" t="str">
        <f t="shared" si="18"/>
        <v>Low</v>
      </c>
      <c r="K292" s="12" t="str">
        <f>INDEX('Combined_Data'!H:H, MATCH(A292, 'Combined_Data'!A:A, 0))</f>
        <v>Clear</v>
      </c>
      <c r="L292" s="13">
        <f t="shared" si="19"/>
        <v>1</v>
      </c>
    </row>
    <row r="293" spans="1:12" x14ac:dyDescent="0.35">
      <c r="A293" s="10">
        <v>292</v>
      </c>
      <c r="B293" s="11">
        <f>INDEX('Combined_Data'!B:B, MATCH(Derived_Data!A293, 'Combined_Data'!A:A, 0))</f>
        <v>40556</v>
      </c>
      <c r="C293" s="12" t="str">
        <f>INDEX('Combined_Data'!G:G, MATCH(A293, 'Combined_Data'!A:A, 0))</f>
        <v>Thursday</v>
      </c>
      <c r="D293" s="12" t="b">
        <f>INDEX('Combined_Data'!F:F, MATCH(A293, 'Combined_Data'!A:A, 0))</f>
        <v>0</v>
      </c>
      <c r="E293" s="12">
        <f>INDEX('Combined_Data'!O:O, MATCH(A293, 'Combined_Data'!A:A, 0))</f>
        <v>42</v>
      </c>
      <c r="F293" s="12">
        <f>INDEX('Combined_Data'!M:M, MATCH(A293, 'Combined_Data'!A:A, 0))</f>
        <v>3</v>
      </c>
      <c r="G293" s="12">
        <f>INDEX('Combined_Data'!N:N, MATCH(A293, 'Combined_Data'!A:A, 0))</f>
        <v>39</v>
      </c>
      <c r="H293" s="12" t="str">
        <f t="shared" si="16"/>
        <v>Weekday</v>
      </c>
      <c r="I293" s="12" t="str">
        <f t="shared" si="17"/>
        <v>Working Day</v>
      </c>
      <c r="J293" s="12" t="str">
        <f t="shared" si="18"/>
        <v>Low</v>
      </c>
      <c r="K293" s="12" t="str">
        <f>INDEX('Combined_Data'!H:H, MATCH(A293, 'Combined_Data'!A:A, 0))</f>
        <v>Clear</v>
      </c>
      <c r="L293" s="13">
        <f t="shared" si="19"/>
        <v>1</v>
      </c>
    </row>
    <row r="294" spans="1:12" x14ac:dyDescent="0.35">
      <c r="A294" s="10">
        <v>293</v>
      </c>
      <c r="B294" s="11">
        <f>INDEX('Combined_Data'!B:B, MATCH(Derived_Data!A294, 'Combined_Data'!A:A, 0))</f>
        <v>40556</v>
      </c>
      <c r="C294" s="12" t="str">
        <f>INDEX('Combined_Data'!G:G, MATCH(A294, 'Combined_Data'!A:A, 0))</f>
        <v>Thursday</v>
      </c>
      <c r="D294" s="12" t="b">
        <f>INDEX('Combined_Data'!F:F, MATCH(A294, 'Combined_Data'!A:A, 0))</f>
        <v>0</v>
      </c>
      <c r="E294" s="12">
        <f>INDEX('Combined_Data'!O:O, MATCH(A294, 'Combined_Data'!A:A, 0))</f>
        <v>60</v>
      </c>
      <c r="F294" s="12">
        <f>INDEX('Combined_Data'!M:M, MATCH(A294, 'Combined_Data'!A:A, 0))</f>
        <v>5</v>
      </c>
      <c r="G294" s="12">
        <f>INDEX('Combined_Data'!N:N, MATCH(A294, 'Combined_Data'!A:A, 0))</f>
        <v>55</v>
      </c>
      <c r="H294" s="12" t="str">
        <f t="shared" si="16"/>
        <v>Weekday</v>
      </c>
      <c r="I294" s="12" t="str">
        <f t="shared" si="17"/>
        <v>Working Day</v>
      </c>
      <c r="J294" s="12" t="str">
        <f t="shared" si="18"/>
        <v>Low</v>
      </c>
      <c r="K294" s="12" t="str">
        <f>INDEX('Combined_Data'!H:H, MATCH(A294, 'Combined_Data'!A:A, 0))</f>
        <v>Clear</v>
      </c>
      <c r="L294" s="13">
        <f t="shared" si="19"/>
        <v>1</v>
      </c>
    </row>
    <row r="295" spans="1:12" x14ac:dyDescent="0.35">
      <c r="A295" s="10">
        <v>294</v>
      </c>
      <c r="B295" s="11">
        <f>INDEX('Combined_Data'!B:B, MATCH(Derived_Data!A295, 'Combined_Data'!A:A, 0))</f>
        <v>40556</v>
      </c>
      <c r="C295" s="12" t="str">
        <f>INDEX('Combined_Data'!G:G, MATCH(A295, 'Combined_Data'!A:A, 0))</f>
        <v>Thursday</v>
      </c>
      <c r="D295" s="12" t="b">
        <f>INDEX('Combined_Data'!F:F, MATCH(A295, 'Combined_Data'!A:A, 0))</f>
        <v>0</v>
      </c>
      <c r="E295" s="12">
        <f>INDEX('Combined_Data'!O:O, MATCH(A295, 'Combined_Data'!A:A, 0))</f>
        <v>78</v>
      </c>
      <c r="F295" s="12">
        <f>INDEX('Combined_Data'!M:M, MATCH(A295, 'Combined_Data'!A:A, 0))</f>
        <v>2</v>
      </c>
      <c r="G295" s="12">
        <f>INDEX('Combined_Data'!N:N, MATCH(A295, 'Combined_Data'!A:A, 0))</f>
        <v>76</v>
      </c>
      <c r="H295" s="12" t="str">
        <f t="shared" si="16"/>
        <v>Weekday</v>
      </c>
      <c r="I295" s="12" t="str">
        <f t="shared" si="17"/>
        <v>Working Day</v>
      </c>
      <c r="J295" s="12" t="str">
        <f t="shared" si="18"/>
        <v>Low</v>
      </c>
      <c r="K295" s="12" t="str">
        <f>INDEX('Combined_Data'!H:H, MATCH(A295, 'Combined_Data'!A:A, 0))</f>
        <v>Clear</v>
      </c>
      <c r="L295" s="13">
        <f t="shared" si="19"/>
        <v>1</v>
      </c>
    </row>
    <row r="296" spans="1:12" x14ac:dyDescent="0.35">
      <c r="A296" s="10">
        <v>295</v>
      </c>
      <c r="B296" s="11">
        <f>INDEX('Combined_Data'!B:B, MATCH(Derived_Data!A296, 'Combined_Data'!A:A, 0))</f>
        <v>40556</v>
      </c>
      <c r="C296" s="12" t="str">
        <f>INDEX('Combined_Data'!G:G, MATCH(A296, 'Combined_Data'!A:A, 0))</f>
        <v>Thursday</v>
      </c>
      <c r="D296" s="12" t="b">
        <f>INDEX('Combined_Data'!F:F, MATCH(A296, 'Combined_Data'!A:A, 0))</f>
        <v>0</v>
      </c>
      <c r="E296" s="12">
        <f>INDEX('Combined_Data'!O:O, MATCH(A296, 'Combined_Data'!A:A, 0))</f>
        <v>162</v>
      </c>
      <c r="F296" s="12">
        <f>INDEX('Combined_Data'!M:M, MATCH(A296, 'Combined_Data'!A:A, 0))</f>
        <v>4</v>
      </c>
      <c r="G296" s="12">
        <f>INDEX('Combined_Data'!N:N, MATCH(A296, 'Combined_Data'!A:A, 0))</f>
        <v>158</v>
      </c>
      <c r="H296" s="12" t="str">
        <f t="shared" si="16"/>
        <v>Weekday</v>
      </c>
      <c r="I296" s="12" t="str">
        <f t="shared" si="17"/>
        <v>Working Day</v>
      </c>
      <c r="J296" s="12" t="str">
        <f t="shared" si="18"/>
        <v>High</v>
      </c>
      <c r="K296" s="12" t="str">
        <f>INDEX('Combined_Data'!H:H, MATCH(A296, 'Combined_Data'!A:A, 0))</f>
        <v>Clear</v>
      </c>
      <c r="L296" s="13">
        <f t="shared" si="19"/>
        <v>1</v>
      </c>
    </row>
    <row r="297" spans="1:12" x14ac:dyDescent="0.35">
      <c r="A297" s="10">
        <v>296</v>
      </c>
      <c r="B297" s="11">
        <f>INDEX('Combined_Data'!B:B, MATCH(Derived_Data!A297, 'Combined_Data'!A:A, 0))</f>
        <v>40556</v>
      </c>
      <c r="C297" s="12" t="str">
        <f>INDEX('Combined_Data'!G:G, MATCH(A297, 'Combined_Data'!A:A, 0))</f>
        <v>Thursday</v>
      </c>
      <c r="D297" s="12" t="b">
        <f>INDEX('Combined_Data'!F:F, MATCH(A297, 'Combined_Data'!A:A, 0))</f>
        <v>0</v>
      </c>
      <c r="E297" s="12">
        <f>INDEX('Combined_Data'!O:O, MATCH(A297, 'Combined_Data'!A:A, 0))</f>
        <v>144</v>
      </c>
      <c r="F297" s="12">
        <f>INDEX('Combined_Data'!M:M, MATCH(A297, 'Combined_Data'!A:A, 0))</f>
        <v>3</v>
      </c>
      <c r="G297" s="12">
        <f>INDEX('Combined_Data'!N:N, MATCH(A297, 'Combined_Data'!A:A, 0))</f>
        <v>141</v>
      </c>
      <c r="H297" s="12" t="str">
        <f t="shared" si="16"/>
        <v>Weekday</v>
      </c>
      <c r="I297" s="12" t="str">
        <f t="shared" si="17"/>
        <v>Working Day</v>
      </c>
      <c r="J297" s="12" t="str">
        <f t="shared" si="18"/>
        <v>Medium</v>
      </c>
      <c r="K297" s="12" t="str">
        <f>INDEX('Combined_Data'!H:H, MATCH(A297, 'Combined_Data'!A:A, 0))</f>
        <v>Clear</v>
      </c>
      <c r="L297" s="13">
        <f t="shared" si="19"/>
        <v>1</v>
      </c>
    </row>
    <row r="298" spans="1:12" x14ac:dyDescent="0.35">
      <c r="A298" s="10">
        <v>297</v>
      </c>
      <c r="B298" s="11">
        <f>INDEX('Combined_Data'!B:B, MATCH(Derived_Data!A298, 'Combined_Data'!A:A, 0))</f>
        <v>40556</v>
      </c>
      <c r="C298" s="12" t="str">
        <f>INDEX('Combined_Data'!G:G, MATCH(A298, 'Combined_Data'!A:A, 0))</f>
        <v>Thursday</v>
      </c>
      <c r="D298" s="12" t="b">
        <f>INDEX('Combined_Data'!F:F, MATCH(A298, 'Combined_Data'!A:A, 0))</f>
        <v>0</v>
      </c>
      <c r="E298" s="12">
        <f>INDEX('Combined_Data'!O:O, MATCH(A298, 'Combined_Data'!A:A, 0))</f>
        <v>99</v>
      </c>
      <c r="F298" s="12">
        <f>INDEX('Combined_Data'!M:M, MATCH(A298, 'Combined_Data'!A:A, 0))</f>
        <v>1</v>
      </c>
      <c r="G298" s="12">
        <f>INDEX('Combined_Data'!N:N, MATCH(A298, 'Combined_Data'!A:A, 0))</f>
        <v>98</v>
      </c>
      <c r="H298" s="12" t="str">
        <f t="shared" si="16"/>
        <v>Weekday</v>
      </c>
      <c r="I298" s="12" t="str">
        <f t="shared" si="17"/>
        <v>Working Day</v>
      </c>
      <c r="J298" s="12" t="str">
        <f t="shared" si="18"/>
        <v>Low</v>
      </c>
      <c r="K298" s="12" t="str">
        <f>INDEX('Combined_Data'!H:H, MATCH(A298, 'Combined_Data'!A:A, 0))</f>
        <v>Clear</v>
      </c>
      <c r="L298" s="13">
        <f t="shared" si="19"/>
        <v>1</v>
      </c>
    </row>
    <row r="299" spans="1:12" x14ac:dyDescent="0.35">
      <c r="A299" s="10">
        <v>298</v>
      </c>
      <c r="B299" s="11">
        <f>INDEX('Combined_Data'!B:B, MATCH(Derived_Data!A299, 'Combined_Data'!A:A, 0))</f>
        <v>40556</v>
      </c>
      <c r="C299" s="12" t="str">
        <f>INDEX('Combined_Data'!G:G, MATCH(A299, 'Combined_Data'!A:A, 0))</f>
        <v>Thursday</v>
      </c>
      <c r="D299" s="12" t="b">
        <f>INDEX('Combined_Data'!F:F, MATCH(A299, 'Combined_Data'!A:A, 0))</f>
        <v>0</v>
      </c>
      <c r="E299" s="12">
        <f>INDEX('Combined_Data'!O:O, MATCH(A299, 'Combined_Data'!A:A, 0))</f>
        <v>64</v>
      </c>
      <c r="F299" s="12">
        <f>INDEX('Combined_Data'!M:M, MATCH(A299, 'Combined_Data'!A:A, 0))</f>
        <v>0</v>
      </c>
      <c r="G299" s="12">
        <f>INDEX('Combined_Data'!N:N, MATCH(A299, 'Combined_Data'!A:A, 0))</f>
        <v>64</v>
      </c>
      <c r="H299" s="12" t="str">
        <f t="shared" si="16"/>
        <v>Weekday</v>
      </c>
      <c r="I299" s="12" t="str">
        <f t="shared" si="17"/>
        <v>Working Day</v>
      </c>
      <c r="J299" s="12" t="str">
        <f t="shared" si="18"/>
        <v>Low</v>
      </c>
      <c r="K299" s="12" t="str">
        <f>INDEX('Combined_Data'!H:H, MATCH(A299, 'Combined_Data'!A:A, 0))</f>
        <v>Clear</v>
      </c>
      <c r="L299" s="13">
        <f t="shared" si="19"/>
        <v>1</v>
      </c>
    </row>
    <row r="300" spans="1:12" x14ac:dyDescent="0.35">
      <c r="A300" s="10">
        <v>299</v>
      </c>
      <c r="B300" s="11">
        <f>INDEX('Combined_Data'!B:B, MATCH(Derived_Data!A300, 'Combined_Data'!A:A, 0))</f>
        <v>40556</v>
      </c>
      <c r="C300" s="12" t="str">
        <f>INDEX('Combined_Data'!G:G, MATCH(A300, 'Combined_Data'!A:A, 0))</f>
        <v>Thursday</v>
      </c>
      <c r="D300" s="12" t="b">
        <f>INDEX('Combined_Data'!F:F, MATCH(A300, 'Combined_Data'!A:A, 0))</f>
        <v>0</v>
      </c>
      <c r="E300" s="12">
        <f>INDEX('Combined_Data'!O:O, MATCH(A300, 'Combined_Data'!A:A, 0))</f>
        <v>40</v>
      </c>
      <c r="F300" s="12">
        <f>INDEX('Combined_Data'!M:M, MATCH(A300, 'Combined_Data'!A:A, 0))</f>
        <v>0</v>
      </c>
      <c r="G300" s="12">
        <f>INDEX('Combined_Data'!N:N, MATCH(A300, 'Combined_Data'!A:A, 0))</f>
        <v>40</v>
      </c>
      <c r="H300" s="12" t="str">
        <f t="shared" si="16"/>
        <v>Weekday</v>
      </c>
      <c r="I300" s="12" t="str">
        <f t="shared" si="17"/>
        <v>Working Day</v>
      </c>
      <c r="J300" s="12" t="str">
        <f t="shared" si="18"/>
        <v>Low</v>
      </c>
      <c r="K300" s="12" t="str">
        <f>INDEX('Combined_Data'!H:H, MATCH(A300, 'Combined_Data'!A:A, 0))</f>
        <v>Clear</v>
      </c>
      <c r="L300" s="13">
        <f t="shared" si="19"/>
        <v>1</v>
      </c>
    </row>
    <row r="301" spans="1:12" x14ac:dyDescent="0.35">
      <c r="A301" s="10">
        <v>300</v>
      </c>
      <c r="B301" s="11">
        <f>INDEX('Combined_Data'!B:B, MATCH(Derived_Data!A301, 'Combined_Data'!A:A, 0))</f>
        <v>40556</v>
      </c>
      <c r="C301" s="12" t="str">
        <f>INDEX('Combined_Data'!G:G, MATCH(A301, 'Combined_Data'!A:A, 0))</f>
        <v>Thursday</v>
      </c>
      <c r="D301" s="12" t="b">
        <f>INDEX('Combined_Data'!F:F, MATCH(A301, 'Combined_Data'!A:A, 0))</f>
        <v>0</v>
      </c>
      <c r="E301" s="12">
        <f>INDEX('Combined_Data'!O:O, MATCH(A301, 'Combined_Data'!A:A, 0))</f>
        <v>30</v>
      </c>
      <c r="F301" s="12">
        <f>INDEX('Combined_Data'!M:M, MATCH(A301, 'Combined_Data'!A:A, 0))</f>
        <v>0</v>
      </c>
      <c r="G301" s="12">
        <f>INDEX('Combined_Data'!N:N, MATCH(A301, 'Combined_Data'!A:A, 0))</f>
        <v>30</v>
      </c>
      <c r="H301" s="12" t="str">
        <f t="shared" si="16"/>
        <v>Weekday</v>
      </c>
      <c r="I301" s="12" t="str">
        <f t="shared" si="17"/>
        <v>Working Day</v>
      </c>
      <c r="J301" s="12" t="str">
        <f t="shared" si="18"/>
        <v>Low</v>
      </c>
      <c r="K301" s="12" t="str">
        <f>INDEX('Combined_Data'!H:H, MATCH(A301, 'Combined_Data'!A:A, 0))</f>
        <v>Clear</v>
      </c>
      <c r="L301" s="13">
        <f t="shared" si="19"/>
        <v>1</v>
      </c>
    </row>
    <row r="302" spans="1:12" x14ac:dyDescent="0.35">
      <c r="A302" s="10">
        <v>301</v>
      </c>
      <c r="B302" s="11">
        <f>INDEX('Combined_Data'!B:B, MATCH(Derived_Data!A302, 'Combined_Data'!A:A, 0))</f>
        <v>40556</v>
      </c>
      <c r="C302" s="12" t="str">
        <f>INDEX('Combined_Data'!G:G, MATCH(A302, 'Combined_Data'!A:A, 0))</f>
        <v>Thursday</v>
      </c>
      <c r="D302" s="12" t="b">
        <f>INDEX('Combined_Data'!F:F, MATCH(A302, 'Combined_Data'!A:A, 0))</f>
        <v>0</v>
      </c>
      <c r="E302" s="12">
        <f>INDEX('Combined_Data'!O:O, MATCH(A302, 'Combined_Data'!A:A, 0))</f>
        <v>15</v>
      </c>
      <c r="F302" s="12">
        <f>INDEX('Combined_Data'!M:M, MATCH(A302, 'Combined_Data'!A:A, 0))</f>
        <v>1</v>
      </c>
      <c r="G302" s="12">
        <f>INDEX('Combined_Data'!N:N, MATCH(A302, 'Combined_Data'!A:A, 0))</f>
        <v>14</v>
      </c>
      <c r="H302" s="12" t="str">
        <f t="shared" si="16"/>
        <v>Weekday</v>
      </c>
      <c r="I302" s="12" t="str">
        <f t="shared" si="17"/>
        <v>Working Day</v>
      </c>
      <c r="J302" s="12" t="str">
        <f t="shared" si="18"/>
        <v>Low</v>
      </c>
      <c r="K302" s="12" t="str">
        <f>INDEX('Combined_Data'!H:H, MATCH(A302, 'Combined_Data'!A:A, 0))</f>
        <v>Clear</v>
      </c>
      <c r="L302" s="13">
        <f t="shared" si="19"/>
        <v>1</v>
      </c>
    </row>
    <row r="303" spans="1:12" x14ac:dyDescent="0.35">
      <c r="A303" s="10">
        <v>302</v>
      </c>
      <c r="B303" s="11">
        <f>INDEX('Combined_Data'!B:B, MATCH(Derived_Data!A303, 'Combined_Data'!A:A, 0))</f>
        <v>40557</v>
      </c>
      <c r="C303" s="12" t="str">
        <f>INDEX('Combined_Data'!G:G, MATCH(A303, 'Combined_Data'!A:A, 0))</f>
        <v>Friday</v>
      </c>
      <c r="D303" s="12" t="b">
        <f>INDEX('Combined_Data'!F:F, MATCH(A303, 'Combined_Data'!A:A, 0))</f>
        <v>0</v>
      </c>
      <c r="E303" s="12">
        <f>INDEX('Combined_Data'!O:O, MATCH(A303, 'Combined_Data'!A:A, 0))</f>
        <v>14</v>
      </c>
      <c r="F303" s="12">
        <f>INDEX('Combined_Data'!M:M, MATCH(A303, 'Combined_Data'!A:A, 0))</f>
        <v>0</v>
      </c>
      <c r="G303" s="12">
        <f>INDEX('Combined_Data'!N:N, MATCH(A303, 'Combined_Data'!A:A, 0))</f>
        <v>14</v>
      </c>
      <c r="H303" s="12" t="str">
        <f t="shared" si="16"/>
        <v>Weekday</v>
      </c>
      <c r="I303" s="12" t="str">
        <f t="shared" si="17"/>
        <v>Working Day</v>
      </c>
      <c r="J303" s="12" t="str">
        <f t="shared" si="18"/>
        <v>Low</v>
      </c>
      <c r="K303" s="12" t="str">
        <f>INDEX('Combined_Data'!H:H, MATCH(A303, 'Combined_Data'!A:A, 0))</f>
        <v>Clear</v>
      </c>
      <c r="L303" s="13">
        <f t="shared" si="19"/>
        <v>1</v>
      </c>
    </row>
    <row r="304" spans="1:12" x14ac:dyDescent="0.35">
      <c r="A304" s="10">
        <v>303</v>
      </c>
      <c r="B304" s="11">
        <f>INDEX('Combined_Data'!B:B, MATCH(Derived_Data!A304, 'Combined_Data'!A:A, 0))</f>
        <v>40557</v>
      </c>
      <c r="C304" s="12" t="str">
        <f>INDEX('Combined_Data'!G:G, MATCH(A304, 'Combined_Data'!A:A, 0))</f>
        <v>Friday</v>
      </c>
      <c r="D304" s="12" t="b">
        <f>INDEX('Combined_Data'!F:F, MATCH(A304, 'Combined_Data'!A:A, 0))</f>
        <v>0</v>
      </c>
      <c r="E304" s="12">
        <f>INDEX('Combined_Data'!O:O, MATCH(A304, 'Combined_Data'!A:A, 0))</f>
        <v>5</v>
      </c>
      <c r="F304" s="12">
        <f>INDEX('Combined_Data'!M:M, MATCH(A304, 'Combined_Data'!A:A, 0))</f>
        <v>0</v>
      </c>
      <c r="G304" s="12">
        <f>INDEX('Combined_Data'!N:N, MATCH(A304, 'Combined_Data'!A:A, 0))</f>
        <v>5</v>
      </c>
      <c r="H304" s="12" t="str">
        <f t="shared" si="16"/>
        <v>Weekday</v>
      </c>
      <c r="I304" s="12" t="str">
        <f t="shared" si="17"/>
        <v>Working Day</v>
      </c>
      <c r="J304" s="12" t="str">
        <f t="shared" si="18"/>
        <v>Low</v>
      </c>
      <c r="K304" s="12" t="str">
        <f>INDEX('Combined_Data'!H:H, MATCH(A304, 'Combined_Data'!A:A, 0))</f>
        <v>Clear</v>
      </c>
      <c r="L304" s="13">
        <f t="shared" si="19"/>
        <v>1</v>
      </c>
    </row>
    <row r="305" spans="1:12" x14ac:dyDescent="0.35">
      <c r="A305" s="10">
        <v>304</v>
      </c>
      <c r="B305" s="11">
        <f>INDEX('Combined_Data'!B:B, MATCH(Derived_Data!A305, 'Combined_Data'!A:A, 0))</f>
        <v>40557</v>
      </c>
      <c r="C305" s="12" t="str">
        <f>INDEX('Combined_Data'!G:G, MATCH(A305, 'Combined_Data'!A:A, 0))</f>
        <v>Friday</v>
      </c>
      <c r="D305" s="12" t="b">
        <f>INDEX('Combined_Data'!F:F, MATCH(A305, 'Combined_Data'!A:A, 0))</f>
        <v>0</v>
      </c>
      <c r="E305" s="12">
        <f>INDEX('Combined_Data'!O:O, MATCH(A305, 'Combined_Data'!A:A, 0))</f>
        <v>1</v>
      </c>
      <c r="F305" s="12">
        <f>INDEX('Combined_Data'!M:M, MATCH(A305, 'Combined_Data'!A:A, 0))</f>
        <v>0</v>
      </c>
      <c r="G305" s="12">
        <f>INDEX('Combined_Data'!N:N, MATCH(A305, 'Combined_Data'!A:A, 0))</f>
        <v>1</v>
      </c>
      <c r="H305" s="12" t="str">
        <f t="shared" si="16"/>
        <v>Weekday</v>
      </c>
      <c r="I305" s="12" t="str">
        <f t="shared" si="17"/>
        <v>Working Day</v>
      </c>
      <c r="J305" s="12" t="str">
        <f t="shared" si="18"/>
        <v>Low</v>
      </c>
      <c r="K305" s="12" t="str">
        <f>INDEX('Combined_Data'!H:H, MATCH(A305, 'Combined_Data'!A:A, 0))</f>
        <v>Clear</v>
      </c>
      <c r="L305" s="13">
        <f t="shared" si="19"/>
        <v>1</v>
      </c>
    </row>
    <row r="306" spans="1:12" x14ac:dyDescent="0.35">
      <c r="A306" s="10">
        <v>305</v>
      </c>
      <c r="B306" s="11">
        <f>INDEX('Combined_Data'!B:B, MATCH(Derived_Data!A306, 'Combined_Data'!A:A, 0))</f>
        <v>40557</v>
      </c>
      <c r="C306" s="12" t="str">
        <f>INDEX('Combined_Data'!G:G, MATCH(A306, 'Combined_Data'!A:A, 0))</f>
        <v>Friday</v>
      </c>
      <c r="D306" s="12" t="b">
        <f>INDEX('Combined_Data'!F:F, MATCH(A306, 'Combined_Data'!A:A, 0))</f>
        <v>0</v>
      </c>
      <c r="E306" s="12">
        <f>INDEX('Combined_Data'!O:O, MATCH(A306, 'Combined_Data'!A:A, 0))</f>
        <v>1</v>
      </c>
      <c r="F306" s="12">
        <f>INDEX('Combined_Data'!M:M, MATCH(A306, 'Combined_Data'!A:A, 0))</f>
        <v>0</v>
      </c>
      <c r="G306" s="12">
        <f>INDEX('Combined_Data'!N:N, MATCH(A306, 'Combined_Data'!A:A, 0))</f>
        <v>1</v>
      </c>
      <c r="H306" s="12" t="str">
        <f t="shared" si="16"/>
        <v>Weekday</v>
      </c>
      <c r="I306" s="12" t="str">
        <f t="shared" si="17"/>
        <v>Working Day</v>
      </c>
      <c r="J306" s="12" t="str">
        <f t="shared" si="18"/>
        <v>Low</v>
      </c>
      <c r="K306" s="12" t="str">
        <f>INDEX('Combined_Data'!H:H, MATCH(A306, 'Combined_Data'!A:A, 0))</f>
        <v>Clear</v>
      </c>
      <c r="L306" s="13">
        <f t="shared" si="19"/>
        <v>1</v>
      </c>
    </row>
    <row r="307" spans="1:12" x14ac:dyDescent="0.35">
      <c r="A307" s="10">
        <v>306</v>
      </c>
      <c r="B307" s="11">
        <f>INDEX('Combined_Data'!B:B, MATCH(Derived_Data!A307, 'Combined_Data'!A:A, 0))</f>
        <v>40557</v>
      </c>
      <c r="C307" s="12" t="str">
        <f>INDEX('Combined_Data'!G:G, MATCH(A307, 'Combined_Data'!A:A, 0))</f>
        <v>Friday</v>
      </c>
      <c r="D307" s="12" t="b">
        <f>INDEX('Combined_Data'!F:F, MATCH(A307, 'Combined_Data'!A:A, 0))</f>
        <v>0</v>
      </c>
      <c r="E307" s="12">
        <f>INDEX('Combined_Data'!O:O, MATCH(A307, 'Combined_Data'!A:A, 0))</f>
        <v>8</v>
      </c>
      <c r="F307" s="12">
        <f>INDEX('Combined_Data'!M:M, MATCH(A307, 'Combined_Data'!A:A, 0))</f>
        <v>0</v>
      </c>
      <c r="G307" s="12">
        <f>INDEX('Combined_Data'!N:N, MATCH(A307, 'Combined_Data'!A:A, 0))</f>
        <v>8</v>
      </c>
      <c r="H307" s="12" t="str">
        <f t="shared" si="16"/>
        <v>Weekday</v>
      </c>
      <c r="I307" s="12" t="str">
        <f t="shared" si="17"/>
        <v>Working Day</v>
      </c>
      <c r="J307" s="12" t="str">
        <f t="shared" si="18"/>
        <v>Low</v>
      </c>
      <c r="K307" s="12" t="str">
        <f>INDEX('Combined_Data'!H:H, MATCH(A307, 'Combined_Data'!A:A, 0))</f>
        <v>Clear</v>
      </c>
      <c r="L307" s="13">
        <f t="shared" si="19"/>
        <v>1</v>
      </c>
    </row>
    <row r="308" spans="1:12" x14ac:dyDescent="0.35">
      <c r="A308" s="10">
        <v>307</v>
      </c>
      <c r="B308" s="11">
        <f>INDEX('Combined_Data'!B:B, MATCH(Derived_Data!A308, 'Combined_Data'!A:A, 0))</f>
        <v>40557</v>
      </c>
      <c r="C308" s="12" t="str">
        <f>INDEX('Combined_Data'!G:G, MATCH(A308, 'Combined_Data'!A:A, 0))</f>
        <v>Friday</v>
      </c>
      <c r="D308" s="12" t="b">
        <f>INDEX('Combined_Data'!F:F, MATCH(A308, 'Combined_Data'!A:A, 0))</f>
        <v>0</v>
      </c>
      <c r="E308" s="12">
        <f>INDEX('Combined_Data'!O:O, MATCH(A308, 'Combined_Data'!A:A, 0))</f>
        <v>17</v>
      </c>
      <c r="F308" s="12">
        <f>INDEX('Combined_Data'!M:M, MATCH(A308, 'Combined_Data'!A:A, 0))</f>
        <v>0</v>
      </c>
      <c r="G308" s="12">
        <f>INDEX('Combined_Data'!N:N, MATCH(A308, 'Combined_Data'!A:A, 0))</f>
        <v>17</v>
      </c>
      <c r="H308" s="12" t="str">
        <f t="shared" si="16"/>
        <v>Weekday</v>
      </c>
      <c r="I308" s="12" t="str">
        <f t="shared" si="17"/>
        <v>Working Day</v>
      </c>
      <c r="J308" s="12" t="str">
        <f t="shared" si="18"/>
        <v>Low</v>
      </c>
      <c r="K308" s="12" t="str">
        <f>INDEX('Combined_Data'!H:H, MATCH(A308, 'Combined_Data'!A:A, 0))</f>
        <v>Clear</v>
      </c>
      <c r="L308" s="13">
        <f t="shared" si="19"/>
        <v>1</v>
      </c>
    </row>
    <row r="309" spans="1:12" x14ac:dyDescent="0.35">
      <c r="A309" s="10">
        <v>308</v>
      </c>
      <c r="B309" s="11">
        <f>INDEX('Combined_Data'!B:B, MATCH(Derived_Data!A309, 'Combined_Data'!A:A, 0))</f>
        <v>40557</v>
      </c>
      <c r="C309" s="12" t="str">
        <f>INDEX('Combined_Data'!G:G, MATCH(A309, 'Combined_Data'!A:A, 0))</f>
        <v>Friday</v>
      </c>
      <c r="D309" s="12" t="b">
        <f>INDEX('Combined_Data'!F:F, MATCH(A309, 'Combined_Data'!A:A, 0))</f>
        <v>0</v>
      </c>
      <c r="E309" s="12">
        <f>INDEX('Combined_Data'!O:O, MATCH(A309, 'Combined_Data'!A:A, 0))</f>
        <v>70</v>
      </c>
      <c r="F309" s="12">
        <f>INDEX('Combined_Data'!M:M, MATCH(A309, 'Combined_Data'!A:A, 0))</f>
        <v>0</v>
      </c>
      <c r="G309" s="12">
        <f>INDEX('Combined_Data'!N:N, MATCH(A309, 'Combined_Data'!A:A, 0))</f>
        <v>70</v>
      </c>
      <c r="H309" s="12" t="str">
        <f t="shared" si="16"/>
        <v>Weekday</v>
      </c>
      <c r="I309" s="12" t="str">
        <f t="shared" si="17"/>
        <v>Working Day</v>
      </c>
      <c r="J309" s="12" t="str">
        <f t="shared" si="18"/>
        <v>Low</v>
      </c>
      <c r="K309" s="12" t="str">
        <f>INDEX('Combined_Data'!H:H, MATCH(A309, 'Combined_Data'!A:A, 0))</f>
        <v>Clear</v>
      </c>
      <c r="L309" s="13">
        <f t="shared" si="19"/>
        <v>1</v>
      </c>
    </row>
    <row r="310" spans="1:12" x14ac:dyDescent="0.35">
      <c r="A310" s="10">
        <v>309</v>
      </c>
      <c r="B310" s="11">
        <f>INDEX('Combined_Data'!B:B, MATCH(Derived_Data!A310, 'Combined_Data'!A:A, 0))</f>
        <v>40557</v>
      </c>
      <c r="C310" s="12" t="str">
        <f>INDEX('Combined_Data'!G:G, MATCH(A310, 'Combined_Data'!A:A, 0))</f>
        <v>Friday</v>
      </c>
      <c r="D310" s="12" t="b">
        <f>INDEX('Combined_Data'!F:F, MATCH(A310, 'Combined_Data'!A:A, 0))</f>
        <v>0</v>
      </c>
      <c r="E310" s="12">
        <f>INDEX('Combined_Data'!O:O, MATCH(A310, 'Combined_Data'!A:A, 0))</f>
        <v>158</v>
      </c>
      <c r="F310" s="12">
        <f>INDEX('Combined_Data'!M:M, MATCH(A310, 'Combined_Data'!A:A, 0))</f>
        <v>2</v>
      </c>
      <c r="G310" s="12">
        <f>INDEX('Combined_Data'!N:N, MATCH(A310, 'Combined_Data'!A:A, 0))</f>
        <v>156</v>
      </c>
      <c r="H310" s="12" t="str">
        <f t="shared" si="16"/>
        <v>Weekday</v>
      </c>
      <c r="I310" s="12" t="str">
        <f t="shared" si="17"/>
        <v>Working Day</v>
      </c>
      <c r="J310" s="12" t="str">
        <f t="shared" si="18"/>
        <v>High</v>
      </c>
      <c r="K310" s="12" t="str">
        <f>INDEX('Combined_Data'!H:H, MATCH(A310, 'Combined_Data'!A:A, 0))</f>
        <v>Clear</v>
      </c>
      <c r="L310" s="13">
        <f t="shared" si="19"/>
        <v>1</v>
      </c>
    </row>
    <row r="311" spans="1:12" x14ac:dyDescent="0.35">
      <c r="A311" s="10">
        <v>310</v>
      </c>
      <c r="B311" s="11">
        <f>INDEX('Combined_Data'!B:B, MATCH(Derived_Data!A311, 'Combined_Data'!A:A, 0))</f>
        <v>40557</v>
      </c>
      <c r="C311" s="12" t="str">
        <f>INDEX('Combined_Data'!G:G, MATCH(A311, 'Combined_Data'!A:A, 0))</f>
        <v>Friday</v>
      </c>
      <c r="D311" s="12" t="b">
        <f>INDEX('Combined_Data'!F:F, MATCH(A311, 'Combined_Data'!A:A, 0))</f>
        <v>0</v>
      </c>
      <c r="E311" s="12">
        <f>INDEX('Combined_Data'!O:O, MATCH(A311, 'Combined_Data'!A:A, 0))</f>
        <v>117</v>
      </c>
      <c r="F311" s="12">
        <f>INDEX('Combined_Data'!M:M, MATCH(A311, 'Combined_Data'!A:A, 0))</f>
        <v>0</v>
      </c>
      <c r="G311" s="12">
        <f>INDEX('Combined_Data'!N:N, MATCH(A311, 'Combined_Data'!A:A, 0))</f>
        <v>117</v>
      </c>
      <c r="H311" s="12" t="str">
        <f t="shared" si="16"/>
        <v>Weekday</v>
      </c>
      <c r="I311" s="12" t="str">
        <f t="shared" si="17"/>
        <v>Working Day</v>
      </c>
      <c r="J311" s="12" t="str">
        <f t="shared" si="18"/>
        <v>Medium</v>
      </c>
      <c r="K311" s="12" t="str">
        <f>INDEX('Combined_Data'!H:H, MATCH(A311, 'Combined_Data'!A:A, 0))</f>
        <v>Clear</v>
      </c>
      <c r="L311" s="13">
        <f t="shared" si="19"/>
        <v>1</v>
      </c>
    </row>
    <row r="312" spans="1:12" x14ac:dyDescent="0.35">
      <c r="A312" s="10">
        <v>311</v>
      </c>
      <c r="B312" s="11">
        <f>INDEX('Combined_Data'!B:B, MATCH(Derived_Data!A312, 'Combined_Data'!A:A, 0))</f>
        <v>40557</v>
      </c>
      <c r="C312" s="12" t="str">
        <f>INDEX('Combined_Data'!G:G, MATCH(A312, 'Combined_Data'!A:A, 0))</f>
        <v>Friday</v>
      </c>
      <c r="D312" s="12" t="b">
        <f>INDEX('Combined_Data'!F:F, MATCH(A312, 'Combined_Data'!A:A, 0))</f>
        <v>0</v>
      </c>
      <c r="E312" s="12">
        <f>INDEX('Combined_Data'!O:O, MATCH(A312, 'Combined_Data'!A:A, 0))</f>
        <v>44</v>
      </c>
      <c r="F312" s="12">
        <f>INDEX('Combined_Data'!M:M, MATCH(A312, 'Combined_Data'!A:A, 0))</f>
        <v>4</v>
      </c>
      <c r="G312" s="12">
        <f>INDEX('Combined_Data'!N:N, MATCH(A312, 'Combined_Data'!A:A, 0))</f>
        <v>40</v>
      </c>
      <c r="H312" s="12" t="str">
        <f t="shared" si="16"/>
        <v>Weekday</v>
      </c>
      <c r="I312" s="12" t="str">
        <f t="shared" si="17"/>
        <v>Working Day</v>
      </c>
      <c r="J312" s="12" t="str">
        <f t="shared" si="18"/>
        <v>Low</v>
      </c>
      <c r="K312" s="12" t="str">
        <f>INDEX('Combined_Data'!H:H, MATCH(A312, 'Combined_Data'!A:A, 0))</f>
        <v>Clear</v>
      </c>
      <c r="L312" s="13">
        <f t="shared" si="19"/>
        <v>1</v>
      </c>
    </row>
    <row r="313" spans="1:12" x14ac:dyDescent="0.35">
      <c r="A313" s="10">
        <v>312</v>
      </c>
      <c r="B313" s="11">
        <f>INDEX('Combined_Data'!B:B, MATCH(Derived_Data!A313, 'Combined_Data'!A:A, 0))</f>
        <v>40557</v>
      </c>
      <c r="C313" s="12" t="str">
        <f>INDEX('Combined_Data'!G:G, MATCH(A313, 'Combined_Data'!A:A, 0))</f>
        <v>Friday</v>
      </c>
      <c r="D313" s="12" t="b">
        <f>INDEX('Combined_Data'!F:F, MATCH(A313, 'Combined_Data'!A:A, 0))</f>
        <v>0</v>
      </c>
      <c r="E313" s="12">
        <f>INDEX('Combined_Data'!O:O, MATCH(A313, 'Combined_Data'!A:A, 0))</f>
        <v>53</v>
      </c>
      <c r="F313" s="12">
        <f>INDEX('Combined_Data'!M:M, MATCH(A313, 'Combined_Data'!A:A, 0))</f>
        <v>6</v>
      </c>
      <c r="G313" s="12">
        <f>INDEX('Combined_Data'!N:N, MATCH(A313, 'Combined_Data'!A:A, 0))</f>
        <v>47</v>
      </c>
      <c r="H313" s="12" t="str">
        <f t="shared" si="16"/>
        <v>Weekday</v>
      </c>
      <c r="I313" s="12" t="str">
        <f t="shared" si="17"/>
        <v>Working Day</v>
      </c>
      <c r="J313" s="12" t="str">
        <f t="shared" si="18"/>
        <v>Low</v>
      </c>
      <c r="K313" s="12" t="str">
        <f>INDEX('Combined_Data'!H:H, MATCH(A313, 'Combined_Data'!A:A, 0))</f>
        <v>Clear</v>
      </c>
      <c r="L313" s="13">
        <f t="shared" si="19"/>
        <v>1</v>
      </c>
    </row>
    <row r="314" spans="1:12" x14ac:dyDescent="0.35">
      <c r="A314" s="10">
        <v>313</v>
      </c>
      <c r="B314" s="11">
        <f>INDEX('Combined_Data'!B:B, MATCH(Derived_Data!A314, 'Combined_Data'!A:A, 0))</f>
        <v>40557</v>
      </c>
      <c r="C314" s="12" t="str">
        <f>INDEX('Combined_Data'!G:G, MATCH(A314, 'Combined_Data'!A:A, 0))</f>
        <v>Friday</v>
      </c>
      <c r="D314" s="12" t="b">
        <f>INDEX('Combined_Data'!F:F, MATCH(A314, 'Combined_Data'!A:A, 0))</f>
        <v>0</v>
      </c>
      <c r="E314" s="12">
        <f>INDEX('Combined_Data'!O:O, MATCH(A314, 'Combined_Data'!A:A, 0))</f>
        <v>61</v>
      </c>
      <c r="F314" s="12">
        <f>INDEX('Combined_Data'!M:M, MATCH(A314, 'Combined_Data'!A:A, 0))</f>
        <v>2</v>
      </c>
      <c r="G314" s="12">
        <f>INDEX('Combined_Data'!N:N, MATCH(A314, 'Combined_Data'!A:A, 0))</f>
        <v>59</v>
      </c>
      <c r="H314" s="12" t="str">
        <f t="shared" si="16"/>
        <v>Weekday</v>
      </c>
      <c r="I314" s="12" t="str">
        <f t="shared" si="17"/>
        <v>Working Day</v>
      </c>
      <c r="J314" s="12" t="str">
        <f t="shared" si="18"/>
        <v>Low</v>
      </c>
      <c r="K314" s="12" t="str">
        <f>INDEX('Combined_Data'!H:H, MATCH(A314, 'Combined_Data'!A:A, 0))</f>
        <v>Clear</v>
      </c>
      <c r="L314" s="13">
        <f t="shared" si="19"/>
        <v>1</v>
      </c>
    </row>
    <row r="315" spans="1:12" x14ac:dyDescent="0.35">
      <c r="A315" s="10">
        <v>314</v>
      </c>
      <c r="B315" s="11">
        <f>INDEX('Combined_Data'!B:B, MATCH(Derived_Data!A315, 'Combined_Data'!A:A, 0))</f>
        <v>40557</v>
      </c>
      <c r="C315" s="12" t="str">
        <f>INDEX('Combined_Data'!G:G, MATCH(A315, 'Combined_Data'!A:A, 0))</f>
        <v>Friday</v>
      </c>
      <c r="D315" s="12" t="b">
        <f>INDEX('Combined_Data'!F:F, MATCH(A315, 'Combined_Data'!A:A, 0))</f>
        <v>0</v>
      </c>
      <c r="E315" s="12">
        <f>INDEX('Combined_Data'!O:O, MATCH(A315, 'Combined_Data'!A:A, 0))</f>
        <v>77</v>
      </c>
      <c r="F315" s="12">
        <f>INDEX('Combined_Data'!M:M, MATCH(A315, 'Combined_Data'!A:A, 0))</f>
        <v>4</v>
      </c>
      <c r="G315" s="12">
        <f>INDEX('Combined_Data'!N:N, MATCH(A315, 'Combined_Data'!A:A, 0))</f>
        <v>73</v>
      </c>
      <c r="H315" s="12" t="str">
        <f t="shared" si="16"/>
        <v>Weekday</v>
      </c>
      <c r="I315" s="12" t="str">
        <f t="shared" si="17"/>
        <v>Working Day</v>
      </c>
      <c r="J315" s="12" t="str">
        <f t="shared" si="18"/>
        <v>Low</v>
      </c>
      <c r="K315" s="12" t="str">
        <f>INDEX('Combined_Data'!H:H, MATCH(A315, 'Combined_Data'!A:A, 0))</f>
        <v>Clear</v>
      </c>
      <c r="L315" s="13">
        <f t="shared" si="19"/>
        <v>1</v>
      </c>
    </row>
    <row r="316" spans="1:12" x14ac:dyDescent="0.35">
      <c r="A316" s="10">
        <v>315</v>
      </c>
      <c r="B316" s="11">
        <f>INDEX('Combined_Data'!B:B, MATCH(Derived_Data!A316, 'Combined_Data'!A:A, 0))</f>
        <v>40557</v>
      </c>
      <c r="C316" s="12" t="str">
        <f>INDEX('Combined_Data'!G:G, MATCH(A316, 'Combined_Data'!A:A, 0))</f>
        <v>Friday</v>
      </c>
      <c r="D316" s="12" t="b">
        <f>INDEX('Combined_Data'!F:F, MATCH(A316, 'Combined_Data'!A:A, 0))</f>
        <v>0</v>
      </c>
      <c r="E316" s="12">
        <f>INDEX('Combined_Data'!O:O, MATCH(A316, 'Combined_Data'!A:A, 0))</f>
        <v>64</v>
      </c>
      <c r="F316" s="12">
        <f>INDEX('Combined_Data'!M:M, MATCH(A316, 'Combined_Data'!A:A, 0))</f>
        <v>5</v>
      </c>
      <c r="G316" s="12">
        <f>INDEX('Combined_Data'!N:N, MATCH(A316, 'Combined_Data'!A:A, 0))</f>
        <v>59</v>
      </c>
      <c r="H316" s="12" t="str">
        <f t="shared" si="16"/>
        <v>Weekday</v>
      </c>
      <c r="I316" s="12" t="str">
        <f t="shared" si="17"/>
        <v>Working Day</v>
      </c>
      <c r="J316" s="12" t="str">
        <f t="shared" si="18"/>
        <v>Low</v>
      </c>
      <c r="K316" s="12" t="str">
        <f>INDEX('Combined_Data'!H:H, MATCH(A316, 'Combined_Data'!A:A, 0))</f>
        <v>Clear</v>
      </c>
      <c r="L316" s="13">
        <f t="shared" si="19"/>
        <v>1</v>
      </c>
    </row>
    <row r="317" spans="1:12" x14ac:dyDescent="0.35">
      <c r="A317" s="10">
        <v>316</v>
      </c>
      <c r="B317" s="11">
        <f>INDEX('Combined_Data'!B:B, MATCH(Derived_Data!A317, 'Combined_Data'!A:A, 0))</f>
        <v>40557</v>
      </c>
      <c r="C317" s="12" t="str">
        <f>INDEX('Combined_Data'!G:G, MATCH(A317, 'Combined_Data'!A:A, 0))</f>
        <v>Friday</v>
      </c>
      <c r="D317" s="12" t="b">
        <f>INDEX('Combined_Data'!F:F, MATCH(A317, 'Combined_Data'!A:A, 0))</f>
        <v>0</v>
      </c>
      <c r="E317" s="12">
        <f>INDEX('Combined_Data'!O:O, MATCH(A317, 'Combined_Data'!A:A, 0))</f>
        <v>68</v>
      </c>
      <c r="F317" s="12">
        <f>INDEX('Combined_Data'!M:M, MATCH(A317, 'Combined_Data'!A:A, 0))</f>
        <v>9</v>
      </c>
      <c r="G317" s="12">
        <f>INDEX('Combined_Data'!N:N, MATCH(A317, 'Combined_Data'!A:A, 0))</f>
        <v>59</v>
      </c>
      <c r="H317" s="12" t="str">
        <f t="shared" si="16"/>
        <v>Weekday</v>
      </c>
      <c r="I317" s="12" t="str">
        <f t="shared" si="17"/>
        <v>Working Day</v>
      </c>
      <c r="J317" s="12" t="str">
        <f t="shared" si="18"/>
        <v>Low</v>
      </c>
      <c r="K317" s="12" t="str">
        <f>INDEX('Combined_Data'!H:H, MATCH(A317, 'Combined_Data'!A:A, 0))</f>
        <v>Clear</v>
      </c>
      <c r="L317" s="13">
        <f t="shared" si="19"/>
        <v>1</v>
      </c>
    </row>
    <row r="318" spans="1:12" x14ac:dyDescent="0.35">
      <c r="A318" s="10">
        <v>317</v>
      </c>
      <c r="B318" s="11">
        <f>INDEX('Combined_Data'!B:B, MATCH(Derived_Data!A318, 'Combined_Data'!A:A, 0))</f>
        <v>40557</v>
      </c>
      <c r="C318" s="12" t="str">
        <f>INDEX('Combined_Data'!G:G, MATCH(A318, 'Combined_Data'!A:A, 0))</f>
        <v>Friday</v>
      </c>
      <c r="D318" s="12" t="b">
        <f>INDEX('Combined_Data'!F:F, MATCH(A318, 'Combined_Data'!A:A, 0))</f>
        <v>0</v>
      </c>
      <c r="E318" s="12">
        <f>INDEX('Combined_Data'!O:O, MATCH(A318, 'Combined_Data'!A:A, 0))</f>
        <v>90</v>
      </c>
      <c r="F318" s="12">
        <f>INDEX('Combined_Data'!M:M, MATCH(A318, 'Combined_Data'!A:A, 0))</f>
        <v>3</v>
      </c>
      <c r="G318" s="12">
        <f>INDEX('Combined_Data'!N:N, MATCH(A318, 'Combined_Data'!A:A, 0))</f>
        <v>87</v>
      </c>
      <c r="H318" s="12" t="str">
        <f t="shared" si="16"/>
        <v>Weekday</v>
      </c>
      <c r="I318" s="12" t="str">
        <f t="shared" si="17"/>
        <v>Working Day</v>
      </c>
      <c r="J318" s="12" t="str">
        <f t="shared" si="18"/>
        <v>Low</v>
      </c>
      <c r="K318" s="12" t="str">
        <f>INDEX('Combined_Data'!H:H, MATCH(A318, 'Combined_Data'!A:A, 0))</f>
        <v>Clear</v>
      </c>
      <c r="L318" s="13">
        <f t="shared" si="19"/>
        <v>1</v>
      </c>
    </row>
    <row r="319" spans="1:12" x14ac:dyDescent="0.35">
      <c r="A319" s="10">
        <v>318</v>
      </c>
      <c r="B319" s="11">
        <f>INDEX('Combined_Data'!B:B, MATCH(Derived_Data!A319, 'Combined_Data'!A:A, 0))</f>
        <v>40557</v>
      </c>
      <c r="C319" s="12" t="str">
        <f>INDEX('Combined_Data'!G:G, MATCH(A319, 'Combined_Data'!A:A, 0))</f>
        <v>Friday</v>
      </c>
      <c r="D319" s="12" t="b">
        <f>INDEX('Combined_Data'!F:F, MATCH(A319, 'Combined_Data'!A:A, 0))</f>
        <v>0</v>
      </c>
      <c r="E319" s="12">
        <f>INDEX('Combined_Data'!O:O, MATCH(A319, 'Combined_Data'!A:A, 0))</f>
        <v>159</v>
      </c>
      <c r="F319" s="12">
        <f>INDEX('Combined_Data'!M:M, MATCH(A319, 'Combined_Data'!A:A, 0))</f>
        <v>4</v>
      </c>
      <c r="G319" s="12">
        <f>INDEX('Combined_Data'!N:N, MATCH(A319, 'Combined_Data'!A:A, 0))</f>
        <v>155</v>
      </c>
      <c r="H319" s="12" t="str">
        <f t="shared" si="16"/>
        <v>Weekday</v>
      </c>
      <c r="I319" s="12" t="str">
        <f t="shared" si="17"/>
        <v>Working Day</v>
      </c>
      <c r="J319" s="12" t="str">
        <f t="shared" si="18"/>
        <v>High</v>
      </c>
      <c r="K319" s="12" t="str">
        <f>INDEX('Combined_Data'!H:H, MATCH(A319, 'Combined_Data'!A:A, 0))</f>
        <v>Clear</v>
      </c>
      <c r="L319" s="13">
        <f t="shared" si="19"/>
        <v>1</v>
      </c>
    </row>
    <row r="320" spans="1:12" x14ac:dyDescent="0.35">
      <c r="A320" s="10">
        <v>319</v>
      </c>
      <c r="B320" s="11">
        <f>INDEX('Combined_Data'!B:B, MATCH(Derived_Data!A320, 'Combined_Data'!A:A, 0))</f>
        <v>40557</v>
      </c>
      <c r="C320" s="12" t="str">
        <f>INDEX('Combined_Data'!G:G, MATCH(A320, 'Combined_Data'!A:A, 0))</f>
        <v>Friday</v>
      </c>
      <c r="D320" s="12" t="b">
        <f>INDEX('Combined_Data'!F:F, MATCH(A320, 'Combined_Data'!A:A, 0))</f>
        <v>0</v>
      </c>
      <c r="E320" s="12">
        <f>INDEX('Combined_Data'!O:O, MATCH(A320, 'Combined_Data'!A:A, 0))</f>
        <v>139</v>
      </c>
      <c r="F320" s="12">
        <f>INDEX('Combined_Data'!M:M, MATCH(A320, 'Combined_Data'!A:A, 0))</f>
        <v>5</v>
      </c>
      <c r="G320" s="12">
        <f>INDEX('Combined_Data'!N:N, MATCH(A320, 'Combined_Data'!A:A, 0))</f>
        <v>134</v>
      </c>
      <c r="H320" s="12" t="str">
        <f t="shared" si="16"/>
        <v>Weekday</v>
      </c>
      <c r="I320" s="12" t="str">
        <f t="shared" si="17"/>
        <v>Working Day</v>
      </c>
      <c r="J320" s="12" t="str">
        <f t="shared" si="18"/>
        <v>Medium</v>
      </c>
      <c r="K320" s="12" t="str">
        <f>INDEX('Combined_Data'!H:H, MATCH(A320, 'Combined_Data'!A:A, 0))</f>
        <v>Clear</v>
      </c>
      <c r="L320" s="13">
        <f t="shared" si="19"/>
        <v>1</v>
      </c>
    </row>
    <row r="321" spans="1:12" x14ac:dyDescent="0.35">
      <c r="A321" s="10">
        <v>320</v>
      </c>
      <c r="B321" s="11">
        <f>INDEX('Combined_Data'!B:B, MATCH(Derived_Data!A321, 'Combined_Data'!A:A, 0))</f>
        <v>40557</v>
      </c>
      <c r="C321" s="12" t="str">
        <f>INDEX('Combined_Data'!G:G, MATCH(A321, 'Combined_Data'!A:A, 0))</f>
        <v>Friday</v>
      </c>
      <c r="D321" s="12" t="b">
        <f>INDEX('Combined_Data'!F:F, MATCH(A321, 'Combined_Data'!A:A, 0))</f>
        <v>0</v>
      </c>
      <c r="E321" s="12">
        <f>INDEX('Combined_Data'!O:O, MATCH(A321, 'Combined_Data'!A:A, 0))</f>
        <v>92</v>
      </c>
      <c r="F321" s="12">
        <f>INDEX('Combined_Data'!M:M, MATCH(A321, 'Combined_Data'!A:A, 0))</f>
        <v>3</v>
      </c>
      <c r="G321" s="12">
        <f>INDEX('Combined_Data'!N:N, MATCH(A321, 'Combined_Data'!A:A, 0))</f>
        <v>89</v>
      </c>
      <c r="H321" s="12" t="str">
        <f t="shared" si="16"/>
        <v>Weekday</v>
      </c>
      <c r="I321" s="12" t="str">
        <f t="shared" si="17"/>
        <v>Working Day</v>
      </c>
      <c r="J321" s="12" t="str">
        <f t="shared" si="18"/>
        <v>Low</v>
      </c>
      <c r="K321" s="12" t="str">
        <f>INDEX('Combined_Data'!H:H, MATCH(A321, 'Combined_Data'!A:A, 0))</f>
        <v>Clear</v>
      </c>
      <c r="L321" s="13">
        <f t="shared" si="19"/>
        <v>1</v>
      </c>
    </row>
    <row r="322" spans="1:12" x14ac:dyDescent="0.35">
      <c r="A322" s="10">
        <v>321</v>
      </c>
      <c r="B322" s="11">
        <f>INDEX('Combined_Data'!B:B, MATCH(Derived_Data!A322, 'Combined_Data'!A:A, 0))</f>
        <v>40557</v>
      </c>
      <c r="C322" s="12" t="str">
        <f>INDEX('Combined_Data'!G:G, MATCH(A322, 'Combined_Data'!A:A, 0))</f>
        <v>Friday</v>
      </c>
      <c r="D322" s="12" t="b">
        <f>INDEX('Combined_Data'!F:F, MATCH(A322, 'Combined_Data'!A:A, 0))</f>
        <v>0</v>
      </c>
      <c r="E322" s="12">
        <f>INDEX('Combined_Data'!O:O, MATCH(A322, 'Combined_Data'!A:A, 0))</f>
        <v>68</v>
      </c>
      <c r="F322" s="12">
        <f>INDEX('Combined_Data'!M:M, MATCH(A322, 'Combined_Data'!A:A, 0))</f>
        <v>0</v>
      </c>
      <c r="G322" s="12">
        <f>INDEX('Combined_Data'!N:N, MATCH(A322, 'Combined_Data'!A:A, 0))</f>
        <v>68</v>
      </c>
      <c r="H322" s="12" t="str">
        <f t="shared" si="16"/>
        <v>Weekday</v>
      </c>
      <c r="I322" s="12" t="str">
        <f t="shared" si="17"/>
        <v>Working Day</v>
      </c>
      <c r="J322" s="12" t="str">
        <f t="shared" si="18"/>
        <v>Low</v>
      </c>
      <c r="K322" s="12" t="str">
        <f>INDEX('Combined_Data'!H:H, MATCH(A322, 'Combined_Data'!A:A, 0))</f>
        <v>Clear</v>
      </c>
      <c r="L322" s="13">
        <f t="shared" si="19"/>
        <v>1</v>
      </c>
    </row>
    <row r="323" spans="1:12" x14ac:dyDescent="0.35">
      <c r="A323" s="10">
        <v>322</v>
      </c>
      <c r="B323" s="11">
        <f>INDEX('Combined_Data'!B:B, MATCH(Derived_Data!A323, 'Combined_Data'!A:A, 0))</f>
        <v>40557</v>
      </c>
      <c r="C323" s="12" t="str">
        <f>INDEX('Combined_Data'!G:G, MATCH(A323, 'Combined_Data'!A:A, 0))</f>
        <v>Friday</v>
      </c>
      <c r="D323" s="12" t="b">
        <f>INDEX('Combined_Data'!F:F, MATCH(A323, 'Combined_Data'!A:A, 0))</f>
        <v>0</v>
      </c>
      <c r="E323" s="12">
        <f>INDEX('Combined_Data'!O:O, MATCH(A323, 'Combined_Data'!A:A, 0))</f>
        <v>52</v>
      </c>
      <c r="F323" s="12">
        <f>INDEX('Combined_Data'!M:M, MATCH(A323, 'Combined_Data'!A:A, 0))</f>
        <v>4</v>
      </c>
      <c r="G323" s="12">
        <f>INDEX('Combined_Data'!N:N, MATCH(A323, 'Combined_Data'!A:A, 0))</f>
        <v>48</v>
      </c>
      <c r="H323" s="12" t="str">
        <f t="shared" ref="H323:H386" si="20">IF(OR(TRIM(C323)="Saturday",TRIM(C323)="Sunday"),"Weekend","Weekday")</f>
        <v>Weekday</v>
      </c>
      <c r="I323" s="12" t="str">
        <f t="shared" ref="I323:I386" si="21">IF(D323=TRUE,"Holiday","Working Day")</f>
        <v>Working Day</v>
      </c>
      <c r="J323" s="12" t="str">
        <f t="shared" ref="J323:J386" si="22">IF(E323&lt;100,"Low",IF(E323&lt;=150,"Medium","High"))</f>
        <v>Low</v>
      </c>
      <c r="K323" s="12" t="str">
        <f>INDEX('Combined_Data'!H:H, MATCH(A323, 'Combined_Data'!A:A, 0))</f>
        <v>Clear</v>
      </c>
      <c r="L323" s="13">
        <f t="shared" ref="L323:L386" si="23">VLOOKUP(TRIM(K323), $T$2:$U$5, 2, FALSE)</f>
        <v>1</v>
      </c>
    </row>
    <row r="324" spans="1:12" x14ac:dyDescent="0.35">
      <c r="A324" s="10">
        <v>323</v>
      </c>
      <c r="B324" s="11">
        <f>INDEX('Combined_Data'!B:B, MATCH(Derived_Data!A324, 'Combined_Data'!A:A, 0))</f>
        <v>40557</v>
      </c>
      <c r="C324" s="12" t="str">
        <f>INDEX('Combined_Data'!G:G, MATCH(A324, 'Combined_Data'!A:A, 0))</f>
        <v>Friday</v>
      </c>
      <c r="D324" s="12" t="b">
        <f>INDEX('Combined_Data'!F:F, MATCH(A324, 'Combined_Data'!A:A, 0))</f>
        <v>0</v>
      </c>
      <c r="E324" s="12">
        <f>INDEX('Combined_Data'!O:O, MATCH(A324, 'Combined_Data'!A:A, 0))</f>
        <v>36</v>
      </c>
      <c r="F324" s="12">
        <f>INDEX('Combined_Data'!M:M, MATCH(A324, 'Combined_Data'!A:A, 0))</f>
        <v>2</v>
      </c>
      <c r="G324" s="12">
        <f>INDEX('Combined_Data'!N:N, MATCH(A324, 'Combined_Data'!A:A, 0))</f>
        <v>34</v>
      </c>
      <c r="H324" s="12" t="str">
        <f t="shared" si="20"/>
        <v>Weekday</v>
      </c>
      <c r="I324" s="12" t="str">
        <f t="shared" si="21"/>
        <v>Working Day</v>
      </c>
      <c r="J324" s="12" t="str">
        <f t="shared" si="22"/>
        <v>Low</v>
      </c>
      <c r="K324" s="12" t="str">
        <f>INDEX('Combined_Data'!H:H, MATCH(A324, 'Combined_Data'!A:A, 0))</f>
        <v>Mist</v>
      </c>
      <c r="L324" s="13">
        <f t="shared" si="23"/>
        <v>2</v>
      </c>
    </row>
    <row r="325" spans="1:12" x14ac:dyDescent="0.35">
      <c r="A325" s="10">
        <v>324</v>
      </c>
      <c r="B325" s="11">
        <f>INDEX('Combined_Data'!B:B, MATCH(Derived_Data!A325, 'Combined_Data'!A:A, 0))</f>
        <v>40557</v>
      </c>
      <c r="C325" s="12" t="str">
        <f>INDEX('Combined_Data'!G:G, MATCH(A325, 'Combined_Data'!A:A, 0))</f>
        <v>Friday</v>
      </c>
      <c r="D325" s="12" t="b">
        <f>INDEX('Combined_Data'!F:F, MATCH(A325, 'Combined_Data'!A:A, 0))</f>
        <v>0</v>
      </c>
      <c r="E325" s="12">
        <f>INDEX('Combined_Data'!O:O, MATCH(A325, 'Combined_Data'!A:A, 0))</f>
        <v>27</v>
      </c>
      <c r="F325" s="12">
        <f>INDEX('Combined_Data'!M:M, MATCH(A325, 'Combined_Data'!A:A, 0))</f>
        <v>1</v>
      </c>
      <c r="G325" s="12">
        <f>INDEX('Combined_Data'!N:N, MATCH(A325, 'Combined_Data'!A:A, 0))</f>
        <v>26</v>
      </c>
      <c r="H325" s="12" t="str">
        <f t="shared" si="20"/>
        <v>Weekday</v>
      </c>
      <c r="I325" s="12" t="str">
        <f t="shared" si="21"/>
        <v>Working Day</v>
      </c>
      <c r="J325" s="12" t="str">
        <f t="shared" si="22"/>
        <v>Low</v>
      </c>
      <c r="K325" s="12" t="str">
        <f>INDEX('Combined_Data'!H:H, MATCH(A325, 'Combined_Data'!A:A, 0))</f>
        <v>Mist</v>
      </c>
      <c r="L325" s="13">
        <f t="shared" si="23"/>
        <v>2</v>
      </c>
    </row>
    <row r="326" spans="1:12" x14ac:dyDescent="0.35">
      <c r="A326" s="10">
        <v>325</v>
      </c>
      <c r="B326" s="11">
        <f>INDEX('Combined_Data'!B:B, MATCH(Derived_Data!A326, 'Combined_Data'!A:A, 0))</f>
        <v>40558</v>
      </c>
      <c r="C326" s="12" t="str">
        <f>INDEX('Combined_Data'!G:G, MATCH(A326, 'Combined_Data'!A:A, 0))</f>
        <v>Saturday</v>
      </c>
      <c r="D326" s="12" t="b">
        <f>INDEX('Combined_Data'!F:F, MATCH(A326, 'Combined_Data'!A:A, 0))</f>
        <v>0</v>
      </c>
      <c r="E326" s="12">
        <f>INDEX('Combined_Data'!O:O, MATCH(A326, 'Combined_Data'!A:A, 0))</f>
        <v>28</v>
      </c>
      <c r="F326" s="12">
        <f>INDEX('Combined_Data'!M:M, MATCH(A326, 'Combined_Data'!A:A, 0))</f>
        <v>3</v>
      </c>
      <c r="G326" s="12">
        <f>INDEX('Combined_Data'!N:N, MATCH(A326, 'Combined_Data'!A:A, 0))</f>
        <v>25</v>
      </c>
      <c r="H326" s="12" t="str">
        <f t="shared" si="20"/>
        <v>Weekend</v>
      </c>
      <c r="I326" s="12" t="str">
        <f t="shared" si="21"/>
        <v>Working Day</v>
      </c>
      <c r="J326" s="12" t="str">
        <f t="shared" si="22"/>
        <v>Low</v>
      </c>
      <c r="K326" s="12" t="str">
        <f>INDEX('Combined_Data'!H:H, MATCH(A326, 'Combined_Data'!A:A, 0))</f>
        <v>Clear</v>
      </c>
      <c r="L326" s="13">
        <f t="shared" si="23"/>
        <v>1</v>
      </c>
    </row>
    <row r="327" spans="1:12" x14ac:dyDescent="0.35">
      <c r="A327" s="10">
        <v>326</v>
      </c>
      <c r="B327" s="11">
        <f>INDEX('Combined_Data'!B:B, MATCH(Derived_Data!A327, 'Combined_Data'!A:A, 0))</f>
        <v>40558</v>
      </c>
      <c r="C327" s="12" t="str">
        <f>INDEX('Combined_Data'!G:G, MATCH(A327, 'Combined_Data'!A:A, 0))</f>
        <v>Saturday</v>
      </c>
      <c r="D327" s="12" t="b">
        <f>INDEX('Combined_Data'!F:F, MATCH(A327, 'Combined_Data'!A:A, 0))</f>
        <v>0</v>
      </c>
      <c r="E327" s="12">
        <f>INDEX('Combined_Data'!O:O, MATCH(A327, 'Combined_Data'!A:A, 0))</f>
        <v>20</v>
      </c>
      <c r="F327" s="12">
        <f>INDEX('Combined_Data'!M:M, MATCH(A327, 'Combined_Data'!A:A, 0))</f>
        <v>2</v>
      </c>
      <c r="G327" s="12">
        <f>INDEX('Combined_Data'!N:N, MATCH(A327, 'Combined_Data'!A:A, 0))</f>
        <v>18</v>
      </c>
      <c r="H327" s="12" t="str">
        <f t="shared" si="20"/>
        <v>Weekend</v>
      </c>
      <c r="I327" s="12" t="str">
        <f t="shared" si="21"/>
        <v>Working Day</v>
      </c>
      <c r="J327" s="12" t="str">
        <f t="shared" si="22"/>
        <v>Low</v>
      </c>
      <c r="K327" s="12" t="str">
        <f>INDEX('Combined_Data'!H:H, MATCH(A327, 'Combined_Data'!A:A, 0))</f>
        <v>Mist</v>
      </c>
      <c r="L327" s="13">
        <f t="shared" si="23"/>
        <v>2</v>
      </c>
    </row>
    <row r="328" spans="1:12" x14ac:dyDescent="0.35">
      <c r="A328" s="10">
        <v>327</v>
      </c>
      <c r="B328" s="11">
        <f>INDEX('Combined_Data'!B:B, MATCH(Derived_Data!A328, 'Combined_Data'!A:A, 0))</f>
        <v>40558</v>
      </c>
      <c r="C328" s="12" t="str">
        <f>INDEX('Combined_Data'!G:G, MATCH(A328, 'Combined_Data'!A:A, 0))</f>
        <v>Saturday</v>
      </c>
      <c r="D328" s="12" t="b">
        <f>INDEX('Combined_Data'!F:F, MATCH(A328, 'Combined_Data'!A:A, 0))</f>
        <v>0</v>
      </c>
      <c r="E328" s="12">
        <f>INDEX('Combined_Data'!O:O, MATCH(A328, 'Combined_Data'!A:A, 0))</f>
        <v>12</v>
      </c>
      <c r="F328" s="12">
        <f>INDEX('Combined_Data'!M:M, MATCH(A328, 'Combined_Data'!A:A, 0))</f>
        <v>0</v>
      </c>
      <c r="G328" s="12">
        <f>INDEX('Combined_Data'!N:N, MATCH(A328, 'Combined_Data'!A:A, 0))</f>
        <v>12</v>
      </c>
      <c r="H328" s="12" t="str">
        <f t="shared" si="20"/>
        <v>Weekend</v>
      </c>
      <c r="I328" s="12" t="str">
        <f t="shared" si="21"/>
        <v>Working Day</v>
      </c>
      <c r="J328" s="12" t="str">
        <f t="shared" si="22"/>
        <v>Low</v>
      </c>
      <c r="K328" s="12" t="str">
        <f>INDEX('Combined_Data'!H:H, MATCH(A328, 'Combined_Data'!A:A, 0))</f>
        <v>Mist</v>
      </c>
      <c r="L328" s="13">
        <f t="shared" si="23"/>
        <v>2</v>
      </c>
    </row>
    <row r="329" spans="1:12" x14ac:dyDescent="0.35">
      <c r="A329" s="10">
        <v>328</v>
      </c>
      <c r="B329" s="11">
        <f>INDEX('Combined_Data'!B:B, MATCH(Derived_Data!A329, 'Combined_Data'!A:A, 0))</f>
        <v>40558</v>
      </c>
      <c r="C329" s="12" t="str">
        <f>INDEX('Combined_Data'!G:G, MATCH(A329, 'Combined_Data'!A:A, 0))</f>
        <v>Saturday</v>
      </c>
      <c r="D329" s="12" t="b">
        <f>INDEX('Combined_Data'!F:F, MATCH(A329, 'Combined_Data'!A:A, 0))</f>
        <v>0</v>
      </c>
      <c r="E329" s="12">
        <f>INDEX('Combined_Data'!O:O, MATCH(A329, 'Combined_Data'!A:A, 0))</f>
        <v>8</v>
      </c>
      <c r="F329" s="12">
        <f>INDEX('Combined_Data'!M:M, MATCH(A329, 'Combined_Data'!A:A, 0))</f>
        <v>1</v>
      </c>
      <c r="G329" s="12">
        <f>INDEX('Combined_Data'!N:N, MATCH(A329, 'Combined_Data'!A:A, 0))</f>
        <v>7</v>
      </c>
      <c r="H329" s="12" t="str">
        <f t="shared" si="20"/>
        <v>Weekend</v>
      </c>
      <c r="I329" s="12" t="str">
        <f t="shared" si="21"/>
        <v>Working Day</v>
      </c>
      <c r="J329" s="12" t="str">
        <f t="shared" si="22"/>
        <v>Low</v>
      </c>
      <c r="K329" s="12" t="str">
        <f>INDEX('Combined_Data'!H:H, MATCH(A329, 'Combined_Data'!A:A, 0))</f>
        <v>Mist</v>
      </c>
      <c r="L329" s="13">
        <f t="shared" si="23"/>
        <v>2</v>
      </c>
    </row>
    <row r="330" spans="1:12" x14ac:dyDescent="0.35">
      <c r="A330" s="10">
        <v>329</v>
      </c>
      <c r="B330" s="11">
        <f>INDEX('Combined_Data'!B:B, MATCH(Derived_Data!A330, 'Combined_Data'!A:A, 0))</f>
        <v>40558</v>
      </c>
      <c r="C330" s="12" t="str">
        <f>INDEX('Combined_Data'!G:G, MATCH(A330, 'Combined_Data'!A:A, 0))</f>
        <v>Saturday</v>
      </c>
      <c r="D330" s="12" t="b">
        <f>INDEX('Combined_Data'!F:F, MATCH(A330, 'Combined_Data'!A:A, 0))</f>
        <v>0</v>
      </c>
      <c r="E330" s="12">
        <f>INDEX('Combined_Data'!O:O, MATCH(A330, 'Combined_Data'!A:A, 0))</f>
        <v>5</v>
      </c>
      <c r="F330" s="12">
        <f>INDEX('Combined_Data'!M:M, MATCH(A330, 'Combined_Data'!A:A, 0))</f>
        <v>0</v>
      </c>
      <c r="G330" s="12">
        <f>INDEX('Combined_Data'!N:N, MATCH(A330, 'Combined_Data'!A:A, 0))</f>
        <v>5</v>
      </c>
      <c r="H330" s="12" t="str">
        <f t="shared" si="20"/>
        <v>Weekend</v>
      </c>
      <c r="I330" s="12" t="str">
        <f t="shared" si="21"/>
        <v>Working Day</v>
      </c>
      <c r="J330" s="12" t="str">
        <f t="shared" si="22"/>
        <v>Low</v>
      </c>
      <c r="K330" s="12" t="str">
        <f>INDEX('Combined_Data'!H:H, MATCH(A330, 'Combined_Data'!A:A, 0))</f>
        <v>Mist</v>
      </c>
      <c r="L330" s="13">
        <f t="shared" si="23"/>
        <v>2</v>
      </c>
    </row>
    <row r="331" spans="1:12" x14ac:dyDescent="0.35">
      <c r="A331" s="10">
        <v>330</v>
      </c>
      <c r="B331" s="11">
        <f>INDEX('Combined_Data'!B:B, MATCH(Derived_Data!A331, 'Combined_Data'!A:A, 0))</f>
        <v>40558</v>
      </c>
      <c r="C331" s="12" t="str">
        <f>INDEX('Combined_Data'!G:G, MATCH(A331, 'Combined_Data'!A:A, 0))</f>
        <v>Saturday</v>
      </c>
      <c r="D331" s="12" t="b">
        <f>INDEX('Combined_Data'!F:F, MATCH(A331, 'Combined_Data'!A:A, 0))</f>
        <v>0</v>
      </c>
      <c r="E331" s="12">
        <f>INDEX('Combined_Data'!O:O, MATCH(A331, 'Combined_Data'!A:A, 0))</f>
        <v>1</v>
      </c>
      <c r="F331" s="12">
        <f>INDEX('Combined_Data'!M:M, MATCH(A331, 'Combined_Data'!A:A, 0))</f>
        <v>0</v>
      </c>
      <c r="G331" s="12">
        <f>INDEX('Combined_Data'!N:N, MATCH(A331, 'Combined_Data'!A:A, 0))</f>
        <v>1</v>
      </c>
      <c r="H331" s="12" t="str">
        <f t="shared" si="20"/>
        <v>Weekend</v>
      </c>
      <c r="I331" s="12" t="str">
        <f t="shared" si="21"/>
        <v>Working Day</v>
      </c>
      <c r="J331" s="12" t="str">
        <f t="shared" si="22"/>
        <v>Low</v>
      </c>
      <c r="K331" s="12" t="str">
        <f>INDEX('Combined_Data'!H:H, MATCH(A331, 'Combined_Data'!A:A, 0))</f>
        <v>Clear</v>
      </c>
      <c r="L331" s="13">
        <f t="shared" si="23"/>
        <v>1</v>
      </c>
    </row>
    <row r="332" spans="1:12" x14ac:dyDescent="0.35">
      <c r="A332" s="10">
        <v>331</v>
      </c>
      <c r="B332" s="11">
        <f>INDEX('Combined_Data'!B:B, MATCH(Derived_Data!A332, 'Combined_Data'!A:A, 0))</f>
        <v>40558</v>
      </c>
      <c r="C332" s="12" t="str">
        <f>INDEX('Combined_Data'!G:G, MATCH(A332, 'Combined_Data'!A:A, 0))</f>
        <v>Saturday</v>
      </c>
      <c r="D332" s="12" t="b">
        <f>INDEX('Combined_Data'!F:F, MATCH(A332, 'Combined_Data'!A:A, 0))</f>
        <v>0</v>
      </c>
      <c r="E332" s="12">
        <f>INDEX('Combined_Data'!O:O, MATCH(A332, 'Combined_Data'!A:A, 0))</f>
        <v>3</v>
      </c>
      <c r="F332" s="12">
        <f>INDEX('Combined_Data'!M:M, MATCH(A332, 'Combined_Data'!A:A, 0))</f>
        <v>1</v>
      </c>
      <c r="G332" s="12">
        <f>INDEX('Combined_Data'!N:N, MATCH(A332, 'Combined_Data'!A:A, 0))</f>
        <v>2</v>
      </c>
      <c r="H332" s="12" t="str">
        <f t="shared" si="20"/>
        <v>Weekend</v>
      </c>
      <c r="I332" s="12" t="str">
        <f t="shared" si="21"/>
        <v>Working Day</v>
      </c>
      <c r="J332" s="12" t="str">
        <f t="shared" si="22"/>
        <v>Low</v>
      </c>
      <c r="K332" s="12" t="str">
        <f>INDEX('Combined_Data'!H:H, MATCH(A332, 'Combined_Data'!A:A, 0))</f>
        <v>Clear</v>
      </c>
      <c r="L332" s="13">
        <f t="shared" si="23"/>
        <v>1</v>
      </c>
    </row>
    <row r="333" spans="1:12" x14ac:dyDescent="0.35">
      <c r="A333" s="10">
        <v>332</v>
      </c>
      <c r="B333" s="11">
        <f>INDEX('Combined_Data'!B:B, MATCH(Derived_Data!A333, 'Combined_Data'!A:A, 0))</f>
        <v>40558</v>
      </c>
      <c r="C333" s="12" t="str">
        <f>INDEX('Combined_Data'!G:G, MATCH(A333, 'Combined_Data'!A:A, 0))</f>
        <v>Saturday</v>
      </c>
      <c r="D333" s="12" t="b">
        <f>INDEX('Combined_Data'!F:F, MATCH(A333, 'Combined_Data'!A:A, 0))</f>
        <v>0</v>
      </c>
      <c r="E333" s="12">
        <f>INDEX('Combined_Data'!O:O, MATCH(A333, 'Combined_Data'!A:A, 0))</f>
        <v>10</v>
      </c>
      <c r="F333" s="12">
        <f>INDEX('Combined_Data'!M:M, MATCH(A333, 'Combined_Data'!A:A, 0))</f>
        <v>1</v>
      </c>
      <c r="G333" s="12">
        <f>INDEX('Combined_Data'!N:N, MATCH(A333, 'Combined_Data'!A:A, 0))</f>
        <v>9</v>
      </c>
      <c r="H333" s="12" t="str">
        <f t="shared" si="20"/>
        <v>Weekend</v>
      </c>
      <c r="I333" s="12" t="str">
        <f t="shared" si="21"/>
        <v>Working Day</v>
      </c>
      <c r="J333" s="12" t="str">
        <f t="shared" si="22"/>
        <v>Low</v>
      </c>
      <c r="K333" s="12" t="str">
        <f>INDEX('Combined_Data'!H:H, MATCH(A333, 'Combined_Data'!A:A, 0))</f>
        <v>Clear</v>
      </c>
      <c r="L333" s="13">
        <f t="shared" si="23"/>
        <v>1</v>
      </c>
    </row>
    <row r="334" spans="1:12" x14ac:dyDescent="0.35">
      <c r="A334" s="10">
        <v>333</v>
      </c>
      <c r="B334" s="11">
        <f>INDEX('Combined_Data'!B:B, MATCH(Derived_Data!A334, 'Combined_Data'!A:A, 0))</f>
        <v>40558</v>
      </c>
      <c r="C334" s="12" t="str">
        <f>INDEX('Combined_Data'!G:G, MATCH(A334, 'Combined_Data'!A:A, 0))</f>
        <v>Saturday</v>
      </c>
      <c r="D334" s="12" t="b">
        <f>INDEX('Combined_Data'!F:F, MATCH(A334, 'Combined_Data'!A:A, 0))</f>
        <v>0</v>
      </c>
      <c r="E334" s="12">
        <f>INDEX('Combined_Data'!O:O, MATCH(A334, 'Combined_Data'!A:A, 0))</f>
        <v>23</v>
      </c>
      <c r="F334" s="12">
        <f>INDEX('Combined_Data'!M:M, MATCH(A334, 'Combined_Data'!A:A, 0))</f>
        <v>1</v>
      </c>
      <c r="G334" s="12">
        <f>INDEX('Combined_Data'!N:N, MATCH(A334, 'Combined_Data'!A:A, 0))</f>
        <v>22</v>
      </c>
      <c r="H334" s="12" t="str">
        <f t="shared" si="20"/>
        <v>Weekend</v>
      </c>
      <c r="I334" s="12" t="str">
        <f t="shared" si="21"/>
        <v>Working Day</v>
      </c>
      <c r="J334" s="12" t="str">
        <f t="shared" si="22"/>
        <v>Low</v>
      </c>
      <c r="K334" s="12" t="str">
        <f>INDEX('Combined_Data'!H:H, MATCH(A334, 'Combined_Data'!A:A, 0))</f>
        <v>Clear</v>
      </c>
      <c r="L334" s="13">
        <f t="shared" si="23"/>
        <v>1</v>
      </c>
    </row>
    <row r="335" spans="1:12" x14ac:dyDescent="0.35">
      <c r="A335" s="10">
        <v>334</v>
      </c>
      <c r="B335" s="11">
        <f>INDEX('Combined_Data'!B:B, MATCH(Derived_Data!A335, 'Combined_Data'!A:A, 0))</f>
        <v>40558</v>
      </c>
      <c r="C335" s="12" t="str">
        <f>INDEX('Combined_Data'!G:G, MATCH(A335, 'Combined_Data'!A:A, 0))</f>
        <v>Saturday</v>
      </c>
      <c r="D335" s="12" t="b">
        <f>INDEX('Combined_Data'!F:F, MATCH(A335, 'Combined_Data'!A:A, 0))</f>
        <v>0</v>
      </c>
      <c r="E335" s="12">
        <f>INDEX('Combined_Data'!O:O, MATCH(A335, 'Combined_Data'!A:A, 0))</f>
        <v>33</v>
      </c>
      <c r="F335" s="12">
        <f>INDEX('Combined_Data'!M:M, MATCH(A335, 'Combined_Data'!A:A, 0))</f>
        <v>2</v>
      </c>
      <c r="G335" s="12">
        <f>INDEX('Combined_Data'!N:N, MATCH(A335, 'Combined_Data'!A:A, 0))</f>
        <v>31</v>
      </c>
      <c r="H335" s="12" t="str">
        <f t="shared" si="20"/>
        <v>Weekend</v>
      </c>
      <c r="I335" s="12" t="str">
        <f t="shared" si="21"/>
        <v>Working Day</v>
      </c>
      <c r="J335" s="12" t="str">
        <f t="shared" si="22"/>
        <v>Low</v>
      </c>
      <c r="K335" s="12" t="str">
        <f>INDEX('Combined_Data'!H:H, MATCH(A335, 'Combined_Data'!A:A, 0))</f>
        <v>Clear</v>
      </c>
      <c r="L335" s="13">
        <f t="shared" si="23"/>
        <v>1</v>
      </c>
    </row>
    <row r="336" spans="1:12" x14ac:dyDescent="0.35">
      <c r="A336" s="10">
        <v>335</v>
      </c>
      <c r="B336" s="11">
        <f>INDEX('Combined_Data'!B:B, MATCH(Derived_Data!A336, 'Combined_Data'!A:A, 0))</f>
        <v>40558</v>
      </c>
      <c r="C336" s="12" t="str">
        <f>INDEX('Combined_Data'!G:G, MATCH(A336, 'Combined_Data'!A:A, 0))</f>
        <v>Saturday</v>
      </c>
      <c r="D336" s="12" t="b">
        <f>INDEX('Combined_Data'!F:F, MATCH(A336, 'Combined_Data'!A:A, 0))</f>
        <v>0</v>
      </c>
      <c r="E336" s="12">
        <f>INDEX('Combined_Data'!O:O, MATCH(A336, 'Combined_Data'!A:A, 0))</f>
        <v>59</v>
      </c>
      <c r="F336" s="12">
        <f>INDEX('Combined_Data'!M:M, MATCH(A336, 'Combined_Data'!A:A, 0))</f>
        <v>2</v>
      </c>
      <c r="G336" s="12">
        <f>INDEX('Combined_Data'!N:N, MATCH(A336, 'Combined_Data'!A:A, 0))</f>
        <v>57</v>
      </c>
      <c r="H336" s="12" t="str">
        <f t="shared" si="20"/>
        <v>Weekend</v>
      </c>
      <c r="I336" s="12" t="str">
        <f t="shared" si="21"/>
        <v>Working Day</v>
      </c>
      <c r="J336" s="12" t="str">
        <f t="shared" si="22"/>
        <v>Low</v>
      </c>
      <c r="K336" s="12" t="str">
        <f>INDEX('Combined_Data'!H:H, MATCH(A336, 'Combined_Data'!A:A, 0))</f>
        <v>Clear</v>
      </c>
      <c r="L336" s="13">
        <f t="shared" si="23"/>
        <v>1</v>
      </c>
    </row>
    <row r="337" spans="1:12" x14ac:dyDescent="0.35">
      <c r="A337" s="10">
        <v>336</v>
      </c>
      <c r="B337" s="11">
        <f>INDEX('Combined_Data'!B:B, MATCH(Derived_Data!A337, 'Combined_Data'!A:A, 0))</f>
        <v>40558</v>
      </c>
      <c r="C337" s="12" t="str">
        <f>INDEX('Combined_Data'!G:G, MATCH(A337, 'Combined_Data'!A:A, 0))</f>
        <v>Saturday</v>
      </c>
      <c r="D337" s="12" t="b">
        <f>INDEX('Combined_Data'!F:F, MATCH(A337, 'Combined_Data'!A:A, 0))</f>
        <v>0</v>
      </c>
      <c r="E337" s="12">
        <f>INDEX('Combined_Data'!O:O, MATCH(A337, 'Combined_Data'!A:A, 0))</f>
        <v>72</v>
      </c>
      <c r="F337" s="12">
        <f>INDEX('Combined_Data'!M:M, MATCH(A337, 'Combined_Data'!A:A, 0))</f>
        <v>18</v>
      </c>
      <c r="G337" s="12">
        <f>INDEX('Combined_Data'!N:N, MATCH(A337, 'Combined_Data'!A:A, 0))</f>
        <v>54</v>
      </c>
      <c r="H337" s="12" t="str">
        <f t="shared" si="20"/>
        <v>Weekend</v>
      </c>
      <c r="I337" s="12" t="str">
        <f t="shared" si="21"/>
        <v>Working Day</v>
      </c>
      <c r="J337" s="12" t="str">
        <f t="shared" si="22"/>
        <v>Low</v>
      </c>
      <c r="K337" s="12" t="str">
        <f>INDEX('Combined_Data'!H:H, MATCH(A337, 'Combined_Data'!A:A, 0))</f>
        <v>Clear</v>
      </c>
      <c r="L337" s="13">
        <f t="shared" si="23"/>
        <v>1</v>
      </c>
    </row>
    <row r="338" spans="1:12" x14ac:dyDescent="0.35">
      <c r="A338" s="10">
        <v>337</v>
      </c>
      <c r="B338" s="11">
        <f>INDEX('Combined_Data'!B:B, MATCH(Derived_Data!A338, 'Combined_Data'!A:A, 0))</f>
        <v>40558</v>
      </c>
      <c r="C338" s="12" t="str">
        <f>INDEX('Combined_Data'!G:G, MATCH(A338, 'Combined_Data'!A:A, 0))</f>
        <v>Saturday</v>
      </c>
      <c r="D338" s="12" t="b">
        <f>INDEX('Combined_Data'!F:F, MATCH(A338, 'Combined_Data'!A:A, 0))</f>
        <v>0</v>
      </c>
      <c r="E338" s="12">
        <f>INDEX('Combined_Data'!O:O, MATCH(A338, 'Combined_Data'!A:A, 0))</f>
        <v>89</v>
      </c>
      <c r="F338" s="12">
        <f>INDEX('Combined_Data'!M:M, MATCH(A338, 'Combined_Data'!A:A, 0))</f>
        <v>15</v>
      </c>
      <c r="G338" s="12">
        <f>INDEX('Combined_Data'!N:N, MATCH(A338, 'Combined_Data'!A:A, 0))</f>
        <v>74</v>
      </c>
      <c r="H338" s="12" t="str">
        <f t="shared" si="20"/>
        <v>Weekend</v>
      </c>
      <c r="I338" s="12" t="str">
        <f t="shared" si="21"/>
        <v>Working Day</v>
      </c>
      <c r="J338" s="12" t="str">
        <f t="shared" si="22"/>
        <v>Low</v>
      </c>
      <c r="K338" s="12" t="str">
        <f>INDEX('Combined_Data'!H:H, MATCH(A338, 'Combined_Data'!A:A, 0))</f>
        <v>Clear</v>
      </c>
      <c r="L338" s="13">
        <f t="shared" si="23"/>
        <v>1</v>
      </c>
    </row>
    <row r="339" spans="1:12" x14ac:dyDescent="0.35">
      <c r="A339" s="10">
        <v>338</v>
      </c>
      <c r="B339" s="11">
        <f>INDEX('Combined_Data'!B:B, MATCH(Derived_Data!A339, 'Combined_Data'!A:A, 0))</f>
        <v>40558</v>
      </c>
      <c r="C339" s="12" t="str">
        <f>INDEX('Combined_Data'!G:G, MATCH(A339, 'Combined_Data'!A:A, 0))</f>
        <v>Saturday</v>
      </c>
      <c r="D339" s="12" t="b">
        <f>INDEX('Combined_Data'!F:F, MATCH(A339, 'Combined_Data'!A:A, 0))</f>
        <v>0</v>
      </c>
      <c r="E339" s="12">
        <f>INDEX('Combined_Data'!O:O, MATCH(A339, 'Combined_Data'!A:A, 0))</f>
        <v>101</v>
      </c>
      <c r="F339" s="12">
        <f>INDEX('Combined_Data'!M:M, MATCH(A339, 'Combined_Data'!A:A, 0))</f>
        <v>21</v>
      </c>
      <c r="G339" s="12">
        <f>INDEX('Combined_Data'!N:N, MATCH(A339, 'Combined_Data'!A:A, 0))</f>
        <v>80</v>
      </c>
      <c r="H339" s="12" t="str">
        <f t="shared" si="20"/>
        <v>Weekend</v>
      </c>
      <c r="I339" s="12" t="str">
        <f t="shared" si="21"/>
        <v>Working Day</v>
      </c>
      <c r="J339" s="12" t="str">
        <f t="shared" si="22"/>
        <v>Medium</v>
      </c>
      <c r="K339" s="12" t="str">
        <f>INDEX('Combined_Data'!H:H, MATCH(A339, 'Combined_Data'!A:A, 0))</f>
        <v>Clear</v>
      </c>
      <c r="L339" s="13">
        <f t="shared" si="23"/>
        <v>1</v>
      </c>
    </row>
    <row r="340" spans="1:12" x14ac:dyDescent="0.35">
      <c r="A340" s="10">
        <v>339</v>
      </c>
      <c r="B340" s="11">
        <f>INDEX('Combined_Data'!B:B, MATCH(Derived_Data!A340, 'Combined_Data'!A:A, 0))</f>
        <v>40558</v>
      </c>
      <c r="C340" s="12" t="str">
        <f>INDEX('Combined_Data'!G:G, MATCH(A340, 'Combined_Data'!A:A, 0))</f>
        <v>Saturday</v>
      </c>
      <c r="D340" s="12" t="b">
        <f>INDEX('Combined_Data'!F:F, MATCH(A340, 'Combined_Data'!A:A, 0))</f>
        <v>0</v>
      </c>
      <c r="E340" s="12">
        <f>INDEX('Combined_Data'!O:O, MATCH(A340, 'Combined_Data'!A:A, 0))</f>
        <v>118</v>
      </c>
      <c r="F340" s="12">
        <f>INDEX('Combined_Data'!M:M, MATCH(A340, 'Combined_Data'!A:A, 0))</f>
        <v>26</v>
      </c>
      <c r="G340" s="12">
        <f>INDEX('Combined_Data'!N:N, MATCH(A340, 'Combined_Data'!A:A, 0))</f>
        <v>92</v>
      </c>
      <c r="H340" s="12" t="str">
        <f t="shared" si="20"/>
        <v>Weekend</v>
      </c>
      <c r="I340" s="12" t="str">
        <f t="shared" si="21"/>
        <v>Working Day</v>
      </c>
      <c r="J340" s="12" t="str">
        <f t="shared" si="22"/>
        <v>Medium</v>
      </c>
      <c r="K340" s="12" t="str">
        <f>INDEX('Combined_Data'!H:H, MATCH(A340, 'Combined_Data'!A:A, 0))</f>
        <v>Clear</v>
      </c>
      <c r="L340" s="13">
        <f t="shared" si="23"/>
        <v>1</v>
      </c>
    </row>
    <row r="341" spans="1:12" x14ac:dyDescent="0.35">
      <c r="A341" s="10">
        <v>340</v>
      </c>
      <c r="B341" s="11">
        <f>INDEX('Combined_Data'!B:B, MATCH(Derived_Data!A341, 'Combined_Data'!A:A, 0))</f>
        <v>40558</v>
      </c>
      <c r="C341" s="12" t="str">
        <f>INDEX('Combined_Data'!G:G, MATCH(A341, 'Combined_Data'!A:A, 0))</f>
        <v>Saturday</v>
      </c>
      <c r="D341" s="12" t="b">
        <f>INDEX('Combined_Data'!F:F, MATCH(A341, 'Combined_Data'!A:A, 0))</f>
        <v>0</v>
      </c>
      <c r="E341" s="12">
        <f>INDEX('Combined_Data'!O:O, MATCH(A341, 'Combined_Data'!A:A, 0))</f>
        <v>129</v>
      </c>
      <c r="F341" s="12">
        <f>INDEX('Combined_Data'!M:M, MATCH(A341, 'Combined_Data'!A:A, 0))</f>
        <v>21</v>
      </c>
      <c r="G341" s="12">
        <f>INDEX('Combined_Data'!N:N, MATCH(A341, 'Combined_Data'!A:A, 0))</f>
        <v>108</v>
      </c>
      <c r="H341" s="12" t="str">
        <f t="shared" si="20"/>
        <v>Weekend</v>
      </c>
      <c r="I341" s="12" t="str">
        <f t="shared" si="21"/>
        <v>Working Day</v>
      </c>
      <c r="J341" s="12" t="str">
        <f t="shared" si="22"/>
        <v>Medium</v>
      </c>
      <c r="K341" s="12" t="str">
        <f>INDEX('Combined_Data'!H:H, MATCH(A341, 'Combined_Data'!A:A, 0))</f>
        <v>Mist</v>
      </c>
      <c r="L341" s="13">
        <f t="shared" si="23"/>
        <v>2</v>
      </c>
    </row>
    <row r="342" spans="1:12" x14ac:dyDescent="0.35">
      <c r="A342" s="10">
        <v>341</v>
      </c>
      <c r="B342" s="11">
        <f>INDEX('Combined_Data'!B:B, MATCH(Derived_Data!A342, 'Combined_Data'!A:A, 0))</f>
        <v>40558</v>
      </c>
      <c r="C342" s="12" t="str">
        <f>INDEX('Combined_Data'!G:G, MATCH(A342, 'Combined_Data'!A:A, 0))</f>
        <v>Saturday</v>
      </c>
      <c r="D342" s="12" t="b">
        <f>INDEX('Combined_Data'!F:F, MATCH(A342, 'Combined_Data'!A:A, 0))</f>
        <v>0</v>
      </c>
      <c r="E342" s="12">
        <f>INDEX('Combined_Data'!O:O, MATCH(A342, 'Combined_Data'!A:A, 0))</f>
        <v>128</v>
      </c>
      <c r="F342" s="12">
        <f>INDEX('Combined_Data'!M:M, MATCH(A342, 'Combined_Data'!A:A, 0))</f>
        <v>33</v>
      </c>
      <c r="G342" s="12">
        <f>INDEX('Combined_Data'!N:N, MATCH(A342, 'Combined_Data'!A:A, 0))</f>
        <v>95</v>
      </c>
      <c r="H342" s="12" t="str">
        <f t="shared" si="20"/>
        <v>Weekend</v>
      </c>
      <c r="I342" s="12" t="str">
        <f t="shared" si="21"/>
        <v>Working Day</v>
      </c>
      <c r="J342" s="12" t="str">
        <f t="shared" si="22"/>
        <v>Medium</v>
      </c>
      <c r="K342" s="12" t="str">
        <f>INDEX('Combined_Data'!H:H, MATCH(A342, 'Combined_Data'!A:A, 0))</f>
        <v>Mist</v>
      </c>
      <c r="L342" s="13">
        <f t="shared" si="23"/>
        <v>2</v>
      </c>
    </row>
    <row r="343" spans="1:12" x14ac:dyDescent="0.35">
      <c r="A343" s="10">
        <v>342</v>
      </c>
      <c r="B343" s="11">
        <f>INDEX('Combined_Data'!B:B, MATCH(Derived_Data!A343, 'Combined_Data'!A:A, 0))</f>
        <v>40558</v>
      </c>
      <c r="C343" s="12" t="str">
        <f>INDEX('Combined_Data'!G:G, MATCH(A343, 'Combined_Data'!A:A, 0))</f>
        <v>Saturday</v>
      </c>
      <c r="D343" s="12" t="b">
        <f>INDEX('Combined_Data'!F:F, MATCH(A343, 'Combined_Data'!A:A, 0))</f>
        <v>0</v>
      </c>
      <c r="E343" s="12">
        <f>INDEX('Combined_Data'!O:O, MATCH(A343, 'Combined_Data'!A:A, 0))</f>
        <v>83</v>
      </c>
      <c r="F343" s="12">
        <f>INDEX('Combined_Data'!M:M, MATCH(A343, 'Combined_Data'!A:A, 0))</f>
        <v>29</v>
      </c>
      <c r="G343" s="12">
        <f>INDEX('Combined_Data'!N:N, MATCH(A343, 'Combined_Data'!A:A, 0))</f>
        <v>54</v>
      </c>
      <c r="H343" s="12" t="str">
        <f t="shared" si="20"/>
        <v>Weekend</v>
      </c>
      <c r="I343" s="12" t="str">
        <f t="shared" si="21"/>
        <v>Working Day</v>
      </c>
      <c r="J343" s="12" t="str">
        <f t="shared" si="22"/>
        <v>Low</v>
      </c>
      <c r="K343" s="12" t="str">
        <f>INDEX('Combined_Data'!H:H, MATCH(A343, 'Combined_Data'!A:A, 0))</f>
        <v>Mist</v>
      </c>
      <c r="L343" s="13">
        <f t="shared" si="23"/>
        <v>2</v>
      </c>
    </row>
    <row r="344" spans="1:12" x14ac:dyDescent="0.35">
      <c r="A344" s="10">
        <v>343</v>
      </c>
      <c r="B344" s="11">
        <f>INDEX('Combined_Data'!B:B, MATCH(Derived_Data!A344, 'Combined_Data'!A:A, 0))</f>
        <v>40558</v>
      </c>
      <c r="C344" s="12" t="str">
        <f>INDEX('Combined_Data'!G:G, MATCH(A344, 'Combined_Data'!A:A, 0))</f>
        <v>Saturday</v>
      </c>
      <c r="D344" s="12" t="b">
        <f>INDEX('Combined_Data'!F:F, MATCH(A344, 'Combined_Data'!A:A, 0))</f>
        <v>0</v>
      </c>
      <c r="E344" s="12">
        <f>INDEX('Combined_Data'!O:O, MATCH(A344, 'Combined_Data'!A:A, 0))</f>
        <v>84</v>
      </c>
      <c r="F344" s="12">
        <f>INDEX('Combined_Data'!M:M, MATCH(A344, 'Combined_Data'!A:A, 0))</f>
        <v>15</v>
      </c>
      <c r="G344" s="12">
        <f>INDEX('Combined_Data'!N:N, MATCH(A344, 'Combined_Data'!A:A, 0))</f>
        <v>69</v>
      </c>
      <c r="H344" s="12" t="str">
        <f t="shared" si="20"/>
        <v>Weekend</v>
      </c>
      <c r="I344" s="12" t="str">
        <f t="shared" si="21"/>
        <v>Working Day</v>
      </c>
      <c r="J344" s="12" t="str">
        <f t="shared" si="22"/>
        <v>Low</v>
      </c>
      <c r="K344" s="12" t="str">
        <f>INDEX('Combined_Data'!H:H, MATCH(A344, 'Combined_Data'!A:A, 0))</f>
        <v>Mist</v>
      </c>
      <c r="L344" s="13">
        <f t="shared" si="23"/>
        <v>2</v>
      </c>
    </row>
    <row r="345" spans="1:12" x14ac:dyDescent="0.35">
      <c r="A345" s="10">
        <v>344</v>
      </c>
      <c r="B345" s="11">
        <f>INDEX('Combined_Data'!B:B, MATCH(Derived_Data!A345, 'Combined_Data'!A:A, 0))</f>
        <v>40558</v>
      </c>
      <c r="C345" s="12" t="str">
        <f>INDEX('Combined_Data'!G:G, MATCH(A345, 'Combined_Data'!A:A, 0))</f>
        <v>Saturday</v>
      </c>
      <c r="D345" s="12" t="b">
        <f>INDEX('Combined_Data'!F:F, MATCH(A345, 'Combined_Data'!A:A, 0))</f>
        <v>0</v>
      </c>
      <c r="E345" s="12">
        <f>INDEX('Combined_Data'!O:O, MATCH(A345, 'Combined_Data'!A:A, 0))</f>
        <v>74</v>
      </c>
      <c r="F345" s="12">
        <f>INDEX('Combined_Data'!M:M, MATCH(A345, 'Combined_Data'!A:A, 0))</f>
        <v>14</v>
      </c>
      <c r="G345" s="12">
        <f>INDEX('Combined_Data'!N:N, MATCH(A345, 'Combined_Data'!A:A, 0))</f>
        <v>60</v>
      </c>
      <c r="H345" s="12" t="str">
        <f t="shared" si="20"/>
        <v>Weekend</v>
      </c>
      <c r="I345" s="12" t="str">
        <f t="shared" si="21"/>
        <v>Working Day</v>
      </c>
      <c r="J345" s="12" t="str">
        <f t="shared" si="22"/>
        <v>Low</v>
      </c>
      <c r="K345" s="12" t="str">
        <f>INDEX('Combined_Data'!H:H, MATCH(A345, 'Combined_Data'!A:A, 0))</f>
        <v>Mist</v>
      </c>
      <c r="L345" s="13">
        <f t="shared" si="23"/>
        <v>2</v>
      </c>
    </row>
    <row r="346" spans="1:12" x14ac:dyDescent="0.35">
      <c r="A346" s="10">
        <v>345</v>
      </c>
      <c r="B346" s="11">
        <f>INDEX('Combined_Data'!B:B, MATCH(Derived_Data!A346, 'Combined_Data'!A:A, 0))</f>
        <v>40558</v>
      </c>
      <c r="C346" s="12" t="str">
        <f>INDEX('Combined_Data'!G:G, MATCH(A346, 'Combined_Data'!A:A, 0))</f>
        <v>Saturday</v>
      </c>
      <c r="D346" s="12" t="b">
        <f>INDEX('Combined_Data'!F:F, MATCH(A346, 'Combined_Data'!A:A, 0))</f>
        <v>0</v>
      </c>
      <c r="E346" s="12">
        <f>INDEX('Combined_Data'!O:O, MATCH(A346, 'Combined_Data'!A:A, 0))</f>
        <v>41</v>
      </c>
      <c r="F346" s="12">
        <f>INDEX('Combined_Data'!M:M, MATCH(A346, 'Combined_Data'!A:A, 0))</f>
        <v>6</v>
      </c>
      <c r="G346" s="12">
        <f>INDEX('Combined_Data'!N:N, MATCH(A346, 'Combined_Data'!A:A, 0))</f>
        <v>35</v>
      </c>
      <c r="H346" s="12" t="str">
        <f t="shared" si="20"/>
        <v>Weekend</v>
      </c>
      <c r="I346" s="12" t="str">
        <f t="shared" si="21"/>
        <v>Working Day</v>
      </c>
      <c r="J346" s="12" t="str">
        <f t="shared" si="22"/>
        <v>Low</v>
      </c>
      <c r="K346" s="12" t="str">
        <f>INDEX('Combined_Data'!H:H, MATCH(A346, 'Combined_Data'!A:A, 0))</f>
        <v>Mist</v>
      </c>
      <c r="L346" s="13">
        <f t="shared" si="23"/>
        <v>2</v>
      </c>
    </row>
    <row r="347" spans="1:12" x14ac:dyDescent="0.35">
      <c r="A347" s="10">
        <v>346</v>
      </c>
      <c r="B347" s="11">
        <f>INDEX('Combined_Data'!B:B, MATCH(Derived_Data!A347, 'Combined_Data'!A:A, 0))</f>
        <v>40558</v>
      </c>
      <c r="C347" s="12" t="str">
        <f>INDEX('Combined_Data'!G:G, MATCH(A347, 'Combined_Data'!A:A, 0))</f>
        <v>Saturday</v>
      </c>
      <c r="D347" s="12" t="b">
        <f>INDEX('Combined_Data'!F:F, MATCH(A347, 'Combined_Data'!A:A, 0))</f>
        <v>0</v>
      </c>
      <c r="E347" s="12">
        <f>INDEX('Combined_Data'!O:O, MATCH(A347, 'Combined_Data'!A:A, 0))</f>
        <v>57</v>
      </c>
      <c r="F347" s="12">
        <f>INDEX('Combined_Data'!M:M, MATCH(A347, 'Combined_Data'!A:A, 0))</f>
        <v>6</v>
      </c>
      <c r="G347" s="12">
        <f>INDEX('Combined_Data'!N:N, MATCH(A347, 'Combined_Data'!A:A, 0))</f>
        <v>51</v>
      </c>
      <c r="H347" s="12" t="str">
        <f t="shared" si="20"/>
        <v>Weekend</v>
      </c>
      <c r="I347" s="12" t="str">
        <f t="shared" si="21"/>
        <v>Working Day</v>
      </c>
      <c r="J347" s="12" t="str">
        <f t="shared" si="22"/>
        <v>Low</v>
      </c>
      <c r="K347" s="12" t="str">
        <f>INDEX('Combined_Data'!H:H, MATCH(A347, 'Combined_Data'!A:A, 0))</f>
        <v>Mist</v>
      </c>
      <c r="L347" s="13">
        <f t="shared" si="23"/>
        <v>2</v>
      </c>
    </row>
    <row r="348" spans="1:12" x14ac:dyDescent="0.35">
      <c r="A348" s="10">
        <v>347</v>
      </c>
      <c r="B348" s="11">
        <f>INDEX('Combined_Data'!B:B, MATCH(Derived_Data!A348, 'Combined_Data'!A:A, 0))</f>
        <v>40558</v>
      </c>
      <c r="C348" s="12" t="str">
        <f>INDEX('Combined_Data'!G:G, MATCH(A348, 'Combined_Data'!A:A, 0))</f>
        <v>Saturday</v>
      </c>
      <c r="D348" s="12" t="b">
        <f>INDEX('Combined_Data'!F:F, MATCH(A348, 'Combined_Data'!A:A, 0))</f>
        <v>0</v>
      </c>
      <c r="E348" s="12">
        <f>INDEX('Combined_Data'!O:O, MATCH(A348, 'Combined_Data'!A:A, 0))</f>
        <v>26</v>
      </c>
      <c r="F348" s="12">
        <f>INDEX('Combined_Data'!M:M, MATCH(A348, 'Combined_Data'!A:A, 0))</f>
        <v>0</v>
      </c>
      <c r="G348" s="12">
        <f>INDEX('Combined_Data'!N:N, MATCH(A348, 'Combined_Data'!A:A, 0))</f>
        <v>26</v>
      </c>
      <c r="H348" s="12" t="str">
        <f t="shared" si="20"/>
        <v>Weekend</v>
      </c>
      <c r="I348" s="12" t="str">
        <f t="shared" si="21"/>
        <v>Working Day</v>
      </c>
      <c r="J348" s="12" t="str">
        <f t="shared" si="22"/>
        <v>Low</v>
      </c>
      <c r="K348" s="12" t="str">
        <f>INDEX('Combined_Data'!H:H, MATCH(A348, 'Combined_Data'!A:A, 0))</f>
        <v>Mist</v>
      </c>
      <c r="L348" s="13">
        <f t="shared" si="23"/>
        <v>2</v>
      </c>
    </row>
    <row r="349" spans="1:12" x14ac:dyDescent="0.35">
      <c r="A349" s="10">
        <v>348</v>
      </c>
      <c r="B349" s="11">
        <f>INDEX('Combined_Data'!B:B, MATCH(Derived_Data!A349, 'Combined_Data'!A:A, 0))</f>
        <v>40558</v>
      </c>
      <c r="C349" s="12" t="str">
        <f>INDEX('Combined_Data'!G:G, MATCH(A349, 'Combined_Data'!A:A, 0))</f>
        <v>Saturday</v>
      </c>
      <c r="D349" s="12" t="b">
        <f>INDEX('Combined_Data'!F:F, MATCH(A349, 'Combined_Data'!A:A, 0))</f>
        <v>0</v>
      </c>
      <c r="E349" s="12">
        <f>INDEX('Combined_Data'!O:O, MATCH(A349, 'Combined_Data'!A:A, 0))</f>
        <v>44</v>
      </c>
      <c r="F349" s="12">
        <f>INDEX('Combined_Data'!M:M, MATCH(A349, 'Combined_Data'!A:A, 0))</f>
        <v>5</v>
      </c>
      <c r="G349" s="12">
        <f>INDEX('Combined_Data'!N:N, MATCH(A349, 'Combined_Data'!A:A, 0))</f>
        <v>39</v>
      </c>
      <c r="H349" s="12" t="str">
        <f t="shared" si="20"/>
        <v>Weekend</v>
      </c>
      <c r="I349" s="12" t="str">
        <f t="shared" si="21"/>
        <v>Working Day</v>
      </c>
      <c r="J349" s="12" t="str">
        <f t="shared" si="22"/>
        <v>Low</v>
      </c>
      <c r="K349" s="12" t="str">
        <f>INDEX('Combined_Data'!H:H, MATCH(A349, 'Combined_Data'!A:A, 0))</f>
        <v>Clear</v>
      </c>
      <c r="L349" s="13">
        <f t="shared" si="23"/>
        <v>1</v>
      </c>
    </row>
    <row r="350" spans="1:12" x14ac:dyDescent="0.35">
      <c r="A350" s="10">
        <v>349</v>
      </c>
      <c r="B350" s="11">
        <f>INDEX('Combined_Data'!B:B, MATCH(Derived_Data!A350, 'Combined_Data'!A:A, 0))</f>
        <v>40559</v>
      </c>
      <c r="C350" s="12" t="str">
        <f>INDEX('Combined_Data'!G:G, MATCH(A350, 'Combined_Data'!A:A, 0))</f>
        <v>Sunday</v>
      </c>
      <c r="D350" s="12" t="b">
        <f>INDEX('Combined_Data'!F:F, MATCH(A350, 'Combined_Data'!A:A, 0))</f>
        <v>0</v>
      </c>
      <c r="E350" s="12">
        <f>INDEX('Combined_Data'!O:O, MATCH(A350, 'Combined_Data'!A:A, 0))</f>
        <v>39</v>
      </c>
      <c r="F350" s="12">
        <f>INDEX('Combined_Data'!M:M, MATCH(A350, 'Combined_Data'!A:A, 0))</f>
        <v>6</v>
      </c>
      <c r="G350" s="12">
        <f>INDEX('Combined_Data'!N:N, MATCH(A350, 'Combined_Data'!A:A, 0))</f>
        <v>33</v>
      </c>
      <c r="H350" s="12" t="str">
        <f t="shared" si="20"/>
        <v>Weekend</v>
      </c>
      <c r="I350" s="12" t="str">
        <f t="shared" si="21"/>
        <v>Working Day</v>
      </c>
      <c r="J350" s="12" t="str">
        <f t="shared" si="22"/>
        <v>Low</v>
      </c>
      <c r="K350" s="12" t="str">
        <f>INDEX('Combined_Data'!H:H, MATCH(A350, 'Combined_Data'!A:A, 0))</f>
        <v>Clear</v>
      </c>
      <c r="L350" s="13">
        <f t="shared" si="23"/>
        <v>1</v>
      </c>
    </row>
    <row r="351" spans="1:12" x14ac:dyDescent="0.35">
      <c r="A351" s="10">
        <v>350</v>
      </c>
      <c r="B351" s="11">
        <f>INDEX('Combined_Data'!B:B, MATCH(Derived_Data!A351, 'Combined_Data'!A:A, 0))</f>
        <v>40559</v>
      </c>
      <c r="C351" s="12" t="str">
        <f>INDEX('Combined_Data'!G:G, MATCH(A351, 'Combined_Data'!A:A, 0))</f>
        <v>Sunday</v>
      </c>
      <c r="D351" s="12" t="b">
        <f>INDEX('Combined_Data'!F:F, MATCH(A351, 'Combined_Data'!A:A, 0))</f>
        <v>0</v>
      </c>
      <c r="E351" s="12">
        <f>INDEX('Combined_Data'!O:O, MATCH(A351, 'Combined_Data'!A:A, 0))</f>
        <v>23</v>
      </c>
      <c r="F351" s="12">
        <f>INDEX('Combined_Data'!M:M, MATCH(A351, 'Combined_Data'!A:A, 0))</f>
        <v>4</v>
      </c>
      <c r="G351" s="12">
        <f>INDEX('Combined_Data'!N:N, MATCH(A351, 'Combined_Data'!A:A, 0))</f>
        <v>19</v>
      </c>
      <c r="H351" s="12" t="str">
        <f t="shared" si="20"/>
        <v>Weekend</v>
      </c>
      <c r="I351" s="12" t="str">
        <f t="shared" si="21"/>
        <v>Working Day</v>
      </c>
      <c r="J351" s="12" t="str">
        <f t="shared" si="22"/>
        <v>Low</v>
      </c>
      <c r="K351" s="12" t="str">
        <f>INDEX('Combined_Data'!H:H, MATCH(A351, 'Combined_Data'!A:A, 0))</f>
        <v>Clear</v>
      </c>
      <c r="L351" s="13">
        <f t="shared" si="23"/>
        <v>1</v>
      </c>
    </row>
    <row r="352" spans="1:12" x14ac:dyDescent="0.35">
      <c r="A352" s="10">
        <v>351</v>
      </c>
      <c r="B352" s="11">
        <f>INDEX('Combined_Data'!B:B, MATCH(Derived_Data!A352, 'Combined_Data'!A:A, 0))</f>
        <v>40559</v>
      </c>
      <c r="C352" s="12" t="str">
        <f>INDEX('Combined_Data'!G:G, MATCH(A352, 'Combined_Data'!A:A, 0))</f>
        <v>Sunday</v>
      </c>
      <c r="D352" s="12" t="b">
        <f>INDEX('Combined_Data'!F:F, MATCH(A352, 'Combined_Data'!A:A, 0))</f>
        <v>0</v>
      </c>
      <c r="E352" s="12">
        <f>INDEX('Combined_Data'!O:O, MATCH(A352, 'Combined_Data'!A:A, 0))</f>
        <v>16</v>
      </c>
      <c r="F352" s="12">
        <f>INDEX('Combined_Data'!M:M, MATCH(A352, 'Combined_Data'!A:A, 0))</f>
        <v>3</v>
      </c>
      <c r="G352" s="12">
        <f>INDEX('Combined_Data'!N:N, MATCH(A352, 'Combined_Data'!A:A, 0))</f>
        <v>13</v>
      </c>
      <c r="H352" s="12" t="str">
        <f t="shared" si="20"/>
        <v>Weekend</v>
      </c>
      <c r="I352" s="12" t="str">
        <f t="shared" si="21"/>
        <v>Working Day</v>
      </c>
      <c r="J352" s="12" t="str">
        <f t="shared" si="22"/>
        <v>Low</v>
      </c>
      <c r="K352" s="12" t="str">
        <f>INDEX('Combined_Data'!H:H, MATCH(A352, 'Combined_Data'!A:A, 0))</f>
        <v>Clear</v>
      </c>
      <c r="L352" s="13">
        <f t="shared" si="23"/>
        <v>1</v>
      </c>
    </row>
    <row r="353" spans="1:12" x14ac:dyDescent="0.35">
      <c r="A353" s="10">
        <v>352</v>
      </c>
      <c r="B353" s="11">
        <f>INDEX('Combined_Data'!B:B, MATCH(Derived_Data!A353, 'Combined_Data'!A:A, 0))</f>
        <v>40559</v>
      </c>
      <c r="C353" s="12" t="str">
        <f>INDEX('Combined_Data'!G:G, MATCH(A353, 'Combined_Data'!A:A, 0))</f>
        <v>Sunday</v>
      </c>
      <c r="D353" s="12" t="b">
        <f>INDEX('Combined_Data'!F:F, MATCH(A353, 'Combined_Data'!A:A, 0))</f>
        <v>0</v>
      </c>
      <c r="E353" s="12">
        <f>INDEX('Combined_Data'!O:O, MATCH(A353, 'Combined_Data'!A:A, 0))</f>
        <v>15</v>
      </c>
      <c r="F353" s="12">
        <f>INDEX('Combined_Data'!M:M, MATCH(A353, 'Combined_Data'!A:A, 0))</f>
        <v>9</v>
      </c>
      <c r="G353" s="12">
        <f>INDEX('Combined_Data'!N:N, MATCH(A353, 'Combined_Data'!A:A, 0))</f>
        <v>6</v>
      </c>
      <c r="H353" s="12" t="str">
        <f t="shared" si="20"/>
        <v>Weekend</v>
      </c>
      <c r="I353" s="12" t="str">
        <f t="shared" si="21"/>
        <v>Working Day</v>
      </c>
      <c r="J353" s="12" t="str">
        <f t="shared" si="22"/>
        <v>Low</v>
      </c>
      <c r="K353" s="12" t="str">
        <f>INDEX('Combined_Data'!H:H, MATCH(A353, 'Combined_Data'!A:A, 0))</f>
        <v>Clear</v>
      </c>
      <c r="L353" s="13">
        <f t="shared" si="23"/>
        <v>1</v>
      </c>
    </row>
    <row r="354" spans="1:12" x14ac:dyDescent="0.35">
      <c r="A354" s="10">
        <v>353</v>
      </c>
      <c r="B354" s="11">
        <f>INDEX('Combined_Data'!B:B, MATCH(Derived_Data!A354, 'Combined_Data'!A:A, 0))</f>
        <v>40559</v>
      </c>
      <c r="C354" s="12" t="str">
        <f>INDEX('Combined_Data'!G:G, MATCH(A354, 'Combined_Data'!A:A, 0))</f>
        <v>Sunday</v>
      </c>
      <c r="D354" s="12" t="b">
        <f>INDEX('Combined_Data'!F:F, MATCH(A354, 'Combined_Data'!A:A, 0))</f>
        <v>0</v>
      </c>
      <c r="E354" s="12">
        <f>INDEX('Combined_Data'!O:O, MATCH(A354, 'Combined_Data'!A:A, 0))</f>
        <v>1</v>
      </c>
      <c r="F354" s="12">
        <f>INDEX('Combined_Data'!M:M, MATCH(A354, 'Combined_Data'!A:A, 0))</f>
        <v>0</v>
      </c>
      <c r="G354" s="12">
        <f>INDEX('Combined_Data'!N:N, MATCH(A354, 'Combined_Data'!A:A, 0))</f>
        <v>1</v>
      </c>
      <c r="H354" s="12" t="str">
        <f t="shared" si="20"/>
        <v>Weekend</v>
      </c>
      <c r="I354" s="12" t="str">
        <f t="shared" si="21"/>
        <v>Working Day</v>
      </c>
      <c r="J354" s="12" t="str">
        <f t="shared" si="22"/>
        <v>Low</v>
      </c>
      <c r="K354" s="12" t="str">
        <f>INDEX('Combined_Data'!H:H, MATCH(A354, 'Combined_Data'!A:A, 0))</f>
        <v>Clear</v>
      </c>
      <c r="L354" s="13">
        <f t="shared" si="23"/>
        <v>1</v>
      </c>
    </row>
    <row r="355" spans="1:12" x14ac:dyDescent="0.35">
      <c r="A355" s="10">
        <v>354</v>
      </c>
      <c r="B355" s="11">
        <f>INDEX('Combined_Data'!B:B, MATCH(Derived_Data!A355, 'Combined_Data'!A:A, 0))</f>
        <v>40559</v>
      </c>
      <c r="C355" s="12" t="str">
        <f>INDEX('Combined_Data'!G:G, MATCH(A355, 'Combined_Data'!A:A, 0))</f>
        <v>Sunday</v>
      </c>
      <c r="D355" s="12" t="b">
        <f>INDEX('Combined_Data'!F:F, MATCH(A355, 'Combined_Data'!A:A, 0))</f>
        <v>0</v>
      </c>
      <c r="E355" s="12">
        <f>INDEX('Combined_Data'!O:O, MATCH(A355, 'Combined_Data'!A:A, 0))</f>
        <v>2</v>
      </c>
      <c r="F355" s="12">
        <f>INDEX('Combined_Data'!M:M, MATCH(A355, 'Combined_Data'!A:A, 0))</f>
        <v>1</v>
      </c>
      <c r="G355" s="12">
        <f>INDEX('Combined_Data'!N:N, MATCH(A355, 'Combined_Data'!A:A, 0))</f>
        <v>1</v>
      </c>
      <c r="H355" s="12" t="str">
        <f t="shared" si="20"/>
        <v>Weekend</v>
      </c>
      <c r="I355" s="12" t="str">
        <f t="shared" si="21"/>
        <v>Working Day</v>
      </c>
      <c r="J355" s="12" t="str">
        <f t="shared" si="22"/>
        <v>Low</v>
      </c>
      <c r="K355" s="12" t="str">
        <f>INDEX('Combined_Data'!H:H, MATCH(A355, 'Combined_Data'!A:A, 0))</f>
        <v>Mist</v>
      </c>
      <c r="L355" s="13">
        <f t="shared" si="23"/>
        <v>2</v>
      </c>
    </row>
    <row r="356" spans="1:12" x14ac:dyDescent="0.35">
      <c r="A356" s="10">
        <v>355</v>
      </c>
      <c r="B356" s="11">
        <f>INDEX('Combined_Data'!B:B, MATCH(Derived_Data!A356, 'Combined_Data'!A:A, 0))</f>
        <v>40559</v>
      </c>
      <c r="C356" s="12" t="str">
        <f>INDEX('Combined_Data'!G:G, MATCH(A356, 'Combined_Data'!A:A, 0))</f>
        <v>Sunday</v>
      </c>
      <c r="D356" s="12" t="b">
        <f>INDEX('Combined_Data'!F:F, MATCH(A356, 'Combined_Data'!A:A, 0))</f>
        <v>0</v>
      </c>
      <c r="E356" s="12">
        <f>INDEX('Combined_Data'!O:O, MATCH(A356, 'Combined_Data'!A:A, 0))</f>
        <v>1</v>
      </c>
      <c r="F356" s="12">
        <f>INDEX('Combined_Data'!M:M, MATCH(A356, 'Combined_Data'!A:A, 0))</f>
        <v>0</v>
      </c>
      <c r="G356" s="12">
        <f>INDEX('Combined_Data'!N:N, MATCH(A356, 'Combined_Data'!A:A, 0))</f>
        <v>1</v>
      </c>
      <c r="H356" s="12" t="str">
        <f t="shared" si="20"/>
        <v>Weekend</v>
      </c>
      <c r="I356" s="12" t="str">
        <f t="shared" si="21"/>
        <v>Working Day</v>
      </c>
      <c r="J356" s="12" t="str">
        <f t="shared" si="22"/>
        <v>Low</v>
      </c>
      <c r="K356" s="12" t="str">
        <f>INDEX('Combined_Data'!H:H, MATCH(A356, 'Combined_Data'!A:A, 0))</f>
        <v>Mist</v>
      </c>
      <c r="L356" s="13">
        <f t="shared" si="23"/>
        <v>2</v>
      </c>
    </row>
    <row r="357" spans="1:12" x14ac:dyDescent="0.35">
      <c r="A357" s="10">
        <v>356</v>
      </c>
      <c r="B357" s="11">
        <f>INDEX('Combined_Data'!B:B, MATCH(Derived_Data!A357, 'Combined_Data'!A:A, 0))</f>
        <v>40559</v>
      </c>
      <c r="C357" s="12" t="str">
        <f>INDEX('Combined_Data'!G:G, MATCH(A357, 'Combined_Data'!A:A, 0))</f>
        <v>Sunday</v>
      </c>
      <c r="D357" s="12" t="b">
        <f>INDEX('Combined_Data'!F:F, MATCH(A357, 'Combined_Data'!A:A, 0))</f>
        <v>0</v>
      </c>
      <c r="E357" s="12">
        <f>INDEX('Combined_Data'!O:O, MATCH(A357, 'Combined_Data'!A:A, 0))</f>
        <v>3</v>
      </c>
      <c r="F357" s="12">
        <f>INDEX('Combined_Data'!M:M, MATCH(A357, 'Combined_Data'!A:A, 0))</f>
        <v>0</v>
      </c>
      <c r="G357" s="12">
        <f>INDEX('Combined_Data'!N:N, MATCH(A357, 'Combined_Data'!A:A, 0))</f>
        <v>3</v>
      </c>
      <c r="H357" s="12" t="str">
        <f t="shared" si="20"/>
        <v>Weekend</v>
      </c>
      <c r="I357" s="12" t="str">
        <f t="shared" si="21"/>
        <v>Working Day</v>
      </c>
      <c r="J357" s="12" t="str">
        <f t="shared" si="22"/>
        <v>Low</v>
      </c>
      <c r="K357" s="12" t="str">
        <f>INDEX('Combined_Data'!H:H, MATCH(A357, 'Combined_Data'!A:A, 0))</f>
        <v>Mist</v>
      </c>
      <c r="L357" s="13">
        <f t="shared" si="23"/>
        <v>2</v>
      </c>
    </row>
    <row r="358" spans="1:12" x14ac:dyDescent="0.35">
      <c r="A358" s="10">
        <v>357</v>
      </c>
      <c r="B358" s="11">
        <f>INDEX('Combined_Data'!B:B, MATCH(Derived_Data!A358, 'Combined_Data'!A:A, 0))</f>
        <v>40559</v>
      </c>
      <c r="C358" s="12" t="str">
        <f>INDEX('Combined_Data'!G:G, MATCH(A358, 'Combined_Data'!A:A, 0))</f>
        <v>Sunday</v>
      </c>
      <c r="D358" s="12" t="b">
        <f>INDEX('Combined_Data'!F:F, MATCH(A358, 'Combined_Data'!A:A, 0))</f>
        <v>0</v>
      </c>
      <c r="E358" s="12">
        <f>INDEX('Combined_Data'!O:O, MATCH(A358, 'Combined_Data'!A:A, 0))</f>
        <v>18</v>
      </c>
      <c r="F358" s="12">
        <f>INDEX('Combined_Data'!M:M, MATCH(A358, 'Combined_Data'!A:A, 0))</f>
        <v>0</v>
      </c>
      <c r="G358" s="12">
        <f>INDEX('Combined_Data'!N:N, MATCH(A358, 'Combined_Data'!A:A, 0))</f>
        <v>18</v>
      </c>
      <c r="H358" s="12" t="str">
        <f t="shared" si="20"/>
        <v>Weekend</v>
      </c>
      <c r="I358" s="12" t="str">
        <f t="shared" si="21"/>
        <v>Working Day</v>
      </c>
      <c r="J358" s="12" t="str">
        <f t="shared" si="22"/>
        <v>Low</v>
      </c>
      <c r="K358" s="12" t="str">
        <f>INDEX('Combined_Data'!H:H, MATCH(A358, 'Combined_Data'!A:A, 0))</f>
        <v>Clear</v>
      </c>
      <c r="L358" s="13">
        <f t="shared" si="23"/>
        <v>1</v>
      </c>
    </row>
    <row r="359" spans="1:12" x14ac:dyDescent="0.35">
      <c r="A359" s="10">
        <v>358</v>
      </c>
      <c r="B359" s="11">
        <f>INDEX('Combined_Data'!B:B, MATCH(Derived_Data!A359, 'Combined_Data'!A:A, 0))</f>
        <v>40559</v>
      </c>
      <c r="C359" s="12" t="str">
        <f>INDEX('Combined_Data'!G:G, MATCH(A359, 'Combined_Data'!A:A, 0))</f>
        <v>Sunday</v>
      </c>
      <c r="D359" s="12" t="b">
        <f>INDEX('Combined_Data'!F:F, MATCH(A359, 'Combined_Data'!A:A, 0))</f>
        <v>0</v>
      </c>
      <c r="E359" s="12">
        <f>INDEX('Combined_Data'!O:O, MATCH(A359, 'Combined_Data'!A:A, 0))</f>
        <v>32</v>
      </c>
      <c r="F359" s="12">
        <f>INDEX('Combined_Data'!M:M, MATCH(A359, 'Combined_Data'!A:A, 0))</f>
        <v>3</v>
      </c>
      <c r="G359" s="12">
        <f>INDEX('Combined_Data'!N:N, MATCH(A359, 'Combined_Data'!A:A, 0))</f>
        <v>29</v>
      </c>
      <c r="H359" s="12" t="str">
        <f t="shared" si="20"/>
        <v>Weekend</v>
      </c>
      <c r="I359" s="12" t="str">
        <f t="shared" si="21"/>
        <v>Working Day</v>
      </c>
      <c r="J359" s="12" t="str">
        <f t="shared" si="22"/>
        <v>Low</v>
      </c>
      <c r="K359" s="12" t="str">
        <f>INDEX('Combined_Data'!H:H, MATCH(A359, 'Combined_Data'!A:A, 0))</f>
        <v>Clear</v>
      </c>
      <c r="L359" s="13">
        <f t="shared" si="23"/>
        <v>1</v>
      </c>
    </row>
    <row r="360" spans="1:12" x14ac:dyDescent="0.35">
      <c r="A360" s="10">
        <v>359</v>
      </c>
      <c r="B360" s="11">
        <f>INDEX('Combined_Data'!B:B, MATCH(Derived_Data!A360, 'Combined_Data'!A:A, 0))</f>
        <v>40559</v>
      </c>
      <c r="C360" s="12" t="str">
        <f>INDEX('Combined_Data'!G:G, MATCH(A360, 'Combined_Data'!A:A, 0))</f>
        <v>Sunday</v>
      </c>
      <c r="D360" s="12" t="b">
        <f>INDEX('Combined_Data'!F:F, MATCH(A360, 'Combined_Data'!A:A, 0))</f>
        <v>0</v>
      </c>
      <c r="E360" s="12">
        <f>INDEX('Combined_Data'!O:O, MATCH(A360, 'Combined_Data'!A:A, 0))</f>
        <v>79</v>
      </c>
      <c r="F360" s="12">
        <f>INDEX('Combined_Data'!M:M, MATCH(A360, 'Combined_Data'!A:A, 0))</f>
        <v>8</v>
      </c>
      <c r="G360" s="12">
        <f>INDEX('Combined_Data'!N:N, MATCH(A360, 'Combined_Data'!A:A, 0))</f>
        <v>71</v>
      </c>
      <c r="H360" s="12" t="str">
        <f t="shared" si="20"/>
        <v>Weekend</v>
      </c>
      <c r="I360" s="12" t="str">
        <f t="shared" si="21"/>
        <v>Working Day</v>
      </c>
      <c r="J360" s="12" t="str">
        <f t="shared" si="22"/>
        <v>Low</v>
      </c>
      <c r="K360" s="12" t="str">
        <f>INDEX('Combined_Data'!H:H, MATCH(A360, 'Combined_Data'!A:A, 0))</f>
        <v>Clear</v>
      </c>
      <c r="L360" s="13">
        <f t="shared" si="23"/>
        <v>1</v>
      </c>
    </row>
    <row r="361" spans="1:12" x14ac:dyDescent="0.35">
      <c r="A361" s="10">
        <v>360</v>
      </c>
      <c r="B361" s="11">
        <f>INDEX('Combined_Data'!B:B, MATCH(Derived_Data!A361, 'Combined_Data'!A:A, 0))</f>
        <v>40559</v>
      </c>
      <c r="C361" s="12" t="str">
        <f>INDEX('Combined_Data'!G:G, MATCH(A361, 'Combined_Data'!A:A, 0))</f>
        <v>Sunday</v>
      </c>
      <c r="D361" s="12" t="b">
        <f>INDEX('Combined_Data'!F:F, MATCH(A361, 'Combined_Data'!A:A, 0))</f>
        <v>0</v>
      </c>
      <c r="E361" s="12">
        <f>INDEX('Combined_Data'!O:O, MATCH(A361, 'Combined_Data'!A:A, 0))</f>
        <v>93</v>
      </c>
      <c r="F361" s="12">
        <f>INDEX('Combined_Data'!M:M, MATCH(A361, 'Combined_Data'!A:A, 0))</f>
        <v>23</v>
      </c>
      <c r="G361" s="12">
        <f>INDEX('Combined_Data'!N:N, MATCH(A361, 'Combined_Data'!A:A, 0))</f>
        <v>70</v>
      </c>
      <c r="H361" s="12" t="str">
        <f t="shared" si="20"/>
        <v>Weekend</v>
      </c>
      <c r="I361" s="12" t="str">
        <f t="shared" si="21"/>
        <v>Working Day</v>
      </c>
      <c r="J361" s="12" t="str">
        <f t="shared" si="22"/>
        <v>Low</v>
      </c>
      <c r="K361" s="12" t="str">
        <f>INDEX('Combined_Data'!H:H, MATCH(A361, 'Combined_Data'!A:A, 0))</f>
        <v>Clear</v>
      </c>
      <c r="L361" s="13">
        <f t="shared" si="23"/>
        <v>1</v>
      </c>
    </row>
    <row r="362" spans="1:12" x14ac:dyDescent="0.35">
      <c r="A362" s="10">
        <v>361</v>
      </c>
      <c r="B362" s="11">
        <f>INDEX('Combined_Data'!B:B, MATCH(Derived_Data!A362, 'Combined_Data'!A:A, 0))</f>
        <v>40559</v>
      </c>
      <c r="C362" s="12" t="str">
        <f>INDEX('Combined_Data'!G:G, MATCH(A362, 'Combined_Data'!A:A, 0))</f>
        <v>Sunday</v>
      </c>
      <c r="D362" s="12" t="b">
        <f>INDEX('Combined_Data'!F:F, MATCH(A362, 'Combined_Data'!A:A, 0))</f>
        <v>0</v>
      </c>
      <c r="E362" s="12">
        <f>INDEX('Combined_Data'!O:O, MATCH(A362, 'Combined_Data'!A:A, 0))</f>
        <v>104</v>
      </c>
      <c r="F362" s="12">
        <f>INDEX('Combined_Data'!M:M, MATCH(A362, 'Combined_Data'!A:A, 0))</f>
        <v>29</v>
      </c>
      <c r="G362" s="12">
        <f>INDEX('Combined_Data'!N:N, MATCH(A362, 'Combined_Data'!A:A, 0))</f>
        <v>75</v>
      </c>
      <c r="H362" s="12" t="str">
        <f t="shared" si="20"/>
        <v>Weekend</v>
      </c>
      <c r="I362" s="12" t="str">
        <f t="shared" si="21"/>
        <v>Working Day</v>
      </c>
      <c r="J362" s="12" t="str">
        <f t="shared" si="22"/>
        <v>Medium</v>
      </c>
      <c r="K362" s="12" t="str">
        <f>INDEX('Combined_Data'!H:H, MATCH(A362, 'Combined_Data'!A:A, 0))</f>
        <v>Clear</v>
      </c>
      <c r="L362" s="13">
        <f t="shared" si="23"/>
        <v>1</v>
      </c>
    </row>
    <row r="363" spans="1:12" x14ac:dyDescent="0.35">
      <c r="A363" s="10">
        <v>362</v>
      </c>
      <c r="B363" s="11">
        <f>INDEX('Combined_Data'!B:B, MATCH(Derived_Data!A363, 'Combined_Data'!A:A, 0))</f>
        <v>40559</v>
      </c>
      <c r="C363" s="12" t="str">
        <f>INDEX('Combined_Data'!G:G, MATCH(A363, 'Combined_Data'!A:A, 0))</f>
        <v>Sunday</v>
      </c>
      <c r="D363" s="12" t="b">
        <f>INDEX('Combined_Data'!F:F, MATCH(A363, 'Combined_Data'!A:A, 0))</f>
        <v>0</v>
      </c>
      <c r="E363" s="12">
        <f>INDEX('Combined_Data'!O:O, MATCH(A363, 'Combined_Data'!A:A, 0))</f>
        <v>118</v>
      </c>
      <c r="F363" s="12">
        <f>INDEX('Combined_Data'!M:M, MATCH(A363, 'Combined_Data'!A:A, 0))</f>
        <v>23</v>
      </c>
      <c r="G363" s="12">
        <f>INDEX('Combined_Data'!N:N, MATCH(A363, 'Combined_Data'!A:A, 0))</f>
        <v>95</v>
      </c>
      <c r="H363" s="12" t="str">
        <f t="shared" si="20"/>
        <v>Weekend</v>
      </c>
      <c r="I363" s="12" t="str">
        <f t="shared" si="21"/>
        <v>Working Day</v>
      </c>
      <c r="J363" s="12" t="str">
        <f t="shared" si="22"/>
        <v>Medium</v>
      </c>
      <c r="K363" s="12" t="str">
        <f>INDEX('Combined_Data'!H:H, MATCH(A363, 'Combined_Data'!A:A, 0))</f>
        <v>Clear</v>
      </c>
      <c r="L363" s="13">
        <f t="shared" si="23"/>
        <v>1</v>
      </c>
    </row>
    <row r="364" spans="1:12" x14ac:dyDescent="0.35">
      <c r="A364" s="10">
        <v>363</v>
      </c>
      <c r="B364" s="11">
        <f>INDEX('Combined_Data'!B:B, MATCH(Derived_Data!A364, 'Combined_Data'!A:A, 0))</f>
        <v>40559</v>
      </c>
      <c r="C364" s="12" t="str">
        <f>INDEX('Combined_Data'!G:G, MATCH(A364, 'Combined_Data'!A:A, 0))</f>
        <v>Sunday</v>
      </c>
      <c r="D364" s="12" t="b">
        <f>INDEX('Combined_Data'!F:F, MATCH(A364, 'Combined_Data'!A:A, 0))</f>
        <v>0</v>
      </c>
      <c r="E364" s="12">
        <f>INDEX('Combined_Data'!O:O, MATCH(A364, 'Combined_Data'!A:A, 0))</f>
        <v>91</v>
      </c>
      <c r="F364" s="12">
        <f>INDEX('Combined_Data'!M:M, MATCH(A364, 'Combined_Data'!A:A, 0))</f>
        <v>22</v>
      </c>
      <c r="G364" s="12">
        <f>INDEX('Combined_Data'!N:N, MATCH(A364, 'Combined_Data'!A:A, 0))</f>
        <v>69</v>
      </c>
      <c r="H364" s="12" t="str">
        <f t="shared" si="20"/>
        <v>Weekend</v>
      </c>
      <c r="I364" s="12" t="str">
        <f t="shared" si="21"/>
        <v>Working Day</v>
      </c>
      <c r="J364" s="12" t="str">
        <f t="shared" si="22"/>
        <v>Low</v>
      </c>
      <c r="K364" s="12" t="str">
        <f>INDEX('Combined_Data'!H:H, MATCH(A364, 'Combined_Data'!A:A, 0))</f>
        <v>Clear</v>
      </c>
      <c r="L364" s="13">
        <f t="shared" si="23"/>
        <v>1</v>
      </c>
    </row>
    <row r="365" spans="1:12" x14ac:dyDescent="0.35">
      <c r="A365" s="10">
        <v>364</v>
      </c>
      <c r="B365" s="11">
        <f>INDEX('Combined_Data'!B:B, MATCH(Derived_Data!A365, 'Combined_Data'!A:A, 0))</f>
        <v>40559</v>
      </c>
      <c r="C365" s="12" t="str">
        <f>INDEX('Combined_Data'!G:G, MATCH(A365, 'Combined_Data'!A:A, 0))</f>
        <v>Sunday</v>
      </c>
      <c r="D365" s="12" t="b">
        <f>INDEX('Combined_Data'!F:F, MATCH(A365, 'Combined_Data'!A:A, 0))</f>
        <v>0</v>
      </c>
      <c r="E365" s="12">
        <f>INDEX('Combined_Data'!O:O, MATCH(A365, 'Combined_Data'!A:A, 0))</f>
        <v>113</v>
      </c>
      <c r="F365" s="12">
        <f>INDEX('Combined_Data'!M:M, MATCH(A365, 'Combined_Data'!A:A, 0))</f>
        <v>35</v>
      </c>
      <c r="G365" s="12">
        <f>INDEX('Combined_Data'!N:N, MATCH(A365, 'Combined_Data'!A:A, 0))</f>
        <v>78</v>
      </c>
      <c r="H365" s="12" t="str">
        <f t="shared" si="20"/>
        <v>Weekend</v>
      </c>
      <c r="I365" s="12" t="str">
        <f t="shared" si="21"/>
        <v>Working Day</v>
      </c>
      <c r="J365" s="12" t="str">
        <f t="shared" si="22"/>
        <v>Medium</v>
      </c>
      <c r="K365" s="12" t="str">
        <f>INDEX('Combined_Data'!H:H, MATCH(A365, 'Combined_Data'!A:A, 0))</f>
        <v>Clear</v>
      </c>
      <c r="L365" s="13">
        <f t="shared" si="23"/>
        <v>1</v>
      </c>
    </row>
    <row r="366" spans="1:12" x14ac:dyDescent="0.35">
      <c r="A366" s="10">
        <v>365</v>
      </c>
      <c r="B366" s="11">
        <f>INDEX('Combined_Data'!B:B, MATCH(Derived_Data!A366, 'Combined_Data'!A:A, 0))</f>
        <v>40559</v>
      </c>
      <c r="C366" s="12" t="str">
        <f>INDEX('Combined_Data'!G:G, MATCH(A366, 'Combined_Data'!A:A, 0))</f>
        <v>Sunday</v>
      </c>
      <c r="D366" s="12" t="b">
        <f>INDEX('Combined_Data'!F:F, MATCH(A366, 'Combined_Data'!A:A, 0))</f>
        <v>0</v>
      </c>
      <c r="E366" s="12">
        <f>INDEX('Combined_Data'!O:O, MATCH(A366, 'Combined_Data'!A:A, 0))</f>
        <v>99</v>
      </c>
      <c r="F366" s="12">
        <f>INDEX('Combined_Data'!M:M, MATCH(A366, 'Combined_Data'!A:A, 0))</f>
        <v>22</v>
      </c>
      <c r="G366" s="12">
        <f>INDEX('Combined_Data'!N:N, MATCH(A366, 'Combined_Data'!A:A, 0))</f>
        <v>77</v>
      </c>
      <c r="H366" s="12" t="str">
        <f t="shared" si="20"/>
        <v>Weekend</v>
      </c>
      <c r="I366" s="12" t="str">
        <f t="shared" si="21"/>
        <v>Working Day</v>
      </c>
      <c r="J366" s="12" t="str">
        <f t="shared" si="22"/>
        <v>Low</v>
      </c>
      <c r="K366" s="12" t="str">
        <f>INDEX('Combined_Data'!H:H, MATCH(A366, 'Combined_Data'!A:A, 0))</f>
        <v>Clear</v>
      </c>
      <c r="L366" s="13">
        <f t="shared" si="23"/>
        <v>1</v>
      </c>
    </row>
    <row r="367" spans="1:12" x14ac:dyDescent="0.35">
      <c r="A367" s="10">
        <v>366</v>
      </c>
      <c r="B367" s="11">
        <f>INDEX('Combined_Data'!B:B, MATCH(Derived_Data!A367, 'Combined_Data'!A:A, 0))</f>
        <v>40559</v>
      </c>
      <c r="C367" s="12" t="str">
        <f>INDEX('Combined_Data'!G:G, MATCH(A367, 'Combined_Data'!A:A, 0))</f>
        <v>Sunday</v>
      </c>
      <c r="D367" s="12" t="b">
        <f>INDEX('Combined_Data'!F:F, MATCH(A367, 'Combined_Data'!A:A, 0))</f>
        <v>0</v>
      </c>
      <c r="E367" s="12">
        <f>INDEX('Combined_Data'!O:O, MATCH(A367, 'Combined_Data'!A:A, 0))</f>
        <v>105</v>
      </c>
      <c r="F367" s="12">
        <f>INDEX('Combined_Data'!M:M, MATCH(A367, 'Combined_Data'!A:A, 0))</f>
        <v>23</v>
      </c>
      <c r="G367" s="12">
        <f>INDEX('Combined_Data'!N:N, MATCH(A367, 'Combined_Data'!A:A, 0))</f>
        <v>82</v>
      </c>
      <c r="H367" s="12" t="str">
        <f t="shared" si="20"/>
        <v>Weekend</v>
      </c>
      <c r="I367" s="12" t="str">
        <f t="shared" si="21"/>
        <v>Working Day</v>
      </c>
      <c r="J367" s="12" t="str">
        <f t="shared" si="22"/>
        <v>Medium</v>
      </c>
      <c r="K367" s="12" t="str">
        <f>INDEX('Combined_Data'!H:H, MATCH(A367, 'Combined_Data'!A:A, 0))</f>
        <v>Clear</v>
      </c>
      <c r="L367" s="13">
        <f t="shared" si="23"/>
        <v>1</v>
      </c>
    </row>
    <row r="368" spans="1:12" x14ac:dyDescent="0.35">
      <c r="A368" s="10">
        <v>367</v>
      </c>
      <c r="B368" s="11">
        <f>INDEX('Combined_Data'!B:B, MATCH(Derived_Data!A368, 'Combined_Data'!A:A, 0))</f>
        <v>40559</v>
      </c>
      <c r="C368" s="12" t="str">
        <f>INDEX('Combined_Data'!G:G, MATCH(A368, 'Combined_Data'!A:A, 0))</f>
        <v>Sunday</v>
      </c>
      <c r="D368" s="12" t="b">
        <f>INDEX('Combined_Data'!F:F, MATCH(A368, 'Combined_Data'!A:A, 0))</f>
        <v>0</v>
      </c>
      <c r="E368" s="12">
        <f>INDEX('Combined_Data'!O:O, MATCH(A368, 'Combined_Data'!A:A, 0))</f>
        <v>67</v>
      </c>
      <c r="F368" s="12">
        <f>INDEX('Combined_Data'!M:M, MATCH(A368, 'Combined_Data'!A:A, 0))</f>
        <v>11</v>
      </c>
      <c r="G368" s="12">
        <f>INDEX('Combined_Data'!N:N, MATCH(A368, 'Combined_Data'!A:A, 0))</f>
        <v>56</v>
      </c>
      <c r="H368" s="12" t="str">
        <f t="shared" si="20"/>
        <v>Weekend</v>
      </c>
      <c r="I368" s="12" t="str">
        <f t="shared" si="21"/>
        <v>Working Day</v>
      </c>
      <c r="J368" s="12" t="str">
        <f t="shared" si="22"/>
        <v>Low</v>
      </c>
      <c r="K368" s="12" t="str">
        <f>INDEX('Combined_Data'!H:H, MATCH(A368, 'Combined_Data'!A:A, 0))</f>
        <v>Clear</v>
      </c>
      <c r="L368" s="13">
        <f t="shared" si="23"/>
        <v>1</v>
      </c>
    </row>
    <row r="369" spans="1:12" x14ac:dyDescent="0.35">
      <c r="A369" s="10">
        <v>368</v>
      </c>
      <c r="B369" s="11">
        <f>INDEX('Combined_Data'!B:B, MATCH(Derived_Data!A369, 'Combined_Data'!A:A, 0))</f>
        <v>40559</v>
      </c>
      <c r="C369" s="12" t="str">
        <f>INDEX('Combined_Data'!G:G, MATCH(A369, 'Combined_Data'!A:A, 0))</f>
        <v>Sunday</v>
      </c>
      <c r="D369" s="12" t="b">
        <f>INDEX('Combined_Data'!F:F, MATCH(A369, 'Combined_Data'!A:A, 0))</f>
        <v>0</v>
      </c>
      <c r="E369" s="12">
        <f>INDEX('Combined_Data'!O:O, MATCH(A369, 'Combined_Data'!A:A, 0))</f>
        <v>61</v>
      </c>
      <c r="F369" s="12">
        <f>INDEX('Combined_Data'!M:M, MATCH(A369, 'Combined_Data'!A:A, 0))</f>
        <v>14</v>
      </c>
      <c r="G369" s="12">
        <f>INDEX('Combined_Data'!N:N, MATCH(A369, 'Combined_Data'!A:A, 0))</f>
        <v>47</v>
      </c>
      <c r="H369" s="12" t="str">
        <f t="shared" si="20"/>
        <v>Weekend</v>
      </c>
      <c r="I369" s="12" t="str">
        <f t="shared" si="21"/>
        <v>Working Day</v>
      </c>
      <c r="J369" s="12" t="str">
        <f t="shared" si="22"/>
        <v>Low</v>
      </c>
      <c r="K369" s="12" t="str">
        <f>INDEX('Combined_Data'!H:H, MATCH(A369, 'Combined_Data'!A:A, 0))</f>
        <v>Clear</v>
      </c>
      <c r="L369" s="13">
        <f t="shared" si="23"/>
        <v>1</v>
      </c>
    </row>
    <row r="370" spans="1:12" x14ac:dyDescent="0.35">
      <c r="A370" s="10">
        <v>369</v>
      </c>
      <c r="B370" s="11">
        <f>INDEX('Combined_Data'!B:B, MATCH(Derived_Data!A370, 'Combined_Data'!A:A, 0))</f>
        <v>40559</v>
      </c>
      <c r="C370" s="12" t="str">
        <f>INDEX('Combined_Data'!G:G, MATCH(A370, 'Combined_Data'!A:A, 0))</f>
        <v>Sunday</v>
      </c>
      <c r="D370" s="12" t="b">
        <f>INDEX('Combined_Data'!F:F, MATCH(A370, 'Combined_Data'!A:A, 0))</f>
        <v>0</v>
      </c>
      <c r="E370" s="12">
        <f>INDEX('Combined_Data'!O:O, MATCH(A370, 'Combined_Data'!A:A, 0))</f>
        <v>57</v>
      </c>
      <c r="F370" s="12">
        <f>INDEX('Combined_Data'!M:M, MATCH(A370, 'Combined_Data'!A:A, 0))</f>
        <v>7</v>
      </c>
      <c r="G370" s="12">
        <f>INDEX('Combined_Data'!N:N, MATCH(A370, 'Combined_Data'!A:A, 0))</f>
        <v>50</v>
      </c>
      <c r="H370" s="12" t="str">
        <f t="shared" si="20"/>
        <v>Weekend</v>
      </c>
      <c r="I370" s="12" t="str">
        <f t="shared" si="21"/>
        <v>Working Day</v>
      </c>
      <c r="J370" s="12" t="str">
        <f t="shared" si="22"/>
        <v>Low</v>
      </c>
      <c r="K370" s="12" t="str">
        <f>INDEX('Combined_Data'!H:H, MATCH(A370, 'Combined_Data'!A:A, 0))</f>
        <v>Clear</v>
      </c>
      <c r="L370" s="13">
        <f t="shared" si="23"/>
        <v>1</v>
      </c>
    </row>
    <row r="371" spans="1:12" x14ac:dyDescent="0.35">
      <c r="A371" s="10">
        <v>370</v>
      </c>
      <c r="B371" s="11">
        <f>INDEX('Combined_Data'!B:B, MATCH(Derived_Data!A371, 'Combined_Data'!A:A, 0))</f>
        <v>40559</v>
      </c>
      <c r="C371" s="12" t="str">
        <f>INDEX('Combined_Data'!G:G, MATCH(A371, 'Combined_Data'!A:A, 0))</f>
        <v>Sunday</v>
      </c>
      <c r="D371" s="12" t="b">
        <f>INDEX('Combined_Data'!F:F, MATCH(A371, 'Combined_Data'!A:A, 0))</f>
        <v>0</v>
      </c>
      <c r="E371" s="12">
        <f>INDEX('Combined_Data'!O:O, MATCH(A371, 'Combined_Data'!A:A, 0))</f>
        <v>28</v>
      </c>
      <c r="F371" s="12">
        <f>INDEX('Combined_Data'!M:M, MATCH(A371, 'Combined_Data'!A:A, 0))</f>
        <v>6</v>
      </c>
      <c r="G371" s="12">
        <f>INDEX('Combined_Data'!N:N, MATCH(A371, 'Combined_Data'!A:A, 0))</f>
        <v>22</v>
      </c>
      <c r="H371" s="12" t="str">
        <f t="shared" si="20"/>
        <v>Weekend</v>
      </c>
      <c r="I371" s="12" t="str">
        <f t="shared" si="21"/>
        <v>Working Day</v>
      </c>
      <c r="J371" s="12" t="str">
        <f t="shared" si="22"/>
        <v>Low</v>
      </c>
      <c r="K371" s="12" t="str">
        <f>INDEX('Combined_Data'!H:H, MATCH(A371, 'Combined_Data'!A:A, 0))</f>
        <v>Clear</v>
      </c>
      <c r="L371" s="13">
        <f t="shared" si="23"/>
        <v>1</v>
      </c>
    </row>
    <row r="372" spans="1:12" x14ac:dyDescent="0.35">
      <c r="A372" s="10">
        <v>371</v>
      </c>
      <c r="B372" s="11">
        <f>INDEX('Combined_Data'!B:B, MATCH(Derived_Data!A372, 'Combined_Data'!A:A, 0))</f>
        <v>40559</v>
      </c>
      <c r="C372" s="12" t="str">
        <f>INDEX('Combined_Data'!G:G, MATCH(A372, 'Combined_Data'!A:A, 0))</f>
        <v>Sunday</v>
      </c>
      <c r="D372" s="12" t="b">
        <f>INDEX('Combined_Data'!F:F, MATCH(A372, 'Combined_Data'!A:A, 0))</f>
        <v>0</v>
      </c>
      <c r="E372" s="12">
        <f>INDEX('Combined_Data'!O:O, MATCH(A372, 'Combined_Data'!A:A, 0))</f>
        <v>21</v>
      </c>
      <c r="F372" s="12">
        <f>INDEX('Combined_Data'!M:M, MATCH(A372, 'Combined_Data'!A:A, 0))</f>
        <v>2</v>
      </c>
      <c r="G372" s="12">
        <f>INDEX('Combined_Data'!N:N, MATCH(A372, 'Combined_Data'!A:A, 0))</f>
        <v>19</v>
      </c>
      <c r="H372" s="12" t="str">
        <f t="shared" si="20"/>
        <v>Weekend</v>
      </c>
      <c r="I372" s="12" t="str">
        <f t="shared" si="21"/>
        <v>Working Day</v>
      </c>
      <c r="J372" s="12" t="str">
        <f t="shared" si="22"/>
        <v>Low</v>
      </c>
      <c r="K372" s="12" t="str">
        <f>INDEX('Combined_Data'!H:H, MATCH(A372, 'Combined_Data'!A:A, 0))</f>
        <v>Mist</v>
      </c>
      <c r="L372" s="13">
        <f t="shared" si="23"/>
        <v>2</v>
      </c>
    </row>
    <row r="373" spans="1:12" x14ac:dyDescent="0.35">
      <c r="A373" s="10">
        <v>372</v>
      </c>
      <c r="B373" s="11">
        <f>INDEX('Combined_Data'!B:B, MATCH(Derived_Data!A373, 'Combined_Data'!A:A, 0))</f>
        <v>40559</v>
      </c>
      <c r="C373" s="12" t="str">
        <f>INDEX('Combined_Data'!G:G, MATCH(A373, 'Combined_Data'!A:A, 0))</f>
        <v>Sunday</v>
      </c>
      <c r="D373" s="12" t="b">
        <f>INDEX('Combined_Data'!F:F, MATCH(A373, 'Combined_Data'!A:A, 0))</f>
        <v>0</v>
      </c>
      <c r="E373" s="12">
        <f>INDEX('Combined_Data'!O:O, MATCH(A373, 'Combined_Data'!A:A, 0))</f>
        <v>18</v>
      </c>
      <c r="F373" s="12">
        <f>INDEX('Combined_Data'!M:M, MATCH(A373, 'Combined_Data'!A:A, 0))</f>
        <v>0</v>
      </c>
      <c r="G373" s="12">
        <f>INDEX('Combined_Data'!N:N, MATCH(A373, 'Combined_Data'!A:A, 0))</f>
        <v>18</v>
      </c>
      <c r="H373" s="12" t="str">
        <f t="shared" si="20"/>
        <v>Weekend</v>
      </c>
      <c r="I373" s="12" t="str">
        <f t="shared" si="21"/>
        <v>Working Day</v>
      </c>
      <c r="J373" s="12" t="str">
        <f t="shared" si="22"/>
        <v>Low</v>
      </c>
      <c r="K373" s="12" t="str">
        <f>INDEX('Combined_Data'!H:H, MATCH(A373, 'Combined_Data'!A:A, 0))</f>
        <v>Mist</v>
      </c>
      <c r="L373" s="13">
        <f t="shared" si="23"/>
        <v>2</v>
      </c>
    </row>
    <row r="374" spans="1:12" x14ac:dyDescent="0.35">
      <c r="A374" s="10">
        <v>373</v>
      </c>
      <c r="B374" s="11">
        <f>INDEX('Combined_Data'!B:B, MATCH(Derived_Data!A374, 'Combined_Data'!A:A, 0))</f>
        <v>40560</v>
      </c>
      <c r="C374" s="12" t="str">
        <f>INDEX('Combined_Data'!G:G, MATCH(A374, 'Combined_Data'!A:A, 0))</f>
        <v>Monday</v>
      </c>
      <c r="D374" s="12" t="b">
        <f>INDEX('Combined_Data'!F:F, MATCH(A374, 'Combined_Data'!A:A, 0))</f>
        <v>1</v>
      </c>
      <c r="E374" s="12">
        <f>INDEX('Combined_Data'!O:O, MATCH(A374, 'Combined_Data'!A:A, 0))</f>
        <v>17</v>
      </c>
      <c r="F374" s="12">
        <f>INDEX('Combined_Data'!M:M, MATCH(A374, 'Combined_Data'!A:A, 0))</f>
        <v>1</v>
      </c>
      <c r="G374" s="12">
        <f>INDEX('Combined_Data'!N:N, MATCH(A374, 'Combined_Data'!A:A, 0))</f>
        <v>16</v>
      </c>
      <c r="H374" s="12" t="str">
        <f t="shared" si="20"/>
        <v>Weekday</v>
      </c>
      <c r="I374" s="12" t="str">
        <f t="shared" si="21"/>
        <v>Holiday</v>
      </c>
      <c r="J374" s="12" t="str">
        <f t="shared" si="22"/>
        <v>Low</v>
      </c>
      <c r="K374" s="12" t="str">
        <f>INDEX('Combined_Data'!H:H, MATCH(A374, 'Combined_Data'!A:A, 0))</f>
        <v>Mist</v>
      </c>
      <c r="L374" s="13">
        <f t="shared" si="23"/>
        <v>2</v>
      </c>
    </row>
    <row r="375" spans="1:12" x14ac:dyDescent="0.35">
      <c r="A375" s="10">
        <v>374</v>
      </c>
      <c r="B375" s="11">
        <f>INDEX('Combined_Data'!B:B, MATCH(Derived_Data!A375, 'Combined_Data'!A:A, 0))</f>
        <v>40560</v>
      </c>
      <c r="C375" s="12" t="str">
        <f>INDEX('Combined_Data'!G:G, MATCH(A375, 'Combined_Data'!A:A, 0))</f>
        <v>Monday</v>
      </c>
      <c r="D375" s="12" t="b">
        <f>INDEX('Combined_Data'!F:F, MATCH(A375, 'Combined_Data'!A:A, 0))</f>
        <v>1</v>
      </c>
      <c r="E375" s="12">
        <f>INDEX('Combined_Data'!O:O, MATCH(A375, 'Combined_Data'!A:A, 0))</f>
        <v>16</v>
      </c>
      <c r="F375" s="12">
        <f>INDEX('Combined_Data'!M:M, MATCH(A375, 'Combined_Data'!A:A, 0))</f>
        <v>1</v>
      </c>
      <c r="G375" s="12">
        <f>INDEX('Combined_Data'!N:N, MATCH(A375, 'Combined_Data'!A:A, 0))</f>
        <v>15</v>
      </c>
      <c r="H375" s="12" t="str">
        <f t="shared" si="20"/>
        <v>Weekday</v>
      </c>
      <c r="I375" s="12" t="str">
        <f t="shared" si="21"/>
        <v>Holiday</v>
      </c>
      <c r="J375" s="12" t="str">
        <f t="shared" si="22"/>
        <v>Low</v>
      </c>
      <c r="K375" s="12" t="str">
        <f>INDEX('Combined_Data'!H:H, MATCH(A375, 'Combined_Data'!A:A, 0))</f>
        <v>Mist</v>
      </c>
      <c r="L375" s="13">
        <f t="shared" si="23"/>
        <v>2</v>
      </c>
    </row>
    <row r="376" spans="1:12" x14ac:dyDescent="0.35">
      <c r="A376" s="10">
        <v>375</v>
      </c>
      <c r="B376" s="11">
        <f>INDEX('Combined_Data'!B:B, MATCH(Derived_Data!A376, 'Combined_Data'!A:A, 0))</f>
        <v>40560</v>
      </c>
      <c r="C376" s="12" t="str">
        <f>INDEX('Combined_Data'!G:G, MATCH(A376, 'Combined_Data'!A:A, 0))</f>
        <v>Monday</v>
      </c>
      <c r="D376" s="12" t="b">
        <f>INDEX('Combined_Data'!F:F, MATCH(A376, 'Combined_Data'!A:A, 0))</f>
        <v>1</v>
      </c>
      <c r="E376" s="12">
        <f>INDEX('Combined_Data'!O:O, MATCH(A376, 'Combined_Data'!A:A, 0))</f>
        <v>8</v>
      </c>
      <c r="F376" s="12">
        <f>INDEX('Combined_Data'!M:M, MATCH(A376, 'Combined_Data'!A:A, 0))</f>
        <v>0</v>
      </c>
      <c r="G376" s="12">
        <f>INDEX('Combined_Data'!N:N, MATCH(A376, 'Combined_Data'!A:A, 0))</f>
        <v>8</v>
      </c>
      <c r="H376" s="12" t="str">
        <f t="shared" si="20"/>
        <v>Weekday</v>
      </c>
      <c r="I376" s="12" t="str">
        <f t="shared" si="21"/>
        <v>Holiday</v>
      </c>
      <c r="J376" s="12" t="str">
        <f t="shared" si="22"/>
        <v>Low</v>
      </c>
      <c r="K376" s="12" t="str">
        <f>INDEX('Combined_Data'!H:H, MATCH(A376, 'Combined_Data'!A:A, 0))</f>
        <v>Mist</v>
      </c>
      <c r="L376" s="13">
        <f t="shared" si="23"/>
        <v>2</v>
      </c>
    </row>
    <row r="377" spans="1:12" x14ac:dyDescent="0.35">
      <c r="A377" s="10">
        <v>376</v>
      </c>
      <c r="B377" s="11">
        <f>INDEX('Combined_Data'!B:B, MATCH(Derived_Data!A377, 'Combined_Data'!A:A, 0))</f>
        <v>40560</v>
      </c>
      <c r="C377" s="12" t="str">
        <f>INDEX('Combined_Data'!G:G, MATCH(A377, 'Combined_Data'!A:A, 0))</f>
        <v>Monday</v>
      </c>
      <c r="D377" s="12" t="b">
        <f>INDEX('Combined_Data'!F:F, MATCH(A377, 'Combined_Data'!A:A, 0))</f>
        <v>1</v>
      </c>
      <c r="E377" s="12">
        <f>INDEX('Combined_Data'!O:O, MATCH(A377, 'Combined_Data'!A:A, 0))</f>
        <v>2</v>
      </c>
      <c r="F377" s="12">
        <f>INDEX('Combined_Data'!M:M, MATCH(A377, 'Combined_Data'!A:A, 0))</f>
        <v>0</v>
      </c>
      <c r="G377" s="12">
        <f>INDEX('Combined_Data'!N:N, MATCH(A377, 'Combined_Data'!A:A, 0))</f>
        <v>2</v>
      </c>
      <c r="H377" s="12" t="str">
        <f t="shared" si="20"/>
        <v>Weekday</v>
      </c>
      <c r="I377" s="12" t="str">
        <f t="shared" si="21"/>
        <v>Holiday</v>
      </c>
      <c r="J377" s="12" t="str">
        <f t="shared" si="22"/>
        <v>Low</v>
      </c>
      <c r="K377" s="12" t="str">
        <f>INDEX('Combined_Data'!H:H, MATCH(A377, 'Combined_Data'!A:A, 0))</f>
        <v>Mist</v>
      </c>
      <c r="L377" s="13">
        <f t="shared" si="23"/>
        <v>2</v>
      </c>
    </row>
    <row r="378" spans="1:12" x14ac:dyDescent="0.35">
      <c r="A378" s="10">
        <v>377</v>
      </c>
      <c r="B378" s="11">
        <f>INDEX('Combined_Data'!B:B, MATCH(Derived_Data!A378, 'Combined_Data'!A:A, 0))</f>
        <v>40560</v>
      </c>
      <c r="C378" s="12" t="str">
        <f>INDEX('Combined_Data'!G:G, MATCH(A378, 'Combined_Data'!A:A, 0))</f>
        <v>Monday</v>
      </c>
      <c r="D378" s="12" t="b">
        <f>INDEX('Combined_Data'!F:F, MATCH(A378, 'Combined_Data'!A:A, 0))</f>
        <v>1</v>
      </c>
      <c r="E378" s="12">
        <f>INDEX('Combined_Data'!O:O, MATCH(A378, 'Combined_Data'!A:A, 0))</f>
        <v>3</v>
      </c>
      <c r="F378" s="12">
        <f>INDEX('Combined_Data'!M:M, MATCH(A378, 'Combined_Data'!A:A, 0))</f>
        <v>1</v>
      </c>
      <c r="G378" s="12">
        <f>INDEX('Combined_Data'!N:N, MATCH(A378, 'Combined_Data'!A:A, 0))</f>
        <v>2</v>
      </c>
      <c r="H378" s="12" t="str">
        <f t="shared" si="20"/>
        <v>Weekday</v>
      </c>
      <c r="I378" s="12" t="str">
        <f t="shared" si="21"/>
        <v>Holiday</v>
      </c>
      <c r="J378" s="12" t="str">
        <f t="shared" si="22"/>
        <v>Low</v>
      </c>
      <c r="K378" s="12" t="str">
        <f>INDEX('Combined_Data'!H:H, MATCH(A378, 'Combined_Data'!A:A, 0))</f>
        <v>Mist</v>
      </c>
      <c r="L378" s="13">
        <f t="shared" si="23"/>
        <v>2</v>
      </c>
    </row>
    <row r="379" spans="1:12" x14ac:dyDescent="0.35">
      <c r="A379" s="10">
        <v>378</v>
      </c>
      <c r="B379" s="11">
        <f>INDEX('Combined_Data'!B:B, MATCH(Derived_Data!A379, 'Combined_Data'!A:A, 0))</f>
        <v>40560</v>
      </c>
      <c r="C379" s="12" t="str">
        <f>INDEX('Combined_Data'!G:G, MATCH(A379, 'Combined_Data'!A:A, 0))</f>
        <v>Monday</v>
      </c>
      <c r="D379" s="12" t="b">
        <f>INDEX('Combined_Data'!F:F, MATCH(A379, 'Combined_Data'!A:A, 0))</f>
        <v>1</v>
      </c>
      <c r="E379" s="12">
        <f>INDEX('Combined_Data'!O:O, MATCH(A379, 'Combined_Data'!A:A, 0))</f>
        <v>1</v>
      </c>
      <c r="F379" s="12">
        <f>INDEX('Combined_Data'!M:M, MATCH(A379, 'Combined_Data'!A:A, 0))</f>
        <v>0</v>
      </c>
      <c r="G379" s="12">
        <f>INDEX('Combined_Data'!N:N, MATCH(A379, 'Combined_Data'!A:A, 0))</f>
        <v>1</v>
      </c>
      <c r="H379" s="12" t="str">
        <f t="shared" si="20"/>
        <v>Weekday</v>
      </c>
      <c r="I379" s="12" t="str">
        <f t="shared" si="21"/>
        <v>Holiday</v>
      </c>
      <c r="J379" s="12" t="str">
        <f t="shared" si="22"/>
        <v>Low</v>
      </c>
      <c r="K379" s="12" t="str">
        <f>INDEX('Combined_Data'!H:H, MATCH(A379, 'Combined_Data'!A:A, 0))</f>
        <v>Mist</v>
      </c>
      <c r="L379" s="13">
        <f t="shared" si="23"/>
        <v>2</v>
      </c>
    </row>
    <row r="380" spans="1:12" x14ac:dyDescent="0.35">
      <c r="A380" s="10">
        <v>379</v>
      </c>
      <c r="B380" s="11">
        <f>INDEX('Combined_Data'!B:B, MATCH(Derived_Data!A380, 'Combined_Data'!A:A, 0))</f>
        <v>40560</v>
      </c>
      <c r="C380" s="12" t="str">
        <f>INDEX('Combined_Data'!G:G, MATCH(A380, 'Combined_Data'!A:A, 0))</f>
        <v>Monday</v>
      </c>
      <c r="D380" s="12" t="b">
        <f>INDEX('Combined_Data'!F:F, MATCH(A380, 'Combined_Data'!A:A, 0))</f>
        <v>1</v>
      </c>
      <c r="E380" s="12">
        <f>INDEX('Combined_Data'!O:O, MATCH(A380, 'Combined_Data'!A:A, 0))</f>
        <v>5</v>
      </c>
      <c r="F380" s="12">
        <f>INDEX('Combined_Data'!M:M, MATCH(A380, 'Combined_Data'!A:A, 0))</f>
        <v>0</v>
      </c>
      <c r="G380" s="12">
        <f>INDEX('Combined_Data'!N:N, MATCH(A380, 'Combined_Data'!A:A, 0))</f>
        <v>5</v>
      </c>
      <c r="H380" s="12" t="str">
        <f t="shared" si="20"/>
        <v>Weekday</v>
      </c>
      <c r="I380" s="12" t="str">
        <f t="shared" si="21"/>
        <v>Holiday</v>
      </c>
      <c r="J380" s="12" t="str">
        <f t="shared" si="22"/>
        <v>Low</v>
      </c>
      <c r="K380" s="12" t="str">
        <f>INDEX('Combined_Data'!H:H, MATCH(A380, 'Combined_Data'!A:A, 0))</f>
        <v>Mist</v>
      </c>
      <c r="L380" s="13">
        <f t="shared" si="23"/>
        <v>2</v>
      </c>
    </row>
    <row r="381" spans="1:12" x14ac:dyDescent="0.35">
      <c r="A381" s="10">
        <v>380</v>
      </c>
      <c r="B381" s="11">
        <f>INDEX('Combined_Data'!B:B, MATCH(Derived_Data!A381, 'Combined_Data'!A:A, 0))</f>
        <v>40560</v>
      </c>
      <c r="C381" s="12" t="str">
        <f>INDEX('Combined_Data'!G:G, MATCH(A381, 'Combined_Data'!A:A, 0))</f>
        <v>Monday</v>
      </c>
      <c r="D381" s="12" t="b">
        <f>INDEX('Combined_Data'!F:F, MATCH(A381, 'Combined_Data'!A:A, 0))</f>
        <v>1</v>
      </c>
      <c r="E381" s="12">
        <f>INDEX('Combined_Data'!O:O, MATCH(A381, 'Combined_Data'!A:A, 0))</f>
        <v>13</v>
      </c>
      <c r="F381" s="12">
        <f>INDEX('Combined_Data'!M:M, MATCH(A381, 'Combined_Data'!A:A, 0))</f>
        <v>4</v>
      </c>
      <c r="G381" s="12">
        <f>INDEX('Combined_Data'!N:N, MATCH(A381, 'Combined_Data'!A:A, 0))</f>
        <v>9</v>
      </c>
      <c r="H381" s="12" t="str">
        <f t="shared" si="20"/>
        <v>Weekday</v>
      </c>
      <c r="I381" s="12" t="str">
        <f t="shared" si="21"/>
        <v>Holiday</v>
      </c>
      <c r="J381" s="12" t="str">
        <f t="shared" si="22"/>
        <v>Low</v>
      </c>
      <c r="K381" s="12" t="str">
        <f>INDEX('Combined_Data'!H:H, MATCH(A381, 'Combined_Data'!A:A, 0))</f>
        <v>Mist</v>
      </c>
      <c r="L381" s="13">
        <f t="shared" si="23"/>
        <v>2</v>
      </c>
    </row>
    <row r="382" spans="1:12" x14ac:dyDescent="0.35">
      <c r="A382" s="10">
        <v>381</v>
      </c>
      <c r="B382" s="11">
        <f>INDEX('Combined_Data'!B:B, MATCH(Derived_Data!A382, 'Combined_Data'!A:A, 0))</f>
        <v>40560</v>
      </c>
      <c r="C382" s="12" t="str">
        <f>INDEX('Combined_Data'!G:G, MATCH(A382, 'Combined_Data'!A:A, 0))</f>
        <v>Monday</v>
      </c>
      <c r="D382" s="12" t="b">
        <f>INDEX('Combined_Data'!F:F, MATCH(A382, 'Combined_Data'!A:A, 0))</f>
        <v>1</v>
      </c>
      <c r="E382" s="12">
        <f>INDEX('Combined_Data'!O:O, MATCH(A382, 'Combined_Data'!A:A, 0))</f>
        <v>33</v>
      </c>
      <c r="F382" s="12">
        <f>INDEX('Combined_Data'!M:M, MATCH(A382, 'Combined_Data'!A:A, 0))</f>
        <v>3</v>
      </c>
      <c r="G382" s="12">
        <f>INDEX('Combined_Data'!N:N, MATCH(A382, 'Combined_Data'!A:A, 0))</f>
        <v>30</v>
      </c>
      <c r="H382" s="12" t="str">
        <f t="shared" si="20"/>
        <v>Weekday</v>
      </c>
      <c r="I382" s="12" t="str">
        <f t="shared" si="21"/>
        <v>Holiday</v>
      </c>
      <c r="J382" s="12" t="str">
        <f t="shared" si="22"/>
        <v>Low</v>
      </c>
      <c r="K382" s="12" t="str">
        <f>INDEX('Combined_Data'!H:H, MATCH(A382, 'Combined_Data'!A:A, 0))</f>
        <v>Mist</v>
      </c>
      <c r="L382" s="13">
        <f t="shared" si="23"/>
        <v>2</v>
      </c>
    </row>
    <row r="383" spans="1:12" x14ac:dyDescent="0.35">
      <c r="A383" s="10">
        <v>382</v>
      </c>
      <c r="B383" s="11">
        <f>INDEX('Combined_Data'!B:B, MATCH(Derived_Data!A383, 'Combined_Data'!A:A, 0))</f>
        <v>40560</v>
      </c>
      <c r="C383" s="12" t="str">
        <f>INDEX('Combined_Data'!G:G, MATCH(A383, 'Combined_Data'!A:A, 0))</f>
        <v>Monday</v>
      </c>
      <c r="D383" s="12" t="b">
        <f>INDEX('Combined_Data'!F:F, MATCH(A383, 'Combined_Data'!A:A, 0))</f>
        <v>1</v>
      </c>
      <c r="E383" s="12">
        <f>INDEX('Combined_Data'!O:O, MATCH(A383, 'Combined_Data'!A:A, 0))</f>
        <v>47</v>
      </c>
      <c r="F383" s="12">
        <f>INDEX('Combined_Data'!M:M, MATCH(A383, 'Combined_Data'!A:A, 0))</f>
        <v>8</v>
      </c>
      <c r="G383" s="12">
        <f>INDEX('Combined_Data'!N:N, MATCH(A383, 'Combined_Data'!A:A, 0))</f>
        <v>39</v>
      </c>
      <c r="H383" s="12" t="str">
        <f t="shared" si="20"/>
        <v>Weekday</v>
      </c>
      <c r="I383" s="12" t="str">
        <f t="shared" si="21"/>
        <v>Holiday</v>
      </c>
      <c r="J383" s="12" t="str">
        <f t="shared" si="22"/>
        <v>Low</v>
      </c>
      <c r="K383" s="12" t="str">
        <f>INDEX('Combined_Data'!H:H, MATCH(A383, 'Combined_Data'!A:A, 0))</f>
        <v>Mist</v>
      </c>
      <c r="L383" s="13">
        <f t="shared" si="23"/>
        <v>2</v>
      </c>
    </row>
    <row r="384" spans="1:12" x14ac:dyDescent="0.35">
      <c r="A384" s="10">
        <v>383</v>
      </c>
      <c r="B384" s="11">
        <f>INDEX('Combined_Data'!B:B, MATCH(Derived_Data!A384, 'Combined_Data'!A:A, 0))</f>
        <v>40560</v>
      </c>
      <c r="C384" s="12" t="str">
        <f>INDEX('Combined_Data'!G:G, MATCH(A384, 'Combined_Data'!A:A, 0))</f>
        <v>Monday</v>
      </c>
      <c r="D384" s="12" t="b">
        <f>INDEX('Combined_Data'!F:F, MATCH(A384, 'Combined_Data'!A:A, 0))</f>
        <v>1</v>
      </c>
      <c r="E384" s="12">
        <f>INDEX('Combined_Data'!O:O, MATCH(A384, 'Combined_Data'!A:A, 0))</f>
        <v>57</v>
      </c>
      <c r="F384" s="12">
        <f>INDEX('Combined_Data'!M:M, MATCH(A384, 'Combined_Data'!A:A, 0))</f>
        <v>7</v>
      </c>
      <c r="G384" s="12">
        <f>INDEX('Combined_Data'!N:N, MATCH(A384, 'Combined_Data'!A:A, 0))</f>
        <v>50</v>
      </c>
      <c r="H384" s="12" t="str">
        <f t="shared" si="20"/>
        <v>Weekday</v>
      </c>
      <c r="I384" s="12" t="str">
        <f t="shared" si="21"/>
        <v>Holiday</v>
      </c>
      <c r="J384" s="12" t="str">
        <f t="shared" si="22"/>
        <v>Low</v>
      </c>
      <c r="K384" s="12" t="str">
        <f>INDEX('Combined_Data'!H:H, MATCH(A384, 'Combined_Data'!A:A, 0))</f>
        <v>Mist</v>
      </c>
      <c r="L384" s="13">
        <f t="shared" si="23"/>
        <v>2</v>
      </c>
    </row>
    <row r="385" spans="1:12" x14ac:dyDescent="0.35">
      <c r="A385" s="10">
        <v>384</v>
      </c>
      <c r="B385" s="11">
        <f>INDEX('Combined_Data'!B:B, MATCH(Derived_Data!A385, 'Combined_Data'!A:A, 0))</f>
        <v>40560</v>
      </c>
      <c r="C385" s="12" t="str">
        <f>INDEX('Combined_Data'!G:G, MATCH(A385, 'Combined_Data'!A:A, 0))</f>
        <v>Monday</v>
      </c>
      <c r="D385" s="12" t="b">
        <f>INDEX('Combined_Data'!F:F, MATCH(A385, 'Combined_Data'!A:A, 0))</f>
        <v>1</v>
      </c>
      <c r="E385" s="12">
        <f>INDEX('Combined_Data'!O:O, MATCH(A385, 'Combined_Data'!A:A, 0))</f>
        <v>64</v>
      </c>
      <c r="F385" s="12">
        <f>INDEX('Combined_Data'!M:M, MATCH(A385, 'Combined_Data'!A:A, 0))</f>
        <v>9</v>
      </c>
      <c r="G385" s="12">
        <f>INDEX('Combined_Data'!N:N, MATCH(A385, 'Combined_Data'!A:A, 0))</f>
        <v>55</v>
      </c>
      <c r="H385" s="12" t="str">
        <f t="shared" si="20"/>
        <v>Weekday</v>
      </c>
      <c r="I385" s="12" t="str">
        <f t="shared" si="21"/>
        <v>Holiday</v>
      </c>
      <c r="J385" s="12" t="str">
        <f t="shared" si="22"/>
        <v>Low</v>
      </c>
      <c r="K385" s="12" t="str">
        <f>INDEX('Combined_Data'!H:H, MATCH(A385, 'Combined_Data'!A:A, 0))</f>
        <v>Mist</v>
      </c>
      <c r="L385" s="13">
        <f t="shared" si="23"/>
        <v>2</v>
      </c>
    </row>
    <row r="386" spans="1:12" x14ac:dyDescent="0.35">
      <c r="A386" s="10">
        <v>385</v>
      </c>
      <c r="B386" s="11">
        <f>INDEX('Combined_Data'!B:B, MATCH(Derived_Data!A386, 'Combined_Data'!A:A, 0))</f>
        <v>40560</v>
      </c>
      <c r="C386" s="12" t="str">
        <f>INDEX('Combined_Data'!G:G, MATCH(A386, 'Combined_Data'!A:A, 0))</f>
        <v>Monday</v>
      </c>
      <c r="D386" s="12" t="b">
        <f>INDEX('Combined_Data'!F:F, MATCH(A386, 'Combined_Data'!A:A, 0))</f>
        <v>1</v>
      </c>
      <c r="E386" s="12">
        <f>INDEX('Combined_Data'!O:O, MATCH(A386, 'Combined_Data'!A:A, 0))</f>
        <v>80</v>
      </c>
      <c r="F386" s="12">
        <f>INDEX('Combined_Data'!M:M, MATCH(A386, 'Combined_Data'!A:A, 0))</f>
        <v>10</v>
      </c>
      <c r="G386" s="12">
        <f>INDEX('Combined_Data'!N:N, MATCH(A386, 'Combined_Data'!A:A, 0))</f>
        <v>70</v>
      </c>
      <c r="H386" s="12" t="str">
        <f t="shared" si="20"/>
        <v>Weekday</v>
      </c>
      <c r="I386" s="12" t="str">
        <f t="shared" si="21"/>
        <v>Holiday</v>
      </c>
      <c r="J386" s="12" t="str">
        <f t="shared" si="22"/>
        <v>Low</v>
      </c>
      <c r="K386" s="12" t="str">
        <f>INDEX('Combined_Data'!H:H, MATCH(A386, 'Combined_Data'!A:A, 0))</f>
        <v>Mist</v>
      </c>
      <c r="L386" s="13">
        <f t="shared" si="23"/>
        <v>2</v>
      </c>
    </row>
    <row r="387" spans="1:12" x14ac:dyDescent="0.35">
      <c r="A387" s="10">
        <v>386</v>
      </c>
      <c r="B387" s="11">
        <f>INDEX('Combined_Data'!B:B, MATCH(Derived_Data!A387, 'Combined_Data'!A:A, 0))</f>
        <v>40560</v>
      </c>
      <c r="C387" s="12" t="str">
        <f>INDEX('Combined_Data'!G:G, MATCH(A387, 'Combined_Data'!A:A, 0))</f>
        <v>Monday</v>
      </c>
      <c r="D387" s="12" t="b">
        <f>INDEX('Combined_Data'!F:F, MATCH(A387, 'Combined_Data'!A:A, 0))</f>
        <v>1</v>
      </c>
      <c r="E387" s="12">
        <f>INDEX('Combined_Data'!O:O, MATCH(A387, 'Combined_Data'!A:A, 0))</f>
        <v>93</v>
      </c>
      <c r="F387" s="12">
        <f>INDEX('Combined_Data'!M:M, MATCH(A387, 'Combined_Data'!A:A, 0))</f>
        <v>13</v>
      </c>
      <c r="G387" s="12">
        <f>INDEX('Combined_Data'!N:N, MATCH(A387, 'Combined_Data'!A:A, 0))</f>
        <v>80</v>
      </c>
      <c r="H387" s="12" t="str">
        <f t="shared" ref="H387:H450" si="24">IF(OR(TRIM(C387)="Saturday",TRIM(C387)="Sunday"),"Weekend","Weekday")</f>
        <v>Weekday</v>
      </c>
      <c r="I387" s="12" t="str">
        <f t="shared" ref="I387:I450" si="25">IF(D387=TRUE,"Holiday","Working Day")</f>
        <v>Holiday</v>
      </c>
      <c r="J387" s="12" t="str">
        <f t="shared" ref="J387:J450" si="26">IF(E387&lt;100,"Low",IF(E387&lt;=150,"Medium","High"))</f>
        <v>Low</v>
      </c>
      <c r="K387" s="12" t="str">
        <f>INDEX('Combined_Data'!H:H, MATCH(A387, 'Combined_Data'!A:A, 0))</f>
        <v>Mist</v>
      </c>
      <c r="L387" s="13">
        <f t="shared" ref="L387:L450" si="27">VLOOKUP(TRIM(K387), $T$2:$U$5, 2, FALSE)</f>
        <v>2</v>
      </c>
    </row>
    <row r="388" spans="1:12" x14ac:dyDescent="0.35">
      <c r="A388" s="10">
        <v>387</v>
      </c>
      <c r="B388" s="11">
        <f>INDEX('Combined_Data'!B:B, MATCH(Derived_Data!A388, 'Combined_Data'!A:A, 0))</f>
        <v>40560</v>
      </c>
      <c r="C388" s="12" t="str">
        <f>INDEX('Combined_Data'!G:G, MATCH(A388, 'Combined_Data'!A:A, 0))</f>
        <v>Monday</v>
      </c>
      <c r="D388" s="12" t="b">
        <f>INDEX('Combined_Data'!F:F, MATCH(A388, 'Combined_Data'!A:A, 0))</f>
        <v>1</v>
      </c>
      <c r="E388" s="12">
        <f>INDEX('Combined_Data'!O:O, MATCH(A388, 'Combined_Data'!A:A, 0))</f>
        <v>86</v>
      </c>
      <c r="F388" s="12">
        <f>INDEX('Combined_Data'!M:M, MATCH(A388, 'Combined_Data'!A:A, 0))</f>
        <v>12</v>
      </c>
      <c r="G388" s="12">
        <f>INDEX('Combined_Data'!N:N, MATCH(A388, 'Combined_Data'!A:A, 0))</f>
        <v>74</v>
      </c>
      <c r="H388" s="12" t="str">
        <f t="shared" si="24"/>
        <v>Weekday</v>
      </c>
      <c r="I388" s="12" t="str">
        <f t="shared" si="25"/>
        <v>Holiday</v>
      </c>
      <c r="J388" s="12" t="str">
        <f t="shared" si="26"/>
        <v>Low</v>
      </c>
      <c r="K388" s="12" t="str">
        <f>INDEX('Combined_Data'!H:H, MATCH(A388, 'Combined_Data'!A:A, 0))</f>
        <v>Mist</v>
      </c>
      <c r="L388" s="13">
        <f t="shared" si="27"/>
        <v>2</v>
      </c>
    </row>
    <row r="389" spans="1:12" x14ac:dyDescent="0.35">
      <c r="A389" s="10">
        <v>388</v>
      </c>
      <c r="B389" s="11">
        <f>INDEX('Combined_Data'!B:B, MATCH(Derived_Data!A389, 'Combined_Data'!A:A, 0))</f>
        <v>40560</v>
      </c>
      <c r="C389" s="12" t="str">
        <f>INDEX('Combined_Data'!G:G, MATCH(A389, 'Combined_Data'!A:A, 0))</f>
        <v>Monday</v>
      </c>
      <c r="D389" s="12" t="b">
        <f>INDEX('Combined_Data'!F:F, MATCH(A389, 'Combined_Data'!A:A, 0))</f>
        <v>1</v>
      </c>
      <c r="E389" s="12">
        <f>INDEX('Combined_Data'!O:O, MATCH(A389, 'Combined_Data'!A:A, 0))</f>
        <v>93</v>
      </c>
      <c r="F389" s="12">
        <f>INDEX('Combined_Data'!M:M, MATCH(A389, 'Combined_Data'!A:A, 0))</f>
        <v>21</v>
      </c>
      <c r="G389" s="12">
        <f>INDEX('Combined_Data'!N:N, MATCH(A389, 'Combined_Data'!A:A, 0))</f>
        <v>72</v>
      </c>
      <c r="H389" s="12" t="str">
        <f t="shared" si="24"/>
        <v>Weekday</v>
      </c>
      <c r="I389" s="12" t="str">
        <f t="shared" si="25"/>
        <v>Holiday</v>
      </c>
      <c r="J389" s="12" t="str">
        <f t="shared" si="26"/>
        <v>Low</v>
      </c>
      <c r="K389" s="12" t="str">
        <f>INDEX('Combined_Data'!H:H, MATCH(A389, 'Combined_Data'!A:A, 0))</f>
        <v>Mist</v>
      </c>
      <c r="L389" s="13">
        <f t="shared" si="27"/>
        <v>2</v>
      </c>
    </row>
    <row r="390" spans="1:12" x14ac:dyDescent="0.35">
      <c r="A390" s="10">
        <v>389</v>
      </c>
      <c r="B390" s="11">
        <f>INDEX('Combined_Data'!B:B, MATCH(Derived_Data!A390, 'Combined_Data'!A:A, 0))</f>
        <v>40560</v>
      </c>
      <c r="C390" s="12" t="str">
        <f>INDEX('Combined_Data'!G:G, MATCH(A390, 'Combined_Data'!A:A, 0))</f>
        <v>Monday</v>
      </c>
      <c r="D390" s="12" t="b">
        <f>INDEX('Combined_Data'!F:F, MATCH(A390, 'Combined_Data'!A:A, 0))</f>
        <v>1</v>
      </c>
      <c r="E390" s="12">
        <f>INDEX('Combined_Data'!O:O, MATCH(A390, 'Combined_Data'!A:A, 0))</f>
        <v>82</v>
      </c>
      <c r="F390" s="12">
        <f>INDEX('Combined_Data'!M:M, MATCH(A390, 'Combined_Data'!A:A, 0))</f>
        <v>6</v>
      </c>
      <c r="G390" s="12">
        <f>INDEX('Combined_Data'!N:N, MATCH(A390, 'Combined_Data'!A:A, 0))</f>
        <v>76</v>
      </c>
      <c r="H390" s="12" t="str">
        <f t="shared" si="24"/>
        <v>Weekday</v>
      </c>
      <c r="I390" s="12" t="str">
        <f t="shared" si="25"/>
        <v>Holiday</v>
      </c>
      <c r="J390" s="12" t="str">
        <f t="shared" si="26"/>
        <v>Low</v>
      </c>
      <c r="K390" s="12" t="str">
        <f>INDEX('Combined_Data'!H:H, MATCH(A390, 'Combined_Data'!A:A, 0))</f>
        <v>Mist</v>
      </c>
      <c r="L390" s="13">
        <f t="shared" si="27"/>
        <v>2</v>
      </c>
    </row>
    <row r="391" spans="1:12" x14ac:dyDescent="0.35">
      <c r="A391" s="10">
        <v>390</v>
      </c>
      <c r="B391" s="11">
        <f>INDEX('Combined_Data'!B:B, MATCH(Derived_Data!A391, 'Combined_Data'!A:A, 0))</f>
        <v>40560</v>
      </c>
      <c r="C391" s="12" t="str">
        <f>INDEX('Combined_Data'!G:G, MATCH(A391, 'Combined_Data'!A:A, 0))</f>
        <v>Monday</v>
      </c>
      <c r="D391" s="12" t="b">
        <f>INDEX('Combined_Data'!F:F, MATCH(A391, 'Combined_Data'!A:A, 0))</f>
        <v>1</v>
      </c>
      <c r="E391" s="12">
        <f>INDEX('Combined_Data'!O:O, MATCH(A391, 'Combined_Data'!A:A, 0))</f>
        <v>71</v>
      </c>
      <c r="F391" s="12">
        <f>INDEX('Combined_Data'!M:M, MATCH(A391, 'Combined_Data'!A:A, 0))</f>
        <v>4</v>
      </c>
      <c r="G391" s="12">
        <f>INDEX('Combined_Data'!N:N, MATCH(A391, 'Combined_Data'!A:A, 0))</f>
        <v>67</v>
      </c>
      <c r="H391" s="12" t="str">
        <f t="shared" si="24"/>
        <v>Weekday</v>
      </c>
      <c r="I391" s="12" t="str">
        <f t="shared" si="25"/>
        <v>Holiday</v>
      </c>
      <c r="J391" s="12" t="str">
        <f t="shared" si="26"/>
        <v>Low</v>
      </c>
      <c r="K391" s="12" t="str">
        <f>INDEX('Combined_Data'!H:H, MATCH(A391, 'Combined_Data'!A:A, 0))</f>
        <v>Clear</v>
      </c>
      <c r="L391" s="13">
        <f t="shared" si="27"/>
        <v>1</v>
      </c>
    </row>
    <row r="392" spans="1:12" x14ac:dyDescent="0.35">
      <c r="A392" s="10">
        <v>391</v>
      </c>
      <c r="B392" s="11">
        <f>INDEX('Combined_Data'!B:B, MATCH(Derived_Data!A392, 'Combined_Data'!A:A, 0))</f>
        <v>40560</v>
      </c>
      <c r="C392" s="12" t="str">
        <f>INDEX('Combined_Data'!G:G, MATCH(A392, 'Combined_Data'!A:A, 0))</f>
        <v>Monday</v>
      </c>
      <c r="D392" s="12" t="b">
        <f>INDEX('Combined_Data'!F:F, MATCH(A392, 'Combined_Data'!A:A, 0))</f>
        <v>1</v>
      </c>
      <c r="E392" s="12">
        <f>INDEX('Combined_Data'!O:O, MATCH(A392, 'Combined_Data'!A:A, 0))</f>
        <v>92</v>
      </c>
      <c r="F392" s="12">
        <f>INDEX('Combined_Data'!M:M, MATCH(A392, 'Combined_Data'!A:A, 0))</f>
        <v>7</v>
      </c>
      <c r="G392" s="12">
        <f>INDEX('Combined_Data'!N:N, MATCH(A392, 'Combined_Data'!A:A, 0))</f>
        <v>85</v>
      </c>
      <c r="H392" s="12" t="str">
        <f t="shared" si="24"/>
        <v>Weekday</v>
      </c>
      <c r="I392" s="12" t="str">
        <f t="shared" si="25"/>
        <v>Holiday</v>
      </c>
      <c r="J392" s="12" t="str">
        <f t="shared" si="26"/>
        <v>Low</v>
      </c>
      <c r="K392" s="12" t="str">
        <f>INDEX('Combined_Data'!H:H, MATCH(A392, 'Combined_Data'!A:A, 0))</f>
        <v>Mist</v>
      </c>
      <c r="L392" s="13">
        <f t="shared" si="27"/>
        <v>2</v>
      </c>
    </row>
    <row r="393" spans="1:12" x14ac:dyDescent="0.35">
      <c r="A393" s="10">
        <v>392</v>
      </c>
      <c r="B393" s="11">
        <f>INDEX('Combined_Data'!B:B, MATCH(Derived_Data!A393, 'Combined_Data'!A:A, 0))</f>
        <v>40560</v>
      </c>
      <c r="C393" s="12" t="str">
        <f>INDEX('Combined_Data'!G:G, MATCH(A393, 'Combined_Data'!A:A, 0))</f>
        <v>Monday</v>
      </c>
      <c r="D393" s="12" t="b">
        <f>INDEX('Combined_Data'!F:F, MATCH(A393, 'Combined_Data'!A:A, 0))</f>
        <v>1</v>
      </c>
      <c r="E393" s="12">
        <f>INDEX('Combined_Data'!O:O, MATCH(A393, 'Combined_Data'!A:A, 0))</f>
        <v>60</v>
      </c>
      <c r="F393" s="12">
        <f>INDEX('Combined_Data'!M:M, MATCH(A393, 'Combined_Data'!A:A, 0))</f>
        <v>2</v>
      </c>
      <c r="G393" s="12">
        <f>INDEX('Combined_Data'!N:N, MATCH(A393, 'Combined_Data'!A:A, 0))</f>
        <v>58</v>
      </c>
      <c r="H393" s="12" t="str">
        <f t="shared" si="24"/>
        <v>Weekday</v>
      </c>
      <c r="I393" s="12" t="str">
        <f t="shared" si="25"/>
        <v>Holiday</v>
      </c>
      <c r="J393" s="12" t="str">
        <f t="shared" si="26"/>
        <v>Low</v>
      </c>
      <c r="K393" s="12" t="str">
        <f>INDEX('Combined_Data'!H:H, MATCH(A393, 'Combined_Data'!A:A, 0))</f>
        <v>Light Snow</v>
      </c>
      <c r="L393" s="13">
        <f t="shared" si="27"/>
        <v>3</v>
      </c>
    </row>
    <row r="394" spans="1:12" x14ac:dyDescent="0.35">
      <c r="A394" s="10">
        <v>393</v>
      </c>
      <c r="B394" s="11">
        <f>INDEX('Combined_Data'!B:B, MATCH(Derived_Data!A394, 'Combined_Data'!A:A, 0))</f>
        <v>40560</v>
      </c>
      <c r="C394" s="12" t="str">
        <f>INDEX('Combined_Data'!G:G, MATCH(A394, 'Combined_Data'!A:A, 0))</f>
        <v>Monday</v>
      </c>
      <c r="D394" s="12" t="b">
        <f>INDEX('Combined_Data'!F:F, MATCH(A394, 'Combined_Data'!A:A, 0))</f>
        <v>1</v>
      </c>
      <c r="E394" s="12">
        <f>INDEX('Combined_Data'!O:O, MATCH(A394, 'Combined_Data'!A:A, 0))</f>
        <v>33</v>
      </c>
      <c r="F394" s="12">
        <f>INDEX('Combined_Data'!M:M, MATCH(A394, 'Combined_Data'!A:A, 0))</f>
        <v>4</v>
      </c>
      <c r="G394" s="12">
        <f>INDEX('Combined_Data'!N:N, MATCH(A394, 'Combined_Data'!A:A, 0))</f>
        <v>29</v>
      </c>
      <c r="H394" s="12" t="str">
        <f t="shared" si="24"/>
        <v>Weekday</v>
      </c>
      <c r="I394" s="12" t="str">
        <f t="shared" si="25"/>
        <v>Holiday</v>
      </c>
      <c r="J394" s="12" t="str">
        <f t="shared" si="26"/>
        <v>Low</v>
      </c>
      <c r="K394" s="12" t="str">
        <f>INDEX('Combined_Data'!H:H, MATCH(A394, 'Combined_Data'!A:A, 0))</f>
        <v>Light Snow</v>
      </c>
      <c r="L394" s="13">
        <f t="shared" si="27"/>
        <v>3</v>
      </c>
    </row>
    <row r="395" spans="1:12" x14ac:dyDescent="0.35">
      <c r="A395" s="10">
        <v>394</v>
      </c>
      <c r="B395" s="11">
        <f>INDEX('Combined_Data'!B:B, MATCH(Derived_Data!A395, 'Combined_Data'!A:A, 0))</f>
        <v>40560</v>
      </c>
      <c r="C395" s="12" t="str">
        <f>INDEX('Combined_Data'!G:G, MATCH(A395, 'Combined_Data'!A:A, 0))</f>
        <v>Monday</v>
      </c>
      <c r="D395" s="12" t="b">
        <f>INDEX('Combined_Data'!F:F, MATCH(A395, 'Combined_Data'!A:A, 0))</f>
        <v>1</v>
      </c>
      <c r="E395" s="12">
        <f>INDEX('Combined_Data'!O:O, MATCH(A395, 'Combined_Data'!A:A, 0))</f>
        <v>27</v>
      </c>
      <c r="F395" s="12">
        <f>INDEX('Combined_Data'!M:M, MATCH(A395, 'Combined_Data'!A:A, 0))</f>
        <v>3</v>
      </c>
      <c r="G395" s="12">
        <f>INDEX('Combined_Data'!N:N, MATCH(A395, 'Combined_Data'!A:A, 0))</f>
        <v>24</v>
      </c>
      <c r="H395" s="12" t="str">
        <f t="shared" si="24"/>
        <v>Weekday</v>
      </c>
      <c r="I395" s="12" t="str">
        <f t="shared" si="25"/>
        <v>Holiday</v>
      </c>
      <c r="J395" s="12" t="str">
        <f t="shared" si="26"/>
        <v>Low</v>
      </c>
      <c r="K395" s="12" t="str">
        <f>INDEX('Combined_Data'!H:H, MATCH(A395, 'Combined_Data'!A:A, 0))</f>
        <v>Light Snow</v>
      </c>
      <c r="L395" s="13">
        <f t="shared" si="27"/>
        <v>3</v>
      </c>
    </row>
    <row r="396" spans="1:12" x14ac:dyDescent="0.35">
      <c r="A396" s="10">
        <v>395</v>
      </c>
      <c r="B396" s="11">
        <f>INDEX('Combined_Data'!B:B, MATCH(Derived_Data!A396, 'Combined_Data'!A:A, 0))</f>
        <v>40560</v>
      </c>
      <c r="C396" s="12" t="str">
        <f>INDEX('Combined_Data'!G:G, MATCH(A396, 'Combined_Data'!A:A, 0))</f>
        <v>Monday</v>
      </c>
      <c r="D396" s="12" t="b">
        <f>INDEX('Combined_Data'!F:F, MATCH(A396, 'Combined_Data'!A:A, 0))</f>
        <v>1</v>
      </c>
      <c r="E396" s="12">
        <f>INDEX('Combined_Data'!O:O, MATCH(A396, 'Combined_Data'!A:A, 0))</f>
        <v>13</v>
      </c>
      <c r="F396" s="12">
        <f>INDEX('Combined_Data'!M:M, MATCH(A396, 'Combined_Data'!A:A, 0))</f>
        <v>0</v>
      </c>
      <c r="G396" s="12">
        <f>INDEX('Combined_Data'!N:N, MATCH(A396, 'Combined_Data'!A:A, 0))</f>
        <v>13</v>
      </c>
      <c r="H396" s="12" t="str">
        <f t="shared" si="24"/>
        <v>Weekday</v>
      </c>
      <c r="I396" s="12" t="str">
        <f t="shared" si="25"/>
        <v>Holiday</v>
      </c>
      <c r="J396" s="12" t="str">
        <f t="shared" si="26"/>
        <v>Low</v>
      </c>
      <c r="K396" s="12" t="str">
        <f>INDEX('Combined_Data'!H:H, MATCH(A396, 'Combined_Data'!A:A, 0))</f>
        <v>Light Snow</v>
      </c>
      <c r="L396" s="13">
        <f t="shared" si="27"/>
        <v>3</v>
      </c>
    </row>
    <row r="397" spans="1:12" x14ac:dyDescent="0.35">
      <c r="A397" s="10">
        <v>396</v>
      </c>
      <c r="B397" s="11">
        <f>INDEX('Combined_Data'!B:B, MATCH(Derived_Data!A397, 'Combined_Data'!A:A, 0))</f>
        <v>40560</v>
      </c>
      <c r="C397" s="12" t="str">
        <f>INDEX('Combined_Data'!G:G, MATCH(A397, 'Combined_Data'!A:A, 0))</f>
        <v>Monday</v>
      </c>
      <c r="D397" s="12" t="b">
        <f>INDEX('Combined_Data'!F:F, MATCH(A397, 'Combined_Data'!A:A, 0))</f>
        <v>1</v>
      </c>
      <c r="E397" s="12">
        <f>INDEX('Combined_Data'!O:O, MATCH(A397, 'Combined_Data'!A:A, 0))</f>
        <v>4</v>
      </c>
      <c r="F397" s="12">
        <f>INDEX('Combined_Data'!M:M, MATCH(A397, 'Combined_Data'!A:A, 0))</f>
        <v>1</v>
      </c>
      <c r="G397" s="12">
        <f>INDEX('Combined_Data'!N:N, MATCH(A397, 'Combined_Data'!A:A, 0))</f>
        <v>3</v>
      </c>
      <c r="H397" s="12" t="str">
        <f t="shared" si="24"/>
        <v>Weekday</v>
      </c>
      <c r="I397" s="12" t="str">
        <f t="shared" si="25"/>
        <v>Holiday</v>
      </c>
      <c r="J397" s="12" t="str">
        <f t="shared" si="26"/>
        <v>Low</v>
      </c>
      <c r="K397" s="12" t="str">
        <f>INDEX('Combined_Data'!H:H, MATCH(A397, 'Combined_Data'!A:A, 0))</f>
        <v>Light Snow</v>
      </c>
      <c r="L397" s="13">
        <f t="shared" si="27"/>
        <v>3</v>
      </c>
    </row>
    <row r="398" spans="1:12" x14ac:dyDescent="0.35">
      <c r="A398" s="10">
        <v>397</v>
      </c>
      <c r="B398" s="11">
        <f>INDEX('Combined_Data'!B:B, MATCH(Derived_Data!A398, 'Combined_Data'!A:A, 0))</f>
        <v>40561</v>
      </c>
      <c r="C398" s="12" t="str">
        <f>INDEX('Combined_Data'!G:G, MATCH(A398, 'Combined_Data'!A:A, 0))</f>
        <v>Tuesday</v>
      </c>
      <c r="D398" s="12" t="b">
        <f>INDEX('Combined_Data'!F:F, MATCH(A398, 'Combined_Data'!A:A, 0))</f>
        <v>0</v>
      </c>
      <c r="E398" s="12">
        <f>INDEX('Combined_Data'!O:O, MATCH(A398, 'Combined_Data'!A:A, 0))</f>
        <v>3</v>
      </c>
      <c r="F398" s="12">
        <f>INDEX('Combined_Data'!M:M, MATCH(A398, 'Combined_Data'!A:A, 0))</f>
        <v>0</v>
      </c>
      <c r="G398" s="12">
        <f>INDEX('Combined_Data'!N:N, MATCH(A398, 'Combined_Data'!A:A, 0))</f>
        <v>3</v>
      </c>
      <c r="H398" s="12" t="str">
        <f t="shared" si="24"/>
        <v>Weekday</v>
      </c>
      <c r="I398" s="12" t="str">
        <f t="shared" si="25"/>
        <v>Working Day</v>
      </c>
      <c r="J398" s="12" t="str">
        <f t="shared" si="26"/>
        <v>Low</v>
      </c>
      <c r="K398" s="12" t="str">
        <f>INDEX('Combined_Data'!H:H, MATCH(A398, 'Combined_Data'!A:A, 0))</f>
        <v>Mist</v>
      </c>
      <c r="L398" s="13">
        <f t="shared" si="27"/>
        <v>2</v>
      </c>
    </row>
    <row r="399" spans="1:12" x14ac:dyDescent="0.35">
      <c r="A399" s="10">
        <v>398</v>
      </c>
      <c r="B399" s="11">
        <f>INDEX('Combined_Data'!B:B, MATCH(Derived_Data!A399, 'Combined_Data'!A:A, 0))</f>
        <v>40561</v>
      </c>
      <c r="C399" s="12" t="str">
        <f>INDEX('Combined_Data'!G:G, MATCH(A399, 'Combined_Data'!A:A, 0))</f>
        <v>Tuesday</v>
      </c>
      <c r="D399" s="12" t="b">
        <f>INDEX('Combined_Data'!F:F, MATCH(A399, 'Combined_Data'!A:A, 0))</f>
        <v>0</v>
      </c>
      <c r="E399" s="12">
        <f>INDEX('Combined_Data'!O:O, MATCH(A399, 'Combined_Data'!A:A, 0))</f>
        <v>22</v>
      </c>
      <c r="F399" s="12">
        <f>INDEX('Combined_Data'!M:M, MATCH(A399, 'Combined_Data'!A:A, 0))</f>
        <v>0</v>
      </c>
      <c r="G399" s="12">
        <f>INDEX('Combined_Data'!N:N, MATCH(A399, 'Combined_Data'!A:A, 0))</f>
        <v>22</v>
      </c>
      <c r="H399" s="12" t="str">
        <f t="shared" si="24"/>
        <v>Weekday</v>
      </c>
      <c r="I399" s="12" t="str">
        <f t="shared" si="25"/>
        <v>Working Day</v>
      </c>
      <c r="J399" s="12" t="str">
        <f t="shared" si="26"/>
        <v>Low</v>
      </c>
      <c r="K399" s="12" t="str">
        <f>INDEX('Combined_Data'!H:H, MATCH(A399, 'Combined_Data'!A:A, 0))</f>
        <v>Mist</v>
      </c>
      <c r="L399" s="13">
        <f t="shared" si="27"/>
        <v>2</v>
      </c>
    </row>
    <row r="400" spans="1:12" x14ac:dyDescent="0.35">
      <c r="A400" s="10">
        <v>399</v>
      </c>
      <c r="B400" s="11">
        <f>INDEX('Combined_Data'!B:B, MATCH(Derived_Data!A400, 'Combined_Data'!A:A, 0))</f>
        <v>40561</v>
      </c>
      <c r="C400" s="12" t="str">
        <f>INDEX('Combined_Data'!G:G, MATCH(A400, 'Combined_Data'!A:A, 0))</f>
        <v>Tuesday</v>
      </c>
      <c r="D400" s="12" t="b">
        <f>INDEX('Combined_Data'!F:F, MATCH(A400, 'Combined_Data'!A:A, 0))</f>
        <v>0</v>
      </c>
      <c r="E400" s="12">
        <f>INDEX('Combined_Data'!O:O, MATCH(A400, 'Combined_Data'!A:A, 0))</f>
        <v>28</v>
      </c>
      <c r="F400" s="12">
        <f>INDEX('Combined_Data'!M:M, MATCH(A400, 'Combined_Data'!A:A, 0))</f>
        <v>2</v>
      </c>
      <c r="G400" s="12">
        <f>INDEX('Combined_Data'!N:N, MATCH(A400, 'Combined_Data'!A:A, 0))</f>
        <v>26</v>
      </c>
      <c r="H400" s="12" t="str">
        <f t="shared" si="24"/>
        <v>Weekday</v>
      </c>
      <c r="I400" s="12" t="str">
        <f t="shared" si="25"/>
        <v>Working Day</v>
      </c>
      <c r="J400" s="12" t="str">
        <f t="shared" si="26"/>
        <v>Low</v>
      </c>
      <c r="K400" s="12" t="str">
        <f>INDEX('Combined_Data'!H:H, MATCH(A400, 'Combined_Data'!A:A, 0))</f>
        <v>Mist</v>
      </c>
      <c r="L400" s="13">
        <f t="shared" si="27"/>
        <v>2</v>
      </c>
    </row>
    <row r="401" spans="1:12" x14ac:dyDescent="0.35">
      <c r="A401" s="10">
        <v>400</v>
      </c>
      <c r="B401" s="11">
        <f>INDEX('Combined_Data'!B:B, MATCH(Derived_Data!A401, 'Combined_Data'!A:A, 0))</f>
        <v>40561</v>
      </c>
      <c r="C401" s="12" t="str">
        <f>INDEX('Combined_Data'!G:G, MATCH(A401, 'Combined_Data'!A:A, 0))</f>
        <v>Tuesday</v>
      </c>
      <c r="D401" s="12" t="b">
        <f>INDEX('Combined_Data'!F:F, MATCH(A401, 'Combined_Data'!A:A, 0))</f>
        <v>0</v>
      </c>
      <c r="E401" s="12">
        <f>INDEX('Combined_Data'!O:O, MATCH(A401, 'Combined_Data'!A:A, 0))</f>
        <v>35</v>
      </c>
      <c r="F401" s="12">
        <f>INDEX('Combined_Data'!M:M, MATCH(A401, 'Combined_Data'!A:A, 0))</f>
        <v>3</v>
      </c>
      <c r="G401" s="12">
        <f>INDEX('Combined_Data'!N:N, MATCH(A401, 'Combined_Data'!A:A, 0))</f>
        <v>32</v>
      </c>
      <c r="H401" s="12" t="str">
        <f t="shared" si="24"/>
        <v>Weekday</v>
      </c>
      <c r="I401" s="12" t="str">
        <f t="shared" si="25"/>
        <v>Working Day</v>
      </c>
      <c r="J401" s="12" t="str">
        <f t="shared" si="26"/>
        <v>Low</v>
      </c>
      <c r="K401" s="12" t="str">
        <f>INDEX('Combined_Data'!H:H, MATCH(A401, 'Combined_Data'!A:A, 0))</f>
        <v>Mist</v>
      </c>
      <c r="L401" s="13">
        <f t="shared" si="27"/>
        <v>2</v>
      </c>
    </row>
    <row r="402" spans="1:12" x14ac:dyDescent="0.35">
      <c r="A402" s="10">
        <v>401</v>
      </c>
      <c r="B402" s="11">
        <f>INDEX('Combined_Data'!B:B, MATCH(Derived_Data!A402, 'Combined_Data'!A:A, 0))</f>
        <v>40561</v>
      </c>
      <c r="C402" s="12" t="str">
        <f>INDEX('Combined_Data'!G:G, MATCH(A402, 'Combined_Data'!A:A, 0))</f>
        <v>Tuesday</v>
      </c>
      <c r="D402" s="12" t="b">
        <f>INDEX('Combined_Data'!F:F, MATCH(A402, 'Combined_Data'!A:A, 0))</f>
        <v>0</v>
      </c>
      <c r="E402" s="12">
        <f>INDEX('Combined_Data'!O:O, MATCH(A402, 'Combined_Data'!A:A, 0))</f>
        <v>61</v>
      </c>
      <c r="F402" s="12">
        <f>INDEX('Combined_Data'!M:M, MATCH(A402, 'Combined_Data'!A:A, 0))</f>
        <v>0</v>
      </c>
      <c r="G402" s="12">
        <f>INDEX('Combined_Data'!N:N, MATCH(A402, 'Combined_Data'!A:A, 0))</f>
        <v>61</v>
      </c>
      <c r="H402" s="12" t="str">
        <f t="shared" si="24"/>
        <v>Weekday</v>
      </c>
      <c r="I402" s="12" t="str">
        <f t="shared" si="25"/>
        <v>Working Day</v>
      </c>
      <c r="J402" s="12" t="str">
        <f t="shared" si="26"/>
        <v>Low</v>
      </c>
      <c r="K402" s="12" t="str">
        <f>INDEX('Combined_Data'!H:H, MATCH(A402, 'Combined_Data'!A:A, 0))</f>
        <v>Mist</v>
      </c>
      <c r="L402" s="13">
        <f t="shared" si="27"/>
        <v>2</v>
      </c>
    </row>
    <row r="403" spans="1:12" x14ac:dyDescent="0.35">
      <c r="A403" s="10">
        <v>402</v>
      </c>
      <c r="B403" s="11">
        <f>INDEX('Combined_Data'!B:B, MATCH(Derived_Data!A403, 'Combined_Data'!A:A, 0))</f>
        <v>40561</v>
      </c>
      <c r="C403" s="12" t="str">
        <f>INDEX('Combined_Data'!G:G, MATCH(A403, 'Combined_Data'!A:A, 0))</f>
        <v>Tuesday</v>
      </c>
      <c r="D403" s="12" t="b">
        <f>INDEX('Combined_Data'!F:F, MATCH(A403, 'Combined_Data'!A:A, 0))</f>
        <v>0</v>
      </c>
      <c r="E403" s="12">
        <f>INDEX('Combined_Data'!O:O, MATCH(A403, 'Combined_Data'!A:A, 0))</f>
        <v>125</v>
      </c>
      <c r="F403" s="12">
        <f>INDEX('Combined_Data'!M:M, MATCH(A403, 'Combined_Data'!A:A, 0))</f>
        <v>1</v>
      </c>
      <c r="G403" s="12">
        <f>INDEX('Combined_Data'!N:N, MATCH(A403, 'Combined_Data'!A:A, 0))</f>
        <v>124</v>
      </c>
      <c r="H403" s="12" t="str">
        <f t="shared" si="24"/>
        <v>Weekday</v>
      </c>
      <c r="I403" s="12" t="str">
        <f t="shared" si="25"/>
        <v>Working Day</v>
      </c>
      <c r="J403" s="12" t="str">
        <f t="shared" si="26"/>
        <v>Medium</v>
      </c>
      <c r="K403" s="12" t="str">
        <f>INDEX('Combined_Data'!H:H, MATCH(A403, 'Combined_Data'!A:A, 0))</f>
        <v>Mist</v>
      </c>
      <c r="L403" s="13">
        <f t="shared" si="27"/>
        <v>2</v>
      </c>
    </row>
    <row r="404" spans="1:12" x14ac:dyDescent="0.35">
      <c r="A404" s="10">
        <v>403</v>
      </c>
      <c r="B404" s="11">
        <f>INDEX('Combined_Data'!B:B, MATCH(Derived_Data!A404, 'Combined_Data'!A:A, 0))</f>
        <v>40561</v>
      </c>
      <c r="C404" s="12" t="str">
        <f>INDEX('Combined_Data'!G:G, MATCH(A404, 'Combined_Data'!A:A, 0))</f>
        <v>Tuesday</v>
      </c>
      <c r="D404" s="12" t="b">
        <f>INDEX('Combined_Data'!F:F, MATCH(A404, 'Combined_Data'!A:A, 0))</f>
        <v>0</v>
      </c>
      <c r="E404" s="12">
        <f>INDEX('Combined_Data'!O:O, MATCH(A404, 'Combined_Data'!A:A, 0))</f>
        <v>133</v>
      </c>
      <c r="F404" s="12">
        <f>INDEX('Combined_Data'!M:M, MATCH(A404, 'Combined_Data'!A:A, 0))</f>
        <v>1</v>
      </c>
      <c r="G404" s="12">
        <f>INDEX('Combined_Data'!N:N, MATCH(A404, 'Combined_Data'!A:A, 0))</f>
        <v>132</v>
      </c>
      <c r="H404" s="12" t="str">
        <f t="shared" si="24"/>
        <v>Weekday</v>
      </c>
      <c r="I404" s="12" t="str">
        <f t="shared" si="25"/>
        <v>Working Day</v>
      </c>
      <c r="J404" s="12" t="str">
        <f t="shared" si="26"/>
        <v>Medium</v>
      </c>
      <c r="K404" s="12" t="str">
        <f>INDEX('Combined_Data'!H:H, MATCH(A404, 'Combined_Data'!A:A, 0))</f>
        <v>Mist</v>
      </c>
      <c r="L404" s="13">
        <f t="shared" si="27"/>
        <v>2</v>
      </c>
    </row>
    <row r="405" spans="1:12" x14ac:dyDescent="0.35">
      <c r="A405" s="10">
        <v>404</v>
      </c>
      <c r="B405" s="11">
        <f>INDEX('Combined_Data'!B:B, MATCH(Derived_Data!A405, 'Combined_Data'!A:A, 0))</f>
        <v>40561</v>
      </c>
      <c r="C405" s="12" t="str">
        <f>INDEX('Combined_Data'!G:G, MATCH(A405, 'Combined_Data'!A:A, 0))</f>
        <v>Tuesday</v>
      </c>
      <c r="D405" s="12" t="b">
        <f>INDEX('Combined_Data'!F:F, MATCH(A405, 'Combined_Data'!A:A, 0))</f>
        <v>0</v>
      </c>
      <c r="E405" s="12">
        <f>INDEX('Combined_Data'!O:O, MATCH(A405, 'Combined_Data'!A:A, 0))</f>
        <v>99</v>
      </c>
      <c r="F405" s="12">
        <f>INDEX('Combined_Data'!M:M, MATCH(A405, 'Combined_Data'!A:A, 0))</f>
        <v>1</v>
      </c>
      <c r="G405" s="12">
        <f>INDEX('Combined_Data'!N:N, MATCH(A405, 'Combined_Data'!A:A, 0))</f>
        <v>98</v>
      </c>
      <c r="H405" s="12" t="str">
        <f t="shared" si="24"/>
        <v>Weekday</v>
      </c>
      <c r="I405" s="12" t="str">
        <f t="shared" si="25"/>
        <v>Working Day</v>
      </c>
      <c r="J405" s="12" t="str">
        <f t="shared" si="26"/>
        <v>Low</v>
      </c>
      <c r="K405" s="12" t="str">
        <f>INDEX('Combined_Data'!H:H, MATCH(A405, 'Combined_Data'!A:A, 0))</f>
        <v>Mist</v>
      </c>
      <c r="L405" s="13">
        <f t="shared" si="27"/>
        <v>2</v>
      </c>
    </row>
    <row r="406" spans="1:12" x14ac:dyDescent="0.35">
      <c r="A406" s="10">
        <v>405</v>
      </c>
      <c r="B406" s="11">
        <f>INDEX('Combined_Data'!B:B, MATCH(Derived_Data!A406, 'Combined_Data'!A:A, 0))</f>
        <v>40561</v>
      </c>
      <c r="C406" s="12" t="str">
        <f>INDEX('Combined_Data'!G:G, MATCH(A406, 'Combined_Data'!A:A, 0))</f>
        <v>Tuesday</v>
      </c>
      <c r="D406" s="12" t="b">
        <f>INDEX('Combined_Data'!F:F, MATCH(A406, 'Combined_Data'!A:A, 0))</f>
        <v>0</v>
      </c>
      <c r="E406" s="12">
        <f>INDEX('Combined_Data'!O:O, MATCH(A406, 'Combined_Data'!A:A, 0))</f>
        <v>83</v>
      </c>
      <c r="F406" s="12">
        <f>INDEX('Combined_Data'!M:M, MATCH(A406, 'Combined_Data'!A:A, 0))</f>
        <v>0</v>
      </c>
      <c r="G406" s="12">
        <f>INDEX('Combined_Data'!N:N, MATCH(A406, 'Combined_Data'!A:A, 0))</f>
        <v>83</v>
      </c>
      <c r="H406" s="12" t="str">
        <f t="shared" si="24"/>
        <v>Weekday</v>
      </c>
      <c r="I406" s="12" t="str">
        <f t="shared" si="25"/>
        <v>Working Day</v>
      </c>
      <c r="J406" s="12" t="str">
        <f t="shared" si="26"/>
        <v>Low</v>
      </c>
      <c r="K406" s="12" t="str">
        <f>INDEX('Combined_Data'!H:H, MATCH(A406, 'Combined_Data'!A:A, 0))</f>
        <v>Mist</v>
      </c>
      <c r="L406" s="13">
        <f t="shared" si="27"/>
        <v>2</v>
      </c>
    </row>
    <row r="407" spans="1:12" x14ac:dyDescent="0.35">
      <c r="A407" s="10">
        <v>406</v>
      </c>
      <c r="B407" s="11">
        <f>INDEX('Combined_Data'!B:B, MATCH(Derived_Data!A407, 'Combined_Data'!A:A, 0))</f>
        <v>40561</v>
      </c>
      <c r="C407" s="12" t="str">
        <f>INDEX('Combined_Data'!G:G, MATCH(A407, 'Combined_Data'!A:A, 0))</f>
        <v>Tuesday</v>
      </c>
      <c r="D407" s="12" t="b">
        <f>INDEX('Combined_Data'!F:F, MATCH(A407, 'Combined_Data'!A:A, 0))</f>
        <v>0</v>
      </c>
      <c r="E407" s="12">
        <f>INDEX('Combined_Data'!O:O, MATCH(A407, 'Combined_Data'!A:A, 0))</f>
        <v>41</v>
      </c>
      <c r="F407" s="12">
        <f>INDEX('Combined_Data'!M:M, MATCH(A407, 'Combined_Data'!A:A, 0))</f>
        <v>0</v>
      </c>
      <c r="G407" s="12">
        <f>INDEX('Combined_Data'!N:N, MATCH(A407, 'Combined_Data'!A:A, 0))</f>
        <v>41</v>
      </c>
      <c r="H407" s="12" t="str">
        <f t="shared" si="24"/>
        <v>Weekday</v>
      </c>
      <c r="I407" s="12" t="str">
        <f t="shared" si="25"/>
        <v>Working Day</v>
      </c>
      <c r="J407" s="12" t="str">
        <f t="shared" si="26"/>
        <v>Low</v>
      </c>
      <c r="K407" s="12" t="str">
        <f>INDEX('Combined_Data'!H:H, MATCH(A407, 'Combined_Data'!A:A, 0))</f>
        <v>Mist</v>
      </c>
      <c r="L407" s="13">
        <f t="shared" si="27"/>
        <v>2</v>
      </c>
    </row>
    <row r="408" spans="1:12" x14ac:dyDescent="0.35">
      <c r="A408" s="10">
        <v>407</v>
      </c>
      <c r="B408" s="11">
        <f>INDEX('Combined_Data'!B:B, MATCH(Derived_Data!A408, 'Combined_Data'!A:A, 0))</f>
        <v>40561</v>
      </c>
      <c r="C408" s="12" t="str">
        <f>INDEX('Combined_Data'!G:G, MATCH(A408, 'Combined_Data'!A:A, 0))</f>
        <v>Tuesday</v>
      </c>
      <c r="D408" s="12" t="b">
        <f>INDEX('Combined_Data'!F:F, MATCH(A408, 'Combined_Data'!A:A, 0))</f>
        <v>0</v>
      </c>
      <c r="E408" s="12">
        <f>INDEX('Combined_Data'!O:O, MATCH(A408, 'Combined_Data'!A:A, 0))</f>
        <v>33</v>
      </c>
      <c r="F408" s="12">
        <f>INDEX('Combined_Data'!M:M, MATCH(A408, 'Combined_Data'!A:A, 0))</f>
        <v>0</v>
      </c>
      <c r="G408" s="12">
        <f>INDEX('Combined_Data'!N:N, MATCH(A408, 'Combined_Data'!A:A, 0))</f>
        <v>33</v>
      </c>
      <c r="H408" s="12" t="str">
        <f t="shared" si="24"/>
        <v>Weekday</v>
      </c>
      <c r="I408" s="12" t="str">
        <f t="shared" si="25"/>
        <v>Working Day</v>
      </c>
      <c r="J408" s="12" t="str">
        <f t="shared" si="26"/>
        <v>Low</v>
      </c>
      <c r="K408" s="12" t="str">
        <f>INDEX('Combined_Data'!H:H, MATCH(A408, 'Combined_Data'!A:A, 0))</f>
        <v>Mist</v>
      </c>
      <c r="L408" s="13">
        <f t="shared" si="27"/>
        <v>2</v>
      </c>
    </row>
    <row r="409" spans="1:12" x14ac:dyDescent="0.35">
      <c r="A409" s="10">
        <v>408</v>
      </c>
      <c r="B409" s="11">
        <f>INDEX('Combined_Data'!B:B, MATCH(Derived_Data!A409, 'Combined_Data'!A:A, 0))</f>
        <v>40561</v>
      </c>
      <c r="C409" s="12" t="str">
        <f>INDEX('Combined_Data'!G:G, MATCH(A409, 'Combined_Data'!A:A, 0))</f>
        <v>Tuesday</v>
      </c>
      <c r="D409" s="12" t="b">
        <f>INDEX('Combined_Data'!F:F, MATCH(A409, 'Combined_Data'!A:A, 0))</f>
        <v>0</v>
      </c>
      <c r="E409" s="12">
        <f>INDEX('Combined_Data'!O:O, MATCH(A409, 'Combined_Data'!A:A, 0))</f>
        <v>20</v>
      </c>
      <c r="F409" s="12">
        <f>INDEX('Combined_Data'!M:M, MATCH(A409, 'Combined_Data'!A:A, 0))</f>
        <v>1</v>
      </c>
      <c r="G409" s="12">
        <f>INDEX('Combined_Data'!N:N, MATCH(A409, 'Combined_Data'!A:A, 0))</f>
        <v>19</v>
      </c>
      <c r="H409" s="12" t="str">
        <f t="shared" si="24"/>
        <v>Weekday</v>
      </c>
      <c r="I409" s="12" t="str">
        <f t="shared" si="25"/>
        <v>Working Day</v>
      </c>
      <c r="J409" s="12" t="str">
        <f t="shared" si="26"/>
        <v>Low</v>
      </c>
      <c r="K409" s="12" t="str">
        <f>INDEX('Combined_Data'!H:H, MATCH(A409, 'Combined_Data'!A:A, 0))</f>
        <v>Mist</v>
      </c>
      <c r="L409" s="13">
        <f t="shared" si="27"/>
        <v>2</v>
      </c>
    </row>
    <row r="410" spans="1:12" x14ac:dyDescent="0.35">
      <c r="A410" s="10">
        <v>409</v>
      </c>
      <c r="B410" s="11">
        <f>INDEX('Combined_Data'!B:B, MATCH(Derived_Data!A410, 'Combined_Data'!A:A, 0))</f>
        <v>40562</v>
      </c>
      <c r="C410" s="12" t="str">
        <f>INDEX('Combined_Data'!G:G, MATCH(A410, 'Combined_Data'!A:A, 0))</f>
        <v>Wednesday</v>
      </c>
      <c r="D410" s="12" t="b">
        <f>INDEX('Combined_Data'!F:F, MATCH(A410, 'Combined_Data'!A:A, 0))</f>
        <v>0</v>
      </c>
      <c r="E410" s="12">
        <f>INDEX('Combined_Data'!O:O, MATCH(A410, 'Combined_Data'!A:A, 0))</f>
        <v>3</v>
      </c>
      <c r="F410" s="12">
        <f>INDEX('Combined_Data'!M:M, MATCH(A410, 'Combined_Data'!A:A, 0))</f>
        <v>0</v>
      </c>
      <c r="G410" s="12">
        <f>INDEX('Combined_Data'!N:N, MATCH(A410, 'Combined_Data'!A:A, 0))</f>
        <v>3</v>
      </c>
      <c r="H410" s="12" t="str">
        <f t="shared" si="24"/>
        <v>Weekday</v>
      </c>
      <c r="I410" s="12" t="str">
        <f t="shared" si="25"/>
        <v>Working Day</v>
      </c>
      <c r="J410" s="12" t="str">
        <f t="shared" si="26"/>
        <v>Low</v>
      </c>
      <c r="K410" s="12" t="str">
        <f>INDEX('Combined_Data'!H:H, MATCH(A410, 'Combined_Data'!A:A, 0))</f>
        <v>Mist</v>
      </c>
      <c r="L410" s="13">
        <f t="shared" si="27"/>
        <v>2</v>
      </c>
    </row>
    <row r="411" spans="1:12" x14ac:dyDescent="0.35">
      <c r="A411" s="10">
        <v>410</v>
      </c>
      <c r="B411" s="11">
        <f>INDEX('Combined_Data'!B:B, MATCH(Derived_Data!A411, 'Combined_Data'!A:A, 0))</f>
        <v>40562</v>
      </c>
      <c r="C411" s="12" t="str">
        <f>INDEX('Combined_Data'!G:G, MATCH(A411, 'Combined_Data'!A:A, 0))</f>
        <v>Wednesday</v>
      </c>
      <c r="D411" s="12" t="b">
        <f>INDEX('Combined_Data'!F:F, MATCH(A411, 'Combined_Data'!A:A, 0))</f>
        <v>0</v>
      </c>
      <c r="E411" s="12">
        <f>INDEX('Combined_Data'!O:O, MATCH(A411, 'Combined_Data'!A:A, 0))</f>
        <v>7</v>
      </c>
      <c r="F411" s="12">
        <f>INDEX('Combined_Data'!M:M, MATCH(A411, 'Combined_Data'!A:A, 0))</f>
        <v>1</v>
      </c>
      <c r="G411" s="12">
        <f>INDEX('Combined_Data'!N:N, MATCH(A411, 'Combined_Data'!A:A, 0))</f>
        <v>6</v>
      </c>
      <c r="H411" s="12" t="str">
        <f t="shared" si="24"/>
        <v>Weekday</v>
      </c>
      <c r="I411" s="12" t="str">
        <f t="shared" si="25"/>
        <v>Working Day</v>
      </c>
      <c r="J411" s="12" t="str">
        <f t="shared" si="26"/>
        <v>Low</v>
      </c>
      <c r="K411" s="12" t="str">
        <f>INDEX('Combined_Data'!H:H, MATCH(A411, 'Combined_Data'!A:A, 0))</f>
        <v>Light Snow</v>
      </c>
      <c r="L411" s="13">
        <f t="shared" si="27"/>
        <v>3</v>
      </c>
    </row>
    <row r="412" spans="1:12" x14ac:dyDescent="0.35">
      <c r="A412" s="10">
        <v>411</v>
      </c>
      <c r="B412" s="11">
        <f>INDEX('Combined_Data'!B:B, MATCH(Derived_Data!A412, 'Combined_Data'!A:A, 0))</f>
        <v>40562</v>
      </c>
      <c r="C412" s="12" t="str">
        <f>INDEX('Combined_Data'!G:G, MATCH(A412, 'Combined_Data'!A:A, 0))</f>
        <v>Wednesday</v>
      </c>
      <c r="D412" s="12" t="b">
        <f>INDEX('Combined_Data'!F:F, MATCH(A412, 'Combined_Data'!A:A, 0))</f>
        <v>0</v>
      </c>
      <c r="E412" s="12">
        <f>INDEX('Combined_Data'!O:O, MATCH(A412, 'Combined_Data'!A:A, 0))</f>
        <v>3</v>
      </c>
      <c r="F412" s="12">
        <f>INDEX('Combined_Data'!M:M, MATCH(A412, 'Combined_Data'!A:A, 0))</f>
        <v>0</v>
      </c>
      <c r="G412" s="12">
        <f>INDEX('Combined_Data'!N:N, MATCH(A412, 'Combined_Data'!A:A, 0))</f>
        <v>3</v>
      </c>
      <c r="H412" s="12" t="str">
        <f t="shared" si="24"/>
        <v>Weekday</v>
      </c>
      <c r="I412" s="12" t="str">
        <f t="shared" si="25"/>
        <v>Working Day</v>
      </c>
      <c r="J412" s="12" t="str">
        <f t="shared" si="26"/>
        <v>Low</v>
      </c>
      <c r="K412" s="12" t="str">
        <f>INDEX('Combined_Data'!H:H, MATCH(A412, 'Combined_Data'!A:A, 0))</f>
        <v>Light Snow</v>
      </c>
      <c r="L412" s="13">
        <f t="shared" si="27"/>
        <v>3</v>
      </c>
    </row>
    <row r="413" spans="1:12" x14ac:dyDescent="0.35">
      <c r="A413" s="10">
        <v>412</v>
      </c>
      <c r="B413" s="11">
        <f>INDEX('Combined_Data'!B:B, MATCH(Derived_Data!A413, 'Combined_Data'!A:A, 0))</f>
        <v>40562</v>
      </c>
      <c r="C413" s="12" t="str">
        <f>INDEX('Combined_Data'!G:G, MATCH(A413, 'Combined_Data'!A:A, 0))</f>
        <v>Wednesday</v>
      </c>
      <c r="D413" s="12" t="b">
        <f>INDEX('Combined_Data'!F:F, MATCH(A413, 'Combined_Data'!A:A, 0))</f>
        <v>0</v>
      </c>
      <c r="E413" s="12">
        <f>INDEX('Combined_Data'!O:O, MATCH(A413, 'Combined_Data'!A:A, 0))</f>
        <v>2</v>
      </c>
      <c r="F413" s="12">
        <f>INDEX('Combined_Data'!M:M, MATCH(A413, 'Combined_Data'!A:A, 0))</f>
        <v>1</v>
      </c>
      <c r="G413" s="12">
        <f>INDEX('Combined_Data'!N:N, MATCH(A413, 'Combined_Data'!A:A, 0))</f>
        <v>1</v>
      </c>
      <c r="H413" s="12" t="str">
        <f t="shared" si="24"/>
        <v>Weekday</v>
      </c>
      <c r="I413" s="12" t="str">
        <f t="shared" si="25"/>
        <v>Working Day</v>
      </c>
      <c r="J413" s="12" t="str">
        <f t="shared" si="26"/>
        <v>Low</v>
      </c>
      <c r="K413" s="12" t="str">
        <f>INDEX('Combined_Data'!H:H, MATCH(A413, 'Combined_Data'!A:A, 0))</f>
        <v>Light Snow</v>
      </c>
      <c r="L413" s="13">
        <f t="shared" si="27"/>
        <v>3</v>
      </c>
    </row>
    <row r="414" spans="1:12" x14ac:dyDescent="0.35">
      <c r="A414" s="10">
        <v>413</v>
      </c>
      <c r="B414" s="11">
        <f>INDEX('Combined_Data'!B:B, MATCH(Derived_Data!A414, 'Combined_Data'!A:A, 0))</f>
        <v>40562</v>
      </c>
      <c r="C414" s="12" t="str">
        <f>INDEX('Combined_Data'!G:G, MATCH(A414, 'Combined_Data'!A:A, 0))</f>
        <v>Wednesday</v>
      </c>
      <c r="D414" s="12" t="b">
        <f>INDEX('Combined_Data'!F:F, MATCH(A414, 'Combined_Data'!A:A, 0))</f>
        <v>0</v>
      </c>
      <c r="E414" s="12">
        <f>INDEX('Combined_Data'!O:O, MATCH(A414, 'Combined_Data'!A:A, 0))</f>
        <v>7</v>
      </c>
      <c r="F414" s="12">
        <f>INDEX('Combined_Data'!M:M, MATCH(A414, 'Combined_Data'!A:A, 0))</f>
        <v>0</v>
      </c>
      <c r="G414" s="12">
        <f>INDEX('Combined_Data'!N:N, MATCH(A414, 'Combined_Data'!A:A, 0))</f>
        <v>7</v>
      </c>
      <c r="H414" s="12" t="str">
        <f t="shared" si="24"/>
        <v>Weekday</v>
      </c>
      <c r="I414" s="12" t="str">
        <f t="shared" si="25"/>
        <v>Working Day</v>
      </c>
      <c r="J414" s="12" t="str">
        <f t="shared" si="26"/>
        <v>Low</v>
      </c>
      <c r="K414" s="12" t="str">
        <f>INDEX('Combined_Data'!H:H, MATCH(A414, 'Combined_Data'!A:A, 0))</f>
        <v>Mist</v>
      </c>
      <c r="L414" s="13">
        <f t="shared" si="27"/>
        <v>2</v>
      </c>
    </row>
    <row r="415" spans="1:12" x14ac:dyDescent="0.35">
      <c r="A415" s="10">
        <v>414</v>
      </c>
      <c r="B415" s="11">
        <f>INDEX('Combined_Data'!B:B, MATCH(Derived_Data!A415, 'Combined_Data'!A:A, 0))</f>
        <v>40562</v>
      </c>
      <c r="C415" s="12" t="str">
        <f>INDEX('Combined_Data'!G:G, MATCH(A415, 'Combined_Data'!A:A, 0))</f>
        <v>Wednesday</v>
      </c>
      <c r="D415" s="12" t="b">
        <f>INDEX('Combined_Data'!F:F, MATCH(A415, 'Combined_Data'!A:A, 0))</f>
        <v>0</v>
      </c>
      <c r="E415" s="12">
        <f>INDEX('Combined_Data'!O:O, MATCH(A415, 'Combined_Data'!A:A, 0))</f>
        <v>32</v>
      </c>
      <c r="F415" s="12">
        <f>INDEX('Combined_Data'!M:M, MATCH(A415, 'Combined_Data'!A:A, 0))</f>
        <v>0</v>
      </c>
      <c r="G415" s="12">
        <f>INDEX('Combined_Data'!N:N, MATCH(A415, 'Combined_Data'!A:A, 0))</f>
        <v>32</v>
      </c>
      <c r="H415" s="12" t="str">
        <f t="shared" si="24"/>
        <v>Weekday</v>
      </c>
      <c r="I415" s="12" t="str">
        <f t="shared" si="25"/>
        <v>Working Day</v>
      </c>
      <c r="J415" s="12" t="str">
        <f t="shared" si="26"/>
        <v>Low</v>
      </c>
      <c r="K415" s="12" t="str">
        <f>INDEX('Combined_Data'!H:H, MATCH(A415, 'Combined_Data'!A:A, 0))</f>
        <v>Mist</v>
      </c>
      <c r="L415" s="13">
        <f t="shared" si="27"/>
        <v>2</v>
      </c>
    </row>
    <row r="416" spans="1:12" x14ac:dyDescent="0.35">
      <c r="A416" s="10">
        <v>415</v>
      </c>
      <c r="B416" s="11">
        <f>INDEX('Combined_Data'!B:B, MATCH(Derived_Data!A416, 'Combined_Data'!A:A, 0))</f>
        <v>40562</v>
      </c>
      <c r="C416" s="12" t="str">
        <f>INDEX('Combined_Data'!G:G, MATCH(A416, 'Combined_Data'!A:A, 0))</f>
        <v>Wednesday</v>
      </c>
      <c r="D416" s="12" t="b">
        <f>INDEX('Combined_Data'!F:F, MATCH(A416, 'Combined_Data'!A:A, 0))</f>
        <v>0</v>
      </c>
      <c r="E416" s="12">
        <f>INDEX('Combined_Data'!O:O, MATCH(A416, 'Combined_Data'!A:A, 0))</f>
        <v>90</v>
      </c>
      <c r="F416" s="12">
        <f>INDEX('Combined_Data'!M:M, MATCH(A416, 'Combined_Data'!A:A, 0))</f>
        <v>1</v>
      </c>
      <c r="G416" s="12">
        <f>INDEX('Combined_Data'!N:N, MATCH(A416, 'Combined_Data'!A:A, 0))</f>
        <v>89</v>
      </c>
      <c r="H416" s="12" t="str">
        <f t="shared" si="24"/>
        <v>Weekday</v>
      </c>
      <c r="I416" s="12" t="str">
        <f t="shared" si="25"/>
        <v>Working Day</v>
      </c>
      <c r="J416" s="12" t="str">
        <f t="shared" si="26"/>
        <v>Low</v>
      </c>
      <c r="K416" s="12" t="str">
        <f>INDEX('Combined_Data'!H:H, MATCH(A416, 'Combined_Data'!A:A, 0))</f>
        <v>Mist</v>
      </c>
      <c r="L416" s="13">
        <f t="shared" si="27"/>
        <v>2</v>
      </c>
    </row>
    <row r="417" spans="1:12" x14ac:dyDescent="0.35">
      <c r="A417" s="10">
        <v>416</v>
      </c>
      <c r="B417" s="11">
        <f>INDEX('Combined_Data'!B:B, MATCH(Derived_Data!A417, 'Combined_Data'!A:A, 0))</f>
        <v>40562</v>
      </c>
      <c r="C417" s="12" t="str">
        <f>INDEX('Combined_Data'!G:G, MATCH(A417, 'Combined_Data'!A:A, 0))</f>
        <v>Wednesday</v>
      </c>
      <c r="D417" s="12" t="b">
        <f>INDEX('Combined_Data'!F:F, MATCH(A417, 'Combined_Data'!A:A, 0))</f>
        <v>0</v>
      </c>
      <c r="E417" s="12">
        <f>INDEX('Combined_Data'!O:O, MATCH(A417, 'Combined_Data'!A:A, 0))</f>
        <v>197</v>
      </c>
      <c r="F417" s="12">
        <f>INDEX('Combined_Data'!M:M, MATCH(A417, 'Combined_Data'!A:A, 0))</f>
        <v>1</v>
      </c>
      <c r="G417" s="12">
        <f>INDEX('Combined_Data'!N:N, MATCH(A417, 'Combined_Data'!A:A, 0))</f>
        <v>196</v>
      </c>
      <c r="H417" s="12" t="str">
        <f t="shared" si="24"/>
        <v>Weekday</v>
      </c>
      <c r="I417" s="12" t="str">
        <f t="shared" si="25"/>
        <v>Working Day</v>
      </c>
      <c r="J417" s="12" t="str">
        <f t="shared" si="26"/>
        <v>High</v>
      </c>
      <c r="K417" s="12" t="str">
        <f>INDEX('Combined_Data'!H:H, MATCH(A417, 'Combined_Data'!A:A, 0))</f>
        <v>Mist</v>
      </c>
      <c r="L417" s="13">
        <f t="shared" si="27"/>
        <v>2</v>
      </c>
    </row>
    <row r="418" spans="1:12" x14ac:dyDescent="0.35">
      <c r="A418" s="10">
        <v>417</v>
      </c>
      <c r="B418" s="11">
        <f>INDEX('Combined_Data'!B:B, MATCH(Derived_Data!A418, 'Combined_Data'!A:A, 0))</f>
        <v>40562</v>
      </c>
      <c r="C418" s="12" t="str">
        <f>INDEX('Combined_Data'!G:G, MATCH(A418, 'Combined_Data'!A:A, 0))</f>
        <v>Wednesday</v>
      </c>
      <c r="D418" s="12" t="b">
        <f>INDEX('Combined_Data'!F:F, MATCH(A418, 'Combined_Data'!A:A, 0))</f>
        <v>0</v>
      </c>
      <c r="E418" s="12">
        <f>INDEX('Combined_Data'!O:O, MATCH(A418, 'Combined_Data'!A:A, 0))</f>
        <v>109</v>
      </c>
      <c r="F418" s="12">
        <f>INDEX('Combined_Data'!M:M, MATCH(A418, 'Combined_Data'!A:A, 0))</f>
        <v>2</v>
      </c>
      <c r="G418" s="12">
        <f>INDEX('Combined_Data'!N:N, MATCH(A418, 'Combined_Data'!A:A, 0))</f>
        <v>107</v>
      </c>
      <c r="H418" s="12" t="str">
        <f t="shared" si="24"/>
        <v>Weekday</v>
      </c>
      <c r="I418" s="12" t="str">
        <f t="shared" si="25"/>
        <v>Working Day</v>
      </c>
      <c r="J418" s="12" t="str">
        <f t="shared" si="26"/>
        <v>Medium</v>
      </c>
      <c r="K418" s="12" t="str">
        <f>INDEX('Combined_Data'!H:H, MATCH(A418, 'Combined_Data'!A:A, 0))</f>
        <v>Mist</v>
      </c>
      <c r="L418" s="13">
        <f t="shared" si="27"/>
        <v>2</v>
      </c>
    </row>
    <row r="419" spans="1:12" x14ac:dyDescent="0.35">
      <c r="A419" s="10">
        <v>418</v>
      </c>
      <c r="B419" s="11">
        <f>INDEX('Combined_Data'!B:B, MATCH(Derived_Data!A419, 'Combined_Data'!A:A, 0))</f>
        <v>40562</v>
      </c>
      <c r="C419" s="12" t="str">
        <f>INDEX('Combined_Data'!G:G, MATCH(A419, 'Combined_Data'!A:A, 0))</f>
        <v>Wednesday</v>
      </c>
      <c r="D419" s="12" t="b">
        <f>INDEX('Combined_Data'!F:F, MATCH(A419, 'Combined_Data'!A:A, 0))</f>
        <v>0</v>
      </c>
      <c r="E419" s="12">
        <f>INDEX('Combined_Data'!O:O, MATCH(A419, 'Combined_Data'!A:A, 0))</f>
        <v>47</v>
      </c>
      <c r="F419" s="12">
        <f>INDEX('Combined_Data'!M:M, MATCH(A419, 'Combined_Data'!A:A, 0))</f>
        <v>1</v>
      </c>
      <c r="G419" s="12">
        <f>INDEX('Combined_Data'!N:N, MATCH(A419, 'Combined_Data'!A:A, 0))</f>
        <v>46</v>
      </c>
      <c r="H419" s="12" t="str">
        <f t="shared" si="24"/>
        <v>Weekday</v>
      </c>
      <c r="I419" s="12" t="str">
        <f t="shared" si="25"/>
        <v>Working Day</v>
      </c>
      <c r="J419" s="12" t="str">
        <f t="shared" si="26"/>
        <v>Low</v>
      </c>
      <c r="K419" s="12" t="str">
        <f>INDEX('Combined_Data'!H:H, MATCH(A419, 'Combined_Data'!A:A, 0))</f>
        <v>Mist</v>
      </c>
      <c r="L419" s="13">
        <f t="shared" si="27"/>
        <v>2</v>
      </c>
    </row>
    <row r="420" spans="1:12" x14ac:dyDescent="0.35">
      <c r="A420" s="10">
        <v>419</v>
      </c>
      <c r="B420" s="11">
        <f>INDEX('Combined_Data'!B:B, MATCH(Derived_Data!A420, 'Combined_Data'!A:A, 0))</f>
        <v>40562</v>
      </c>
      <c r="C420" s="12" t="str">
        <f>INDEX('Combined_Data'!G:G, MATCH(A420, 'Combined_Data'!A:A, 0))</f>
        <v>Wednesday</v>
      </c>
      <c r="D420" s="12" t="b">
        <f>INDEX('Combined_Data'!F:F, MATCH(A420, 'Combined_Data'!A:A, 0))</f>
        <v>0</v>
      </c>
      <c r="E420" s="12">
        <f>INDEX('Combined_Data'!O:O, MATCH(A420, 'Combined_Data'!A:A, 0))</f>
        <v>52</v>
      </c>
      <c r="F420" s="12">
        <f>INDEX('Combined_Data'!M:M, MATCH(A420, 'Combined_Data'!A:A, 0))</f>
        <v>5</v>
      </c>
      <c r="G420" s="12">
        <f>INDEX('Combined_Data'!N:N, MATCH(A420, 'Combined_Data'!A:A, 0))</f>
        <v>47</v>
      </c>
      <c r="H420" s="12" t="str">
        <f t="shared" si="24"/>
        <v>Weekday</v>
      </c>
      <c r="I420" s="12" t="str">
        <f t="shared" si="25"/>
        <v>Working Day</v>
      </c>
      <c r="J420" s="12" t="str">
        <f t="shared" si="26"/>
        <v>Low</v>
      </c>
      <c r="K420" s="12" t="str">
        <f>INDEX('Combined_Data'!H:H, MATCH(A420, 'Combined_Data'!A:A, 0))</f>
        <v>Mist</v>
      </c>
      <c r="L420" s="13">
        <f t="shared" si="27"/>
        <v>2</v>
      </c>
    </row>
    <row r="421" spans="1:12" x14ac:dyDescent="0.35">
      <c r="A421" s="10">
        <v>420</v>
      </c>
      <c r="B421" s="11">
        <f>INDEX('Combined_Data'!B:B, MATCH(Derived_Data!A421, 'Combined_Data'!A:A, 0))</f>
        <v>40562</v>
      </c>
      <c r="C421" s="12" t="str">
        <f>INDEX('Combined_Data'!G:G, MATCH(A421, 'Combined_Data'!A:A, 0))</f>
        <v>Wednesday</v>
      </c>
      <c r="D421" s="12" t="b">
        <f>INDEX('Combined_Data'!F:F, MATCH(A421, 'Combined_Data'!A:A, 0))</f>
        <v>0</v>
      </c>
      <c r="E421" s="12">
        <f>INDEX('Combined_Data'!O:O, MATCH(A421, 'Combined_Data'!A:A, 0))</f>
        <v>70</v>
      </c>
      <c r="F421" s="12">
        <f>INDEX('Combined_Data'!M:M, MATCH(A421, 'Combined_Data'!A:A, 0))</f>
        <v>5</v>
      </c>
      <c r="G421" s="12">
        <f>INDEX('Combined_Data'!N:N, MATCH(A421, 'Combined_Data'!A:A, 0))</f>
        <v>65</v>
      </c>
      <c r="H421" s="12" t="str">
        <f t="shared" si="24"/>
        <v>Weekday</v>
      </c>
      <c r="I421" s="12" t="str">
        <f t="shared" si="25"/>
        <v>Working Day</v>
      </c>
      <c r="J421" s="12" t="str">
        <f t="shared" si="26"/>
        <v>Low</v>
      </c>
      <c r="K421" s="12" t="str">
        <f>INDEX('Combined_Data'!H:H, MATCH(A421, 'Combined_Data'!A:A, 0))</f>
        <v>Mist</v>
      </c>
      <c r="L421" s="13">
        <f t="shared" si="27"/>
        <v>2</v>
      </c>
    </row>
    <row r="422" spans="1:12" x14ac:dyDescent="0.35">
      <c r="A422" s="10">
        <v>421</v>
      </c>
      <c r="B422" s="11">
        <f>INDEX('Combined_Data'!B:B, MATCH(Derived_Data!A422, 'Combined_Data'!A:A, 0))</f>
        <v>40562</v>
      </c>
      <c r="C422" s="12" t="str">
        <f>INDEX('Combined_Data'!G:G, MATCH(A422, 'Combined_Data'!A:A, 0))</f>
        <v>Wednesday</v>
      </c>
      <c r="D422" s="12" t="b">
        <f>INDEX('Combined_Data'!F:F, MATCH(A422, 'Combined_Data'!A:A, 0))</f>
        <v>0</v>
      </c>
      <c r="E422" s="12">
        <f>INDEX('Combined_Data'!O:O, MATCH(A422, 'Combined_Data'!A:A, 0))</f>
        <v>78</v>
      </c>
      <c r="F422" s="12">
        <f>INDEX('Combined_Data'!M:M, MATCH(A422, 'Combined_Data'!A:A, 0))</f>
        <v>11</v>
      </c>
      <c r="G422" s="12">
        <f>INDEX('Combined_Data'!N:N, MATCH(A422, 'Combined_Data'!A:A, 0))</f>
        <v>67</v>
      </c>
      <c r="H422" s="12" t="str">
        <f t="shared" si="24"/>
        <v>Weekday</v>
      </c>
      <c r="I422" s="12" t="str">
        <f t="shared" si="25"/>
        <v>Working Day</v>
      </c>
      <c r="J422" s="12" t="str">
        <f t="shared" si="26"/>
        <v>Low</v>
      </c>
      <c r="K422" s="12" t="str">
        <f>INDEX('Combined_Data'!H:H, MATCH(A422, 'Combined_Data'!A:A, 0))</f>
        <v>Clear</v>
      </c>
      <c r="L422" s="13">
        <f t="shared" si="27"/>
        <v>1</v>
      </c>
    </row>
    <row r="423" spans="1:12" x14ac:dyDescent="0.35">
      <c r="A423" s="10">
        <v>422</v>
      </c>
      <c r="B423" s="11">
        <f>INDEX('Combined_Data'!B:B, MATCH(Derived_Data!A423, 'Combined_Data'!A:A, 0))</f>
        <v>40562</v>
      </c>
      <c r="C423" s="12" t="str">
        <f>INDEX('Combined_Data'!G:G, MATCH(A423, 'Combined_Data'!A:A, 0))</f>
        <v>Wednesday</v>
      </c>
      <c r="D423" s="12" t="b">
        <f>INDEX('Combined_Data'!F:F, MATCH(A423, 'Combined_Data'!A:A, 0))</f>
        <v>0</v>
      </c>
      <c r="E423" s="12">
        <f>INDEX('Combined_Data'!O:O, MATCH(A423, 'Combined_Data'!A:A, 0))</f>
        <v>75</v>
      </c>
      <c r="F423" s="12">
        <f>INDEX('Combined_Data'!M:M, MATCH(A423, 'Combined_Data'!A:A, 0))</f>
        <v>7</v>
      </c>
      <c r="G423" s="12">
        <f>INDEX('Combined_Data'!N:N, MATCH(A423, 'Combined_Data'!A:A, 0))</f>
        <v>68</v>
      </c>
      <c r="H423" s="12" t="str">
        <f t="shared" si="24"/>
        <v>Weekday</v>
      </c>
      <c r="I423" s="12" t="str">
        <f t="shared" si="25"/>
        <v>Working Day</v>
      </c>
      <c r="J423" s="12" t="str">
        <f t="shared" si="26"/>
        <v>Low</v>
      </c>
      <c r="K423" s="12" t="str">
        <f>INDEX('Combined_Data'!H:H, MATCH(A423, 'Combined_Data'!A:A, 0))</f>
        <v>Clear</v>
      </c>
      <c r="L423" s="13">
        <f t="shared" si="27"/>
        <v>1</v>
      </c>
    </row>
    <row r="424" spans="1:12" x14ac:dyDescent="0.35">
      <c r="A424" s="10">
        <v>423</v>
      </c>
      <c r="B424" s="11">
        <f>INDEX('Combined_Data'!B:B, MATCH(Derived_Data!A424, 'Combined_Data'!A:A, 0))</f>
        <v>40562</v>
      </c>
      <c r="C424" s="12" t="str">
        <f>INDEX('Combined_Data'!G:G, MATCH(A424, 'Combined_Data'!A:A, 0))</f>
        <v>Wednesday</v>
      </c>
      <c r="D424" s="12" t="b">
        <f>INDEX('Combined_Data'!F:F, MATCH(A424, 'Combined_Data'!A:A, 0))</f>
        <v>0</v>
      </c>
      <c r="E424" s="12">
        <f>INDEX('Combined_Data'!O:O, MATCH(A424, 'Combined_Data'!A:A, 0))</f>
        <v>82</v>
      </c>
      <c r="F424" s="12">
        <f>INDEX('Combined_Data'!M:M, MATCH(A424, 'Combined_Data'!A:A, 0))</f>
        <v>4</v>
      </c>
      <c r="G424" s="12">
        <f>INDEX('Combined_Data'!N:N, MATCH(A424, 'Combined_Data'!A:A, 0))</f>
        <v>78</v>
      </c>
      <c r="H424" s="12" t="str">
        <f t="shared" si="24"/>
        <v>Weekday</v>
      </c>
      <c r="I424" s="12" t="str">
        <f t="shared" si="25"/>
        <v>Working Day</v>
      </c>
      <c r="J424" s="12" t="str">
        <f t="shared" si="26"/>
        <v>Low</v>
      </c>
      <c r="K424" s="12" t="str">
        <f>INDEX('Combined_Data'!H:H, MATCH(A424, 'Combined_Data'!A:A, 0))</f>
        <v>Clear</v>
      </c>
      <c r="L424" s="13">
        <f t="shared" si="27"/>
        <v>1</v>
      </c>
    </row>
    <row r="425" spans="1:12" x14ac:dyDescent="0.35">
      <c r="A425" s="10">
        <v>424</v>
      </c>
      <c r="B425" s="11">
        <f>INDEX('Combined_Data'!B:B, MATCH(Derived_Data!A425, 'Combined_Data'!A:A, 0))</f>
        <v>40562</v>
      </c>
      <c r="C425" s="12" t="str">
        <f>INDEX('Combined_Data'!G:G, MATCH(A425, 'Combined_Data'!A:A, 0))</f>
        <v>Wednesday</v>
      </c>
      <c r="D425" s="12" t="b">
        <f>INDEX('Combined_Data'!F:F, MATCH(A425, 'Combined_Data'!A:A, 0))</f>
        <v>0</v>
      </c>
      <c r="E425" s="12">
        <f>INDEX('Combined_Data'!O:O, MATCH(A425, 'Combined_Data'!A:A, 0))</f>
        <v>104</v>
      </c>
      <c r="F425" s="12">
        <f>INDEX('Combined_Data'!M:M, MATCH(A425, 'Combined_Data'!A:A, 0))</f>
        <v>10</v>
      </c>
      <c r="G425" s="12">
        <f>INDEX('Combined_Data'!N:N, MATCH(A425, 'Combined_Data'!A:A, 0))</f>
        <v>94</v>
      </c>
      <c r="H425" s="12" t="str">
        <f t="shared" si="24"/>
        <v>Weekday</v>
      </c>
      <c r="I425" s="12" t="str">
        <f t="shared" si="25"/>
        <v>Working Day</v>
      </c>
      <c r="J425" s="12" t="str">
        <f t="shared" si="26"/>
        <v>Medium</v>
      </c>
      <c r="K425" s="12" t="str">
        <f>INDEX('Combined_Data'!H:H, MATCH(A425, 'Combined_Data'!A:A, 0))</f>
        <v>Clear</v>
      </c>
      <c r="L425" s="13">
        <f t="shared" si="27"/>
        <v>1</v>
      </c>
    </row>
    <row r="426" spans="1:12" x14ac:dyDescent="0.35">
      <c r="A426" s="10">
        <v>425</v>
      </c>
      <c r="B426" s="11">
        <f>INDEX('Combined_Data'!B:B, MATCH(Derived_Data!A426, 'Combined_Data'!A:A, 0))</f>
        <v>40562</v>
      </c>
      <c r="C426" s="12" t="str">
        <f>INDEX('Combined_Data'!G:G, MATCH(A426, 'Combined_Data'!A:A, 0))</f>
        <v>Wednesday</v>
      </c>
      <c r="D426" s="12" t="b">
        <f>INDEX('Combined_Data'!F:F, MATCH(A426, 'Combined_Data'!A:A, 0))</f>
        <v>0</v>
      </c>
      <c r="E426" s="12">
        <f>INDEX('Combined_Data'!O:O, MATCH(A426, 'Combined_Data'!A:A, 0))</f>
        <v>197</v>
      </c>
      <c r="F426" s="12">
        <f>INDEX('Combined_Data'!M:M, MATCH(A426, 'Combined_Data'!A:A, 0))</f>
        <v>7</v>
      </c>
      <c r="G426" s="12">
        <f>INDEX('Combined_Data'!N:N, MATCH(A426, 'Combined_Data'!A:A, 0))</f>
        <v>190</v>
      </c>
      <c r="H426" s="12" t="str">
        <f t="shared" si="24"/>
        <v>Weekday</v>
      </c>
      <c r="I426" s="12" t="str">
        <f t="shared" si="25"/>
        <v>Working Day</v>
      </c>
      <c r="J426" s="12" t="str">
        <f t="shared" si="26"/>
        <v>High</v>
      </c>
      <c r="K426" s="12" t="str">
        <f>INDEX('Combined_Data'!H:H, MATCH(A426, 'Combined_Data'!A:A, 0))</f>
        <v>Clear</v>
      </c>
      <c r="L426" s="13">
        <f t="shared" si="27"/>
        <v>1</v>
      </c>
    </row>
    <row r="427" spans="1:12" x14ac:dyDescent="0.35">
      <c r="A427" s="10">
        <v>426</v>
      </c>
      <c r="B427" s="11">
        <f>INDEX('Combined_Data'!B:B, MATCH(Derived_Data!A427, 'Combined_Data'!A:A, 0))</f>
        <v>40562</v>
      </c>
      <c r="C427" s="12" t="str">
        <f>INDEX('Combined_Data'!G:G, MATCH(A427, 'Combined_Data'!A:A, 0))</f>
        <v>Wednesday</v>
      </c>
      <c r="D427" s="12" t="b">
        <f>INDEX('Combined_Data'!F:F, MATCH(A427, 'Combined_Data'!A:A, 0))</f>
        <v>0</v>
      </c>
      <c r="E427" s="12">
        <f>INDEX('Combined_Data'!O:O, MATCH(A427, 'Combined_Data'!A:A, 0))</f>
        <v>161</v>
      </c>
      <c r="F427" s="12">
        <f>INDEX('Combined_Data'!M:M, MATCH(A427, 'Combined_Data'!A:A, 0))</f>
        <v>5</v>
      </c>
      <c r="G427" s="12">
        <f>INDEX('Combined_Data'!N:N, MATCH(A427, 'Combined_Data'!A:A, 0))</f>
        <v>156</v>
      </c>
      <c r="H427" s="12" t="str">
        <f t="shared" si="24"/>
        <v>Weekday</v>
      </c>
      <c r="I427" s="12" t="str">
        <f t="shared" si="25"/>
        <v>Working Day</v>
      </c>
      <c r="J427" s="12" t="str">
        <f t="shared" si="26"/>
        <v>High</v>
      </c>
      <c r="K427" s="12" t="str">
        <f>INDEX('Combined_Data'!H:H, MATCH(A427, 'Combined_Data'!A:A, 0))</f>
        <v>Clear</v>
      </c>
      <c r="L427" s="13">
        <f t="shared" si="27"/>
        <v>1</v>
      </c>
    </row>
    <row r="428" spans="1:12" x14ac:dyDescent="0.35">
      <c r="A428" s="10">
        <v>427</v>
      </c>
      <c r="B428" s="11">
        <f>INDEX('Combined_Data'!B:B, MATCH(Derived_Data!A428, 'Combined_Data'!A:A, 0))</f>
        <v>40562</v>
      </c>
      <c r="C428" s="12" t="str">
        <f>INDEX('Combined_Data'!G:G, MATCH(A428, 'Combined_Data'!A:A, 0))</f>
        <v>Wednesday</v>
      </c>
      <c r="D428" s="12" t="b">
        <f>INDEX('Combined_Data'!F:F, MATCH(A428, 'Combined_Data'!A:A, 0))</f>
        <v>0</v>
      </c>
      <c r="E428" s="12">
        <f>INDEX('Combined_Data'!O:O, MATCH(A428, 'Combined_Data'!A:A, 0))</f>
        <v>112</v>
      </c>
      <c r="F428" s="12">
        <f>INDEX('Combined_Data'!M:M, MATCH(A428, 'Combined_Data'!A:A, 0))</f>
        <v>4</v>
      </c>
      <c r="G428" s="12">
        <f>INDEX('Combined_Data'!N:N, MATCH(A428, 'Combined_Data'!A:A, 0))</f>
        <v>108</v>
      </c>
      <c r="H428" s="12" t="str">
        <f t="shared" si="24"/>
        <v>Weekday</v>
      </c>
      <c r="I428" s="12" t="str">
        <f t="shared" si="25"/>
        <v>Working Day</v>
      </c>
      <c r="J428" s="12" t="str">
        <f t="shared" si="26"/>
        <v>Medium</v>
      </c>
      <c r="K428" s="12" t="str">
        <f>INDEX('Combined_Data'!H:H, MATCH(A428, 'Combined_Data'!A:A, 0))</f>
        <v>Clear</v>
      </c>
      <c r="L428" s="13">
        <f t="shared" si="27"/>
        <v>1</v>
      </c>
    </row>
    <row r="429" spans="1:12" x14ac:dyDescent="0.35">
      <c r="A429" s="10">
        <v>428</v>
      </c>
      <c r="B429" s="11">
        <f>INDEX('Combined_Data'!B:B, MATCH(Derived_Data!A429, 'Combined_Data'!A:A, 0))</f>
        <v>40562</v>
      </c>
      <c r="C429" s="12" t="str">
        <f>INDEX('Combined_Data'!G:G, MATCH(A429, 'Combined_Data'!A:A, 0))</f>
        <v>Wednesday</v>
      </c>
      <c r="D429" s="12" t="b">
        <f>INDEX('Combined_Data'!F:F, MATCH(A429, 'Combined_Data'!A:A, 0))</f>
        <v>0</v>
      </c>
      <c r="E429" s="12">
        <f>INDEX('Combined_Data'!O:O, MATCH(A429, 'Combined_Data'!A:A, 0))</f>
        <v>76</v>
      </c>
      <c r="F429" s="12">
        <f>INDEX('Combined_Data'!M:M, MATCH(A429, 'Combined_Data'!A:A, 0))</f>
        <v>2</v>
      </c>
      <c r="G429" s="12">
        <f>INDEX('Combined_Data'!N:N, MATCH(A429, 'Combined_Data'!A:A, 0))</f>
        <v>74</v>
      </c>
      <c r="H429" s="12" t="str">
        <f t="shared" si="24"/>
        <v>Weekday</v>
      </c>
      <c r="I429" s="12" t="str">
        <f t="shared" si="25"/>
        <v>Working Day</v>
      </c>
      <c r="J429" s="12" t="str">
        <f t="shared" si="26"/>
        <v>Low</v>
      </c>
      <c r="K429" s="12" t="str">
        <f>INDEX('Combined_Data'!H:H, MATCH(A429, 'Combined_Data'!A:A, 0))</f>
        <v>Clear</v>
      </c>
      <c r="L429" s="13">
        <f t="shared" si="27"/>
        <v>1</v>
      </c>
    </row>
    <row r="430" spans="1:12" x14ac:dyDescent="0.35">
      <c r="A430" s="10">
        <v>429</v>
      </c>
      <c r="B430" s="11">
        <f>INDEX('Combined_Data'!B:B, MATCH(Derived_Data!A430, 'Combined_Data'!A:A, 0))</f>
        <v>40562</v>
      </c>
      <c r="C430" s="12" t="str">
        <f>INDEX('Combined_Data'!G:G, MATCH(A430, 'Combined_Data'!A:A, 0))</f>
        <v>Wednesday</v>
      </c>
      <c r="D430" s="12" t="b">
        <f>INDEX('Combined_Data'!F:F, MATCH(A430, 'Combined_Data'!A:A, 0))</f>
        <v>0</v>
      </c>
      <c r="E430" s="12">
        <f>INDEX('Combined_Data'!O:O, MATCH(A430, 'Combined_Data'!A:A, 0))</f>
        <v>59</v>
      </c>
      <c r="F430" s="12">
        <f>INDEX('Combined_Data'!M:M, MATCH(A430, 'Combined_Data'!A:A, 0))</f>
        <v>4</v>
      </c>
      <c r="G430" s="12">
        <f>INDEX('Combined_Data'!N:N, MATCH(A430, 'Combined_Data'!A:A, 0))</f>
        <v>55</v>
      </c>
      <c r="H430" s="12" t="str">
        <f t="shared" si="24"/>
        <v>Weekday</v>
      </c>
      <c r="I430" s="12" t="str">
        <f t="shared" si="25"/>
        <v>Working Day</v>
      </c>
      <c r="J430" s="12" t="str">
        <f t="shared" si="26"/>
        <v>Low</v>
      </c>
      <c r="K430" s="12" t="str">
        <f>INDEX('Combined_Data'!H:H, MATCH(A430, 'Combined_Data'!A:A, 0))</f>
        <v>Clear</v>
      </c>
      <c r="L430" s="13">
        <f t="shared" si="27"/>
        <v>1</v>
      </c>
    </row>
    <row r="431" spans="1:12" x14ac:dyDescent="0.35">
      <c r="A431" s="10">
        <v>430</v>
      </c>
      <c r="B431" s="11">
        <f>INDEX('Combined_Data'!B:B, MATCH(Derived_Data!A431, 'Combined_Data'!A:A, 0))</f>
        <v>40562</v>
      </c>
      <c r="C431" s="12" t="str">
        <f>INDEX('Combined_Data'!G:G, MATCH(A431, 'Combined_Data'!A:A, 0))</f>
        <v>Wednesday</v>
      </c>
      <c r="D431" s="12" t="b">
        <f>INDEX('Combined_Data'!F:F, MATCH(A431, 'Combined_Data'!A:A, 0))</f>
        <v>0</v>
      </c>
      <c r="E431" s="12">
        <f>INDEX('Combined_Data'!O:O, MATCH(A431, 'Combined_Data'!A:A, 0))</f>
        <v>59</v>
      </c>
      <c r="F431" s="12">
        <f>INDEX('Combined_Data'!M:M, MATCH(A431, 'Combined_Data'!A:A, 0))</f>
        <v>6</v>
      </c>
      <c r="G431" s="12">
        <f>INDEX('Combined_Data'!N:N, MATCH(A431, 'Combined_Data'!A:A, 0))</f>
        <v>53</v>
      </c>
      <c r="H431" s="12" t="str">
        <f t="shared" si="24"/>
        <v>Weekday</v>
      </c>
      <c r="I431" s="12" t="str">
        <f t="shared" si="25"/>
        <v>Working Day</v>
      </c>
      <c r="J431" s="12" t="str">
        <f t="shared" si="26"/>
        <v>Low</v>
      </c>
      <c r="K431" s="12" t="str">
        <f>INDEX('Combined_Data'!H:H, MATCH(A431, 'Combined_Data'!A:A, 0))</f>
        <v>Clear</v>
      </c>
      <c r="L431" s="13">
        <f t="shared" si="27"/>
        <v>1</v>
      </c>
    </row>
    <row r="432" spans="1:12" x14ac:dyDescent="0.35">
      <c r="A432" s="10">
        <v>431</v>
      </c>
      <c r="B432" s="11">
        <f>INDEX('Combined_Data'!B:B, MATCH(Derived_Data!A432, 'Combined_Data'!A:A, 0))</f>
        <v>40562</v>
      </c>
      <c r="C432" s="12" t="str">
        <f>INDEX('Combined_Data'!G:G, MATCH(A432, 'Combined_Data'!A:A, 0))</f>
        <v>Wednesday</v>
      </c>
      <c r="D432" s="12" t="b">
        <f>INDEX('Combined_Data'!F:F, MATCH(A432, 'Combined_Data'!A:A, 0))</f>
        <v>0</v>
      </c>
      <c r="E432" s="12">
        <f>INDEX('Combined_Data'!O:O, MATCH(A432, 'Combined_Data'!A:A, 0))</f>
        <v>28</v>
      </c>
      <c r="F432" s="12">
        <f>INDEX('Combined_Data'!M:M, MATCH(A432, 'Combined_Data'!A:A, 0))</f>
        <v>1</v>
      </c>
      <c r="G432" s="12">
        <f>INDEX('Combined_Data'!N:N, MATCH(A432, 'Combined_Data'!A:A, 0))</f>
        <v>27</v>
      </c>
      <c r="H432" s="12" t="str">
        <f t="shared" si="24"/>
        <v>Weekday</v>
      </c>
      <c r="I432" s="12" t="str">
        <f t="shared" si="25"/>
        <v>Working Day</v>
      </c>
      <c r="J432" s="12" t="str">
        <f t="shared" si="26"/>
        <v>Low</v>
      </c>
      <c r="K432" s="12" t="str">
        <f>INDEX('Combined_Data'!H:H, MATCH(A432, 'Combined_Data'!A:A, 0))</f>
        <v>Clear</v>
      </c>
      <c r="L432" s="13">
        <f t="shared" si="27"/>
        <v>1</v>
      </c>
    </row>
    <row r="433" spans="1:12" x14ac:dyDescent="0.35">
      <c r="A433" s="10">
        <v>432</v>
      </c>
      <c r="B433" s="11">
        <f>INDEX('Combined_Data'!B:B, MATCH(Derived_Data!A433, 'Combined_Data'!A:A, 0))</f>
        <v>40563</v>
      </c>
      <c r="C433" s="12" t="str">
        <f>INDEX('Combined_Data'!G:G, MATCH(A433, 'Combined_Data'!A:A, 0))</f>
        <v>Thursday</v>
      </c>
      <c r="D433" s="12" t="b">
        <f>INDEX('Combined_Data'!F:F, MATCH(A433, 'Combined_Data'!A:A, 0))</f>
        <v>0</v>
      </c>
      <c r="E433" s="12">
        <f>INDEX('Combined_Data'!O:O, MATCH(A433, 'Combined_Data'!A:A, 0))</f>
        <v>13</v>
      </c>
      <c r="F433" s="12">
        <f>INDEX('Combined_Data'!M:M, MATCH(A433, 'Combined_Data'!A:A, 0))</f>
        <v>5</v>
      </c>
      <c r="G433" s="12">
        <f>INDEX('Combined_Data'!N:N, MATCH(A433, 'Combined_Data'!A:A, 0))</f>
        <v>8</v>
      </c>
      <c r="H433" s="12" t="str">
        <f t="shared" si="24"/>
        <v>Weekday</v>
      </c>
      <c r="I433" s="12" t="str">
        <f t="shared" si="25"/>
        <v>Working Day</v>
      </c>
      <c r="J433" s="12" t="str">
        <f t="shared" si="26"/>
        <v>Low</v>
      </c>
      <c r="K433" s="12" t="str">
        <f>INDEX('Combined_Data'!H:H, MATCH(A433, 'Combined_Data'!A:A, 0))</f>
        <v>Clear</v>
      </c>
      <c r="L433" s="13">
        <f t="shared" si="27"/>
        <v>1</v>
      </c>
    </row>
    <row r="434" spans="1:12" x14ac:dyDescent="0.35">
      <c r="A434" s="10">
        <v>433</v>
      </c>
      <c r="B434" s="11">
        <f>INDEX('Combined_Data'!B:B, MATCH(Derived_Data!A434, 'Combined_Data'!A:A, 0))</f>
        <v>40563</v>
      </c>
      <c r="C434" s="12" t="str">
        <f>INDEX('Combined_Data'!G:G, MATCH(A434, 'Combined_Data'!A:A, 0))</f>
        <v>Thursday</v>
      </c>
      <c r="D434" s="12" t="b">
        <f>INDEX('Combined_Data'!F:F, MATCH(A434, 'Combined_Data'!A:A, 0))</f>
        <v>0</v>
      </c>
      <c r="E434" s="12">
        <f>INDEX('Combined_Data'!O:O, MATCH(A434, 'Combined_Data'!A:A, 0))</f>
        <v>5</v>
      </c>
      <c r="F434" s="12">
        <f>INDEX('Combined_Data'!M:M, MATCH(A434, 'Combined_Data'!A:A, 0))</f>
        <v>2</v>
      </c>
      <c r="G434" s="12">
        <f>INDEX('Combined_Data'!N:N, MATCH(A434, 'Combined_Data'!A:A, 0))</f>
        <v>3</v>
      </c>
      <c r="H434" s="12" t="str">
        <f t="shared" si="24"/>
        <v>Weekday</v>
      </c>
      <c r="I434" s="12" t="str">
        <f t="shared" si="25"/>
        <v>Working Day</v>
      </c>
      <c r="J434" s="12" t="str">
        <f t="shared" si="26"/>
        <v>Low</v>
      </c>
      <c r="K434" s="12" t="str">
        <f>INDEX('Combined_Data'!H:H, MATCH(A434, 'Combined_Data'!A:A, 0))</f>
        <v>Clear</v>
      </c>
      <c r="L434" s="13">
        <f t="shared" si="27"/>
        <v>1</v>
      </c>
    </row>
    <row r="435" spans="1:12" x14ac:dyDescent="0.35">
      <c r="A435" s="10">
        <v>434</v>
      </c>
      <c r="B435" s="11">
        <f>INDEX('Combined_Data'!B:B, MATCH(Derived_Data!A435, 'Combined_Data'!A:A, 0))</f>
        <v>40563</v>
      </c>
      <c r="C435" s="12" t="str">
        <f>INDEX('Combined_Data'!G:G, MATCH(A435, 'Combined_Data'!A:A, 0))</f>
        <v>Thursday</v>
      </c>
      <c r="D435" s="12" t="b">
        <f>INDEX('Combined_Data'!F:F, MATCH(A435, 'Combined_Data'!A:A, 0))</f>
        <v>0</v>
      </c>
      <c r="E435" s="12">
        <f>INDEX('Combined_Data'!O:O, MATCH(A435, 'Combined_Data'!A:A, 0))</f>
        <v>2</v>
      </c>
      <c r="F435" s="12">
        <f>INDEX('Combined_Data'!M:M, MATCH(A435, 'Combined_Data'!A:A, 0))</f>
        <v>0</v>
      </c>
      <c r="G435" s="12">
        <f>INDEX('Combined_Data'!N:N, MATCH(A435, 'Combined_Data'!A:A, 0))</f>
        <v>2</v>
      </c>
      <c r="H435" s="12" t="str">
        <f t="shared" si="24"/>
        <v>Weekday</v>
      </c>
      <c r="I435" s="12" t="str">
        <f t="shared" si="25"/>
        <v>Working Day</v>
      </c>
      <c r="J435" s="12" t="str">
        <f t="shared" si="26"/>
        <v>Low</v>
      </c>
      <c r="K435" s="12" t="str">
        <f>INDEX('Combined_Data'!H:H, MATCH(A435, 'Combined_Data'!A:A, 0))</f>
        <v>Clear</v>
      </c>
      <c r="L435" s="13">
        <f t="shared" si="27"/>
        <v>1</v>
      </c>
    </row>
    <row r="436" spans="1:12" x14ac:dyDescent="0.35">
      <c r="A436" s="10">
        <v>435</v>
      </c>
      <c r="B436" s="11">
        <f>INDEX('Combined_Data'!B:B, MATCH(Derived_Data!A436, 'Combined_Data'!A:A, 0))</f>
        <v>40563</v>
      </c>
      <c r="C436" s="12" t="str">
        <f>INDEX('Combined_Data'!G:G, MATCH(A436, 'Combined_Data'!A:A, 0))</f>
        <v>Thursday</v>
      </c>
      <c r="D436" s="12" t="b">
        <f>INDEX('Combined_Data'!F:F, MATCH(A436, 'Combined_Data'!A:A, 0))</f>
        <v>0</v>
      </c>
      <c r="E436" s="12">
        <f>INDEX('Combined_Data'!O:O, MATCH(A436, 'Combined_Data'!A:A, 0))</f>
        <v>1</v>
      </c>
      <c r="F436" s="12">
        <f>INDEX('Combined_Data'!M:M, MATCH(A436, 'Combined_Data'!A:A, 0))</f>
        <v>0</v>
      </c>
      <c r="G436" s="12">
        <f>INDEX('Combined_Data'!N:N, MATCH(A436, 'Combined_Data'!A:A, 0))</f>
        <v>1</v>
      </c>
      <c r="H436" s="12" t="str">
        <f t="shared" si="24"/>
        <v>Weekday</v>
      </c>
      <c r="I436" s="12" t="str">
        <f t="shared" si="25"/>
        <v>Working Day</v>
      </c>
      <c r="J436" s="12" t="str">
        <f t="shared" si="26"/>
        <v>Low</v>
      </c>
      <c r="K436" s="12" t="str">
        <f>INDEX('Combined_Data'!H:H, MATCH(A436, 'Combined_Data'!A:A, 0))</f>
        <v>Clear</v>
      </c>
      <c r="L436" s="13">
        <f t="shared" si="27"/>
        <v>1</v>
      </c>
    </row>
    <row r="437" spans="1:12" x14ac:dyDescent="0.35">
      <c r="A437" s="10">
        <v>436</v>
      </c>
      <c r="B437" s="11">
        <f>INDEX('Combined_Data'!B:B, MATCH(Derived_Data!A437, 'Combined_Data'!A:A, 0))</f>
        <v>40563</v>
      </c>
      <c r="C437" s="12" t="str">
        <f>INDEX('Combined_Data'!G:G, MATCH(A437, 'Combined_Data'!A:A, 0))</f>
        <v>Thursday</v>
      </c>
      <c r="D437" s="12" t="b">
        <f>INDEX('Combined_Data'!F:F, MATCH(A437, 'Combined_Data'!A:A, 0))</f>
        <v>0</v>
      </c>
      <c r="E437" s="12">
        <f>INDEX('Combined_Data'!O:O, MATCH(A437, 'Combined_Data'!A:A, 0))</f>
        <v>1</v>
      </c>
      <c r="F437" s="12">
        <f>INDEX('Combined_Data'!M:M, MATCH(A437, 'Combined_Data'!A:A, 0))</f>
        <v>0</v>
      </c>
      <c r="G437" s="12">
        <f>INDEX('Combined_Data'!N:N, MATCH(A437, 'Combined_Data'!A:A, 0))</f>
        <v>1</v>
      </c>
      <c r="H437" s="12" t="str">
        <f t="shared" si="24"/>
        <v>Weekday</v>
      </c>
      <c r="I437" s="12" t="str">
        <f t="shared" si="25"/>
        <v>Working Day</v>
      </c>
      <c r="J437" s="12" t="str">
        <f t="shared" si="26"/>
        <v>Low</v>
      </c>
      <c r="K437" s="12" t="str">
        <f>INDEX('Combined_Data'!H:H, MATCH(A437, 'Combined_Data'!A:A, 0))</f>
        <v>Clear</v>
      </c>
      <c r="L437" s="13">
        <f t="shared" si="27"/>
        <v>1</v>
      </c>
    </row>
    <row r="438" spans="1:12" x14ac:dyDescent="0.35">
      <c r="A438" s="10">
        <v>437</v>
      </c>
      <c r="B438" s="11">
        <f>INDEX('Combined_Data'!B:B, MATCH(Derived_Data!A438, 'Combined_Data'!A:A, 0))</f>
        <v>40563</v>
      </c>
      <c r="C438" s="12" t="str">
        <f>INDEX('Combined_Data'!G:G, MATCH(A438, 'Combined_Data'!A:A, 0))</f>
        <v>Thursday</v>
      </c>
      <c r="D438" s="12" t="b">
        <f>INDEX('Combined_Data'!F:F, MATCH(A438, 'Combined_Data'!A:A, 0))</f>
        <v>0</v>
      </c>
      <c r="E438" s="12">
        <f>INDEX('Combined_Data'!O:O, MATCH(A438, 'Combined_Data'!A:A, 0))</f>
        <v>6</v>
      </c>
      <c r="F438" s="12">
        <f>INDEX('Combined_Data'!M:M, MATCH(A438, 'Combined_Data'!A:A, 0))</f>
        <v>0</v>
      </c>
      <c r="G438" s="12">
        <f>INDEX('Combined_Data'!N:N, MATCH(A438, 'Combined_Data'!A:A, 0))</f>
        <v>6</v>
      </c>
      <c r="H438" s="12" t="str">
        <f t="shared" si="24"/>
        <v>Weekday</v>
      </c>
      <c r="I438" s="12" t="str">
        <f t="shared" si="25"/>
        <v>Working Day</v>
      </c>
      <c r="J438" s="12" t="str">
        <f t="shared" si="26"/>
        <v>Low</v>
      </c>
      <c r="K438" s="12" t="str">
        <f>INDEX('Combined_Data'!H:H, MATCH(A438, 'Combined_Data'!A:A, 0))</f>
        <v>Clear</v>
      </c>
      <c r="L438" s="13">
        <f t="shared" si="27"/>
        <v>1</v>
      </c>
    </row>
    <row r="439" spans="1:12" x14ac:dyDescent="0.35">
      <c r="A439" s="10">
        <v>438</v>
      </c>
      <c r="B439" s="11">
        <f>INDEX('Combined_Data'!B:B, MATCH(Derived_Data!A439, 'Combined_Data'!A:A, 0))</f>
        <v>40563</v>
      </c>
      <c r="C439" s="12" t="str">
        <f>INDEX('Combined_Data'!G:G, MATCH(A439, 'Combined_Data'!A:A, 0))</f>
        <v>Thursday</v>
      </c>
      <c r="D439" s="12" t="b">
        <f>INDEX('Combined_Data'!F:F, MATCH(A439, 'Combined_Data'!A:A, 0))</f>
        <v>0</v>
      </c>
      <c r="E439" s="12">
        <f>INDEX('Combined_Data'!O:O, MATCH(A439, 'Combined_Data'!A:A, 0))</f>
        <v>35</v>
      </c>
      <c r="F439" s="12">
        <f>INDEX('Combined_Data'!M:M, MATCH(A439, 'Combined_Data'!A:A, 0))</f>
        <v>0</v>
      </c>
      <c r="G439" s="12">
        <f>INDEX('Combined_Data'!N:N, MATCH(A439, 'Combined_Data'!A:A, 0))</f>
        <v>35</v>
      </c>
      <c r="H439" s="12" t="str">
        <f t="shared" si="24"/>
        <v>Weekday</v>
      </c>
      <c r="I439" s="12" t="str">
        <f t="shared" si="25"/>
        <v>Working Day</v>
      </c>
      <c r="J439" s="12" t="str">
        <f t="shared" si="26"/>
        <v>Low</v>
      </c>
      <c r="K439" s="12" t="str">
        <f>INDEX('Combined_Data'!H:H, MATCH(A439, 'Combined_Data'!A:A, 0))</f>
        <v>Clear</v>
      </c>
      <c r="L439" s="13">
        <f t="shared" si="27"/>
        <v>1</v>
      </c>
    </row>
    <row r="440" spans="1:12" x14ac:dyDescent="0.35">
      <c r="A440" s="10">
        <v>439</v>
      </c>
      <c r="B440" s="11">
        <f>INDEX('Combined_Data'!B:B, MATCH(Derived_Data!A440, 'Combined_Data'!A:A, 0))</f>
        <v>40563</v>
      </c>
      <c r="C440" s="12" t="str">
        <f>INDEX('Combined_Data'!G:G, MATCH(A440, 'Combined_Data'!A:A, 0))</f>
        <v>Thursday</v>
      </c>
      <c r="D440" s="12" t="b">
        <f>INDEX('Combined_Data'!F:F, MATCH(A440, 'Combined_Data'!A:A, 0))</f>
        <v>0</v>
      </c>
      <c r="E440" s="12">
        <f>INDEX('Combined_Data'!O:O, MATCH(A440, 'Combined_Data'!A:A, 0))</f>
        <v>101</v>
      </c>
      <c r="F440" s="12">
        <f>INDEX('Combined_Data'!M:M, MATCH(A440, 'Combined_Data'!A:A, 0))</f>
        <v>1</v>
      </c>
      <c r="G440" s="12">
        <f>INDEX('Combined_Data'!N:N, MATCH(A440, 'Combined_Data'!A:A, 0))</f>
        <v>100</v>
      </c>
      <c r="H440" s="12" t="str">
        <f t="shared" si="24"/>
        <v>Weekday</v>
      </c>
      <c r="I440" s="12" t="str">
        <f t="shared" si="25"/>
        <v>Working Day</v>
      </c>
      <c r="J440" s="12" t="str">
        <f t="shared" si="26"/>
        <v>Medium</v>
      </c>
      <c r="K440" s="12" t="str">
        <f>INDEX('Combined_Data'!H:H, MATCH(A440, 'Combined_Data'!A:A, 0))</f>
        <v>Clear</v>
      </c>
      <c r="L440" s="13">
        <f t="shared" si="27"/>
        <v>1</v>
      </c>
    </row>
    <row r="441" spans="1:12" x14ac:dyDescent="0.35">
      <c r="A441" s="10">
        <v>440</v>
      </c>
      <c r="B441" s="11">
        <f>INDEX('Combined_Data'!B:B, MATCH(Derived_Data!A441, 'Combined_Data'!A:A, 0))</f>
        <v>40563</v>
      </c>
      <c r="C441" s="12" t="str">
        <f>INDEX('Combined_Data'!G:G, MATCH(A441, 'Combined_Data'!A:A, 0))</f>
        <v>Thursday</v>
      </c>
      <c r="D441" s="12" t="b">
        <f>INDEX('Combined_Data'!F:F, MATCH(A441, 'Combined_Data'!A:A, 0))</f>
        <v>0</v>
      </c>
      <c r="E441" s="12">
        <f>INDEX('Combined_Data'!O:O, MATCH(A441, 'Combined_Data'!A:A, 0))</f>
        <v>249</v>
      </c>
      <c r="F441" s="12">
        <f>INDEX('Combined_Data'!M:M, MATCH(A441, 'Combined_Data'!A:A, 0))</f>
        <v>2</v>
      </c>
      <c r="G441" s="12">
        <f>INDEX('Combined_Data'!N:N, MATCH(A441, 'Combined_Data'!A:A, 0))</f>
        <v>247</v>
      </c>
      <c r="H441" s="12" t="str">
        <f t="shared" si="24"/>
        <v>Weekday</v>
      </c>
      <c r="I441" s="12" t="str">
        <f t="shared" si="25"/>
        <v>Working Day</v>
      </c>
      <c r="J441" s="12" t="str">
        <f t="shared" si="26"/>
        <v>High</v>
      </c>
      <c r="K441" s="12" t="str">
        <f>INDEX('Combined_Data'!H:H, MATCH(A441, 'Combined_Data'!A:A, 0))</f>
        <v>Clear</v>
      </c>
      <c r="L441" s="13">
        <f t="shared" si="27"/>
        <v>1</v>
      </c>
    </row>
    <row r="442" spans="1:12" x14ac:dyDescent="0.35">
      <c r="A442" s="10">
        <v>441</v>
      </c>
      <c r="B442" s="11">
        <f>INDEX('Combined_Data'!B:B, MATCH(Derived_Data!A442, 'Combined_Data'!A:A, 0))</f>
        <v>40563</v>
      </c>
      <c r="C442" s="12" t="str">
        <f>INDEX('Combined_Data'!G:G, MATCH(A442, 'Combined_Data'!A:A, 0))</f>
        <v>Thursday</v>
      </c>
      <c r="D442" s="12" t="b">
        <f>INDEX('Combined_Data'!F:F, MATCH(A442, 'Combined_Data'!A:A, 0))</f>
        <v>0</v>
      </c>
      <c r="E442" s="12">
        <f>INDEX('Combined_Data'!O:O, MATCH(A442, 'Combined_Data'!A:A, 0))</f>
        <v>143</v>
      </c>
      <c r="F442" s="12">
        <f>INDEX('Combined_Data'!M:M, MATCH(A442, 'Combined_Data'!A:A, 0))</f>
        <v>3</v>
      </c>
      <c r="G442" s="12">
        <f>INDEX('Combined_Data'!N:N, MATCH(A442, 'Combined_Data'!A:A, 0))</f>
        <v>140</v>
      </c>
      <c r="H442" s="12" t="str">
        <f t="shared" si="24"/>
        <v>Weekday</v>
      </c>
      <c r="I442" s="12" t="str">
        <f t="shared" si="25"/>
        <v>Working Day</v>
      </c>
      <c r="J442" s="12" t="str">
        <f t="shared" si="26"/>
        <v>Medium</v>
      </c>
      <c r="K442" s="12" t="str">
        <f>INDEX('Combined_Data'!H:H, MATCH(A442, 'Combined_Data'!A:A, 0))</f>
        <v>Mist</v>
      </c>
      <c r="L442" s="13">
        <f t="shared" si="27"/>
        <v>2</v>
      </c>
    </row>
    <row r="443" spans="1:12" x14ac:dyDescent="0.35">
      <c r="A443" s="10">
        <v>442</v>
      </c>
      <c r="B443" s="11">
        <f>INDEX('Combined_Data'!B:B, MATCH(Derived_Data!A443, 'Combined_Data'!A:A, 0))</f>
        <v>40563</v>
      </c>
      <c r="C443" s="12" t="str">
        <f>INDEX('Combined_Data'!G:G, MATCH(A443, 'Combined_Data'!A:A, 0))</f>
        <v>Thursday</v>
      </c>
      <c r="D443" s="12" t="b">
        <f>INDEX('Combined_Data'!F:F, MATCH(A443, 'Combined_Data'!A:A, 0))</f>
        <v>0</v>
      </c>
      <c r="E443" s="12">
        <f>INDEX('Combined_Data'!O:O, MATCH(A443, 'Combined_Data'!A:A, 0))</f>
        <v>57</v>
      </c>
      <c r="F443" s="12">
        <f>INDEX('Combined_Data'!M:M, MATCH(A443, 'Combined_Data'!A:A, 0))</f>
        <v>1</v>
      </c>
      <c r="G443" s="12">
        <f>INDEX('Combined_Data'!N:N, MATCH(A443, 'Combined_Data'!A:A, 0))</f>
        <v>56</v>
      </c>
      <c r="H443" s="12" t="str">
        <f t="shared" si="24"/>
        <v>Weekday</v>
      </c>
      <c r="I443" s="12" t="str">
        <f t="shared" si="25"/>
        <v>Working Day</v>
      </c>
      <c r="J443" s="12" t="str">
        <f t="shared" si="26"/>
        <v>Low</v>
      </c>
      <c r="K443" s="12" t="str">
        <f>INDEX('Combined_Data'!H:H, MATCH(A443, 'Combined_Data'!A:A, 0))</f>
        <v>Clear</v>
      </c>
      <c r="L443" s="13">
        <f t="shared" si="27"/>
        <v>1</v>
      </c>
    </row>
    <row r="444" spans="1:12" x14ac:dyDescent="0.35">
      <c r="A444" s="10">
        <v>443</v>
      </c>
      <c r="B444" s="11">
        <f>INDEX('Combined_Data'!B:B, MATCH(Derived_Data!A444, 'Combined_Data'!A:A, 0))</f>
        <v>40563</v>
      </c>
      <c r="C444" s="12" t="str">
        <f>INDEX('Combined_Data'!G:G, MATCH(A444, 'Combined_Data'!A:A, 0))</f>
        <v>Thursday</v>
      </c>
      <c r="D444" s="12" t="b">
        <f>INDEX('Combined_Data'!F:F, MATCH(A444, 'Combined_Data'!A:A, 0))</f>
        <v>0</v>
      </c>
      <c r="E444" s="12">
        <f>INDEX('Combined_Data'!O:O, MATCH(A444, 'Combined_Data'!A:A, 0))</f>
        <v>68</v>
      </c>
      <c r="F444" s="12">
        <f>INDEX('Combined_Data'!M:M, MATCH(A444, 'Combined_Data'!A:A, 0))</f>
        <v>5</v>
      </c>
      <c r="G444" s="12">
        <f>INDEX('Combined_Data'!N:N, MATCH(A444, 'Combined_Data'!A:A, 0))</f>
        <v>63</v>
      </c>
      <c r="H444" s="12" t="str">
        <f t="shared" si="24"/>
        <v>Weekday</v>
      </c>
      <c r="I444" s="12" t="str">
        <f t="shared" si="25"/>
        <v>Working Day</v>
      </c>
      <c r="J444" s="12" t="str">
        <f t="shared" si="26"/>
        <v>Low</v>
      </c>
      <c r="K444" s="12" t="str">
        <f>INDEX('Combined_Data'!H:H, MATCH(A444, 'Combined_Data'!A:A, 0))</f>
        <v>Mist</v>
      </c>
      <c r="L444" s="13">
        <f t="shared" si="27"/>
        <v>2</v>
      </c>
    </row>
    <row r="445" spans="1:12" x14ac:dyDescent="0.35">
      <c r="A445" s="10">
        <v>444</v>
      </c>
      <c r="B445" s="11">
        <f>INDEX('Combined_Data'!B:B, MATCH(Derived_Data!A445, 'Combined_Data'!A:A, 0))</f>
        <v>40563</v>
      </c>
      <c r="C445" s="12" t="str">
        <f>INDEX('Combined_Data'!G:G, MATCH(A445, 'Combined_Data'!A:A, 0))</f>
        <v>Thursday</v>
      </c>
      <c r="D445" s="12" t="b">
        <f>INDEX('Combined_Data'!F:F, MATCH(A445, 'Combined_Data'!A:A, 0))</f>
        <v>0</v>
      </c>
      <c r="E445" s="12">
        <f>INDEX('Combined_Data'!O:O, MATCH(A445, 'Combined_Data'!A:A, 0))</f>
        <v>84</v>
      </c>
      <c r="F445" s="12">
        <f>INDEX('Combined_Data'!M:M, MATCH(A445, 'Combined_Data'!A:A, 0))</f>
        <v>7</v>
      </c>
      <c r="G445" s="12">
        <f>INDEX('Combined_Data'!N:N, MATCH(A445, 'Combined_Data'!A:A, 0))</f>
        <v>77</v>
      </c>
      <c r="H445" s="12" t="str">
        <f t="shared" si="24"/>
        <v>Weekday</v>
      </c>
      <c r="I445" s="12" t="str">
        <f t="shared" si="25"/>
        <v>Working Day</v>
      </c>
      <c r="J445" s="12" t="str">
        <f t="shared" si="26"/>
        <v>Low</v>
      </c>
      <c r="K445" s="12" t="str">
        <f>INDEX('Combined_Data'!H:H, MATCH(A445, 'Combined_Data'!A:A, 0))</f>
        <v>Mist</v>
      </c>
      <c r="L445" s="13">
        <f t="shared" si="27"/>
        <v>2</v>
      </c>
    </row>
    <row r="446" spans="1:12" x14ac:dyDescent="0.35">
      <c r="A446" s="10">
        <v>445</v>
      </c>
      <c r="B446" s="11">
        <f>INDEX('Combined_Data'!B:B, MATCH(Derived_Data!A446, 'Combined_Data'!A:A, 0))</f>
        <v>40563</v>
      </c>
      <c r="C446" s="12" t="str">
        <f>INDEX('Combined_Data'!G:G, MATCH(A446, 'Combined_Data'!A:A, 0))</f>
        <v>Thursday</v>
      </c>
      <c r="D446" s="12" t="b">
        <f>INDEX('Combined_Data'!F:F, MATCH(A446, 'Combined_Data'!A:A, 0))</f>
        <v>0</v>
      </c>
      <c r="E446" s="12">
        <f>INDEX('Combined_Data'!O:O, MATCH(A446, 'Combined_Data'!A:A, 0))</f>
        <v>98</v>
      </c>
      <c r="F446" s="12">
        <f>INDEX('Combined_Data'!M:M, MATCH(A446, 'Combined_Data'!A:A, 0))</f>
        <v>12</v>
      </c>
      <c r="G446" s="12">
        <f>INDEX('Combined_Data'!N:N, MATCH(A446, 'Combined_Data'!A:A, 0))</f>
        <v>86</v>
      </c>
      <c r="H446" s="12" t="str">
        <f t="shared" si="24"/>
        <v>Weekday</v>
      </c>
      <c r="I446" s="12" t="str">
        <f t="shared" si="25"/>
        <v>Working Day</v>
      </c>
      <c r="J446" s="12" t="str">
        <f t="shared" si="26"/>
        <v>Low</v>
      </c>
      <c r="K446" s="12" t="str">
        <f>INDEX('Combined_Data'!H:H, MATCH(A446, 'Combined_Data'!A:A, 0))</f>
        <v>Mist</v>
      </c>
      <c r="L446" s="13">
        <f t="shared" si="27"/>
        <v>2</v>
      </c>
    </row>
    <row r="447" spans="1:12" x14ac:dyDescent="0.35">
      <c r="A447" s="10">
        <v>446</v>
      </c>
      <c r="B447" s="11">
        <f>INDEX('Combined_Data'!B:B, MATCH(Derived_Data!A447, 'Combined_Data'!A:A, 0))</f>
        <v>40563</v>
      </c>
      <c r="C447" s="12" t="str">
        <f>INDEX('Combined_Data'!G:G, MATCH(A447, 'Combined_Data'!A:A, 0))</f>
        <v>Thursday</v>
      </c>
      <c r="D447" s="12" t="b">
        <f>INDEX('Combined_Data'!F:F, MATCH(A447, 'Combined_Data'!A:A, 0))</f>
        <v>0</v>
      </c>
      <c r="E447" s="12">
        <f>INDEX('Combined_Data'!O:O, MATCH(A447, 'Combined_Data'!A:A, 0))</f>
        <v>81</v>
      </c>
      <c r="F447" s="12">
        <f>INDEX('Combined_Data'!M:M, MATCH(A447, 'Combined_Data'!A:A, 0))</f>
        <v>6</v>
      </c>
      <c r="G447" s="12">
        <f>INDEX('Combined_Data'!N:N, MATCH(A447, 'Combined_Data'!A:A, 0))</f>
        <v>75</v>
      </c>
      <c r="H447" s="12" t="str">
        <f t="shared" si="24"/>
        <v>Weekday</v>
      </c>
      <c r="I447" s="12" t="str">
        <f t="shared" si="25"/>
        <v>Working Day</v>
      </c>
      <c r="J447" s="12" t="str">
        <f t="shared" si="26"/>
        <v>Low</v>
      </c>
      <c r="K447" s="12" t="str">
        <f>INDEX('Combined_Data'!H:H, MATCH(A447, 'Combined_Data'!A:A, 0))</f>
        <v>Mist</v>
      </c>
      <c r="L447" s="13">
        <f t="shared" si="27"/>
        <v>2</v>
      </c>
    </row>
    <row r="448" spans="1:12" x14ac:dyDescent="0.35">
      <c r="A448" s="10">
        <v>447</v>
      </c>
      <c r="B448" s="11">
        <f>INDEX('Combined_Data'!B:B, MATCH(Derived_Data!A448, 'Combined_Data'!A:A, 0))</f>
        <v>40563</v>
      </c>
      <c r="C448" s="12" t="str">
        <f>INDEX('Combined_Data'!G:G, MATCH(A448, 'Combined_Data'!A:A, 0))</f>
        <v>Thursday</v>
      </c>
      <c r="D448" s="12" t="b">
        <f>INDEX('Combined_Data'!F:F, MATCH(A448, 'Combined_Data'!A:A, 0))</f>
        <v>0</v>
      </c>
      <c r="E448" s="12">
        <f>INDEX('Combined_Data'!O:O, MATCH(A448, 'Combined_Data'!A:A, 0))</f>
        <v>70</v>
      </c>
      <c r="F448" s="12">
        <f>INDEX('Combined_Data'!M:M, MATCH(A448, 'Combined_Data'!A:A, 0))</f>
        <v>8</v>
      </c>
      <c r="G448" s="12">
        <f>INDEX('Combined_Data'!N:N, MATCH(A448, 'Combined_Data'!A:A, 0))</f>
        <v>62</v>
      </c>
      <c r="H448" s="12" t="str">
        <f t="shared" si="24"/>
        <v>Weekday</v>
      </c>
      <c r="I448" s="12" t="str">
        <f t="shared" si="25"/>
        <v>Working Day</v>
      </c>
      <c r="J448" s="12" t="str">
        <f t="shared" si="26"/>
        <v>Low</v>
      </c>
      <c r="K448" s="12" t="str">
        <f>INDEX('Combined_Data'!H:H, MATCH(A448, 'Combined_Data'!A:A, 0))</f>
        <v>Mist</v>
      </c>
      <c r="L448" s="13">
        <f t="shared" si="27"/>
        <v>2</v>
      </c>
    </row>
    <row r="449" spans="1:12" x14ac:dyDescent="0.35">
      <c r="A449" s="10">
        <v>448</v>
      </c>
      <c r="B449" s="11">
        <f>INDEX('Combined_Data'!B:B, MATCH(Derived_Data!A449, 'Combined_Data'!A:A, 0))</f>
        <v>40563</v>
      </c>
      <c r="C449" s="12" t="str">
        <f>INDEX('Combined_Data'!G:G, MATCH(A449, 'Combined_Data'!A:A, 0))</f>
        <v>Thursday</v>
      </c>
      <c r="D449" s="12" t="b">
        <f>INDEX('Combined_Data'!F:F, MATCH(A449, 'Combined_Data'!A:A, 0))</f>
        <v>0</v>
      </c>
      <c r="E449" s="12">
        <f>INDEX('Combined_Data'!O:O, MATCH(A449, 'Combined_Data'!A:A, 0))</f>
        <v>91</v>
      </c>
      <c r="F449" s="12">
        <f>INDEX('Combined_Data'!M:M, MATCH(A449, 'Combined_Data'!A:A, 0))</f>
        <v>8</v>
      </c>
      <c r="G449" s="12">
        <f>INDEX('Combined_Data'!N:N, MATCH(A449, 'Combined_Data'!A:A, 0))</f>
        <v>83</v>
      </c>
      <c r="H449" s="12" t="str">
        <f t="shared" si="24"/>
        <v>Weekday</v>
      </c>
      <c r="I449" s="12" t="str">
        <f t="shared" si="25"/>
        <v>Working Day</v>
      </c>
      <c r="J449" s="12" t="str">
        <f t="shared" si="26"/>
        <v>Low</v>
      </c>
      <c r="K449" s="12" t="str">
        <f>INDEX('Combined_Data'!H:H, MATCH(A449, 'Combined_Data'!A:A, 0))</f>
        <v>Mist</v>
      </c>
      <c r="L449" s="13">
        <f t="shared" si="27"/>
        <v>2</v>
      </c>
    </row>
    <row r="450" spans="1:12" x14ac:dyDescent="0.35">
      <c r="A450" s="10">
        <v>449</v>
      </c>
      <c r="B450" s="11">
        <f>INDEX('Combined_Data'!B:B, MATCH(Derived_Data!A450, 'Combined_Data'!A:A, 0))</f>
        <v>40563</v>
      </c>
      <c r="C450" s="12" t="str">
        <f>INDEX('Combined_Data'!G:G, MATCH(A450, 'Combined_Data'!A:A, 0))</f>
        <v>Thursday</v>
      </c>
      <c r="D450" s="12" t="b">
        <f>INDEX('Combined_Data'!F:F, MATCH(A450, 'Combined_Data'!A:A, 0))</f>
        <v>0</v>
      </c>
      <c r="E450" s="12">
        <f>INDEX('Combined_Data'!O:O, MATCH(A450, 'Combined_Data'!A:A, 0))</f>
        <v>215</v>
      </c>
      <c r="F450" s="12">
        <f>INDEX('Combined_Data'!M:M, MATCH(A450, 'Combined_Data'!A:A, 0))</f>
        <v>8</v>
      </c>
      <c r="G450" s="12">
        <f>INDEX('Combined_Data'!N:N, MATCH(A450, 'Combined_Data'!A:A, 0))</f>
        <v>207</v>
      </c>
      <c r="H450" s="12" t="str">
        <f t="shared" si="24"/>
        <v>Weekday</v>
      </c>
      <c r="I450" s="12" t="str">
        <f t="shared" si="25"/>
        <v>Working Day</v>
      </c>
      <c r="J450" s="12" t="str">
        <f t="shared" si="26"/>
        <v>High</v>
      </c>
      <c r="K450" s="12" t="str">
        <f>INDEX('Combined_Data'!H:H, MATCH(A450, 'Combined_Data'!A:A, 0))</f>
        <v>Mist</v>
      </c>
      <c r="L450" s="13">
        <f t="shared" si="27"/>
        <v>2</v>
      </c>
    </row>
    <row r="451" spans="1:12" x14ac:dyDescent="0.35">
      <c r="A451" s="10">
        <v>450</v>
      </c>
      <c r="B451" s="11">
        <f>INDEX('Combined_Data'!B:B, MATCH(Derived_Data!A451, 'Combined_Data'!A:A, 0))</f>
        <v>40563</v>
      </c>
      <c r="C451" s="12" t="str">
        <f>INDEX('Combined_Data'!G:G, MATCH(A451, 'Combined_Data'!A:A, 0))</f>
        <v>Thursday</v>
      </c>
      <c r="D451" s="12" t="b">
        <f>INDEX('Combined_Data'!F:F, MATCH(A451, 'Combined_Data'!A:A, 0))</f>
        <v>0</v>
      </c>
      <c r="E451" s="12">
        <f>INDEX('Combined_Data'!O:O, MATCH(A451, 'Combined_Data'!A:A, 0))</f>
        <v>185</v>
      </c>
      <c r="F451" s="12">
        <f>INDEX('Combined_Data'!M:M, MATCH(A451, 'Combined_Data'!A:A, 0))</f>
        <v>1</v>
      </c>
      <c r="G451" s="12">
        <f>INDEX('Combined_Data'!N:N, MATCH(A451, 'Combined_Data'!A:A, 0))</f>
        <v>184</v>
      </c>
      <c r="H451" s="12" t="str">
        <f t="shared" ref="H451:H514" si="28">IF(OR(TRIM(C451)="Saturday",TRIM(C451)="Sunday"),"Weekend","Weekday")</f>
        <v>Weekday</v>
      </c>
      <c r="I451" s="12" t="str">
        <f t="shared" ref="I451:I514" si="29">IF(D451=TRUE,"Holiday","Working Day")</f>
        <v>Working Day</v>
      </c>
      <c r="J451" s="12" t="str">
        <f t="shared" ref="J451:J514" si="30">IF(E451&lt;100,"Low",IF(E451&lt;=150,"Medium","High"))</f>
        <v>High</v>
      </c>
      <c r="K451" s="12" t="str">
        <f>INDEX('Combined_Data'!H:H, MATCH(A451, 'Combined_Data'!A:A, 0))</f>
        <v>Mist</v>
      </c>
      <c r="L451" s="13">
        <f t="shared" ref="L451:L514" si="31">VLOOKUP(TRIM(K451), $T$2:$U$5, 2, FALSE)</f>
        <v>2</v>
      </c>
    </row>
    <row r="452" spans="1:12" x14ac:dyDescent="0.35">
      <c r="A452" s="10">
        <v>451</v>
      </c>
      <c r="B452" s="11">
        <f>INDEX('Combined_Data'!B:B, MATCH(Derived_Data!A452, 'Combined_Data'!A:A, 0))</f>
        <v>40563</v>
      </c>
      <c r="C452" s="12" t="str">
        <f>INDEX('Combined_Data'!G:G, MATCH(A452, 'Combined_Data'!A:A, 0))</f>
        <v>Thursday</v>
      </c>
      <c r="D452" s="12" t="b">
        <f>INDEX('Combined_Data'!F:F, MATCH(A452, 'Combined_Data'!A:A, 0))</f>
        <v>0</v>
      </c>
      <c r="E452" s="12">
        <f>INDEX('Combined_Data'!O:O, MATCH(A452, 'Combined_Data'!A:A, 0))</f>
        <v>152</v>
      </c>
      <c r="F452" s="12">
        <f>INDEX('Combined_Data'!M:M, MATCH(A452, 'Combined_Data'!A:A, 0))</f>
        <v>6</v>
      </c>
      <c r="G452" s="12">
        <f>INDEX('Combined_Data'!N:N, MATCH(A452, 'Combined_Data'!A:A, 0))</f>
        <v>146</v>
      </c>
      <c r="H452" s="12" t="str">
        <f t="shared" si="28"/>
        <v>Weekday</v>
      </c>
      <c r="I452" s="12" t="str">
        <f t="shared" si="29"/>
        <v>Working Day</v>
      </c>
      <c r="J452" s="12" t="str">
        <f t="shared" si="30"/>
        <v>High</v>
      </c>
      <c r="K452" s="12" t="str">
        <f>INDEX('Combined_Data'!H:H, MATCH(A452, 'Combined_Data'!A:A, 0))</f>
        <v>Clear</v>
      </c>
      <c r="L452" s="13">
        <f t="shared" si="31"/>
        <v>1</v>
      </c>
    </row>
    <row r="453" spans="1:12" x14ac:dyDescent="0.35">
      <c r="A453" s="10">
        <v>452</v>
      </c>
      <c r="B453" s="11">
        <f>INDEX('Combined_Data'!B:B, MATCH(Derived_Data!A453, 'Combined_Data'!A:A, 0))</f>
        <v>40563</v>
      </c>
      <c r="C453" s="12" t="str">
        <f>INDEX('Combined_Data'!G:G, MATCH(A453, 'Combined_Data'!A:A, 0))</f>
        <v>Thursday</v>
      </c>
      <c r="D453" s="12" t="b">
        <f>INDEX('Combined_Data'!F:F, MATCH(A453, 'Combined_Data'!A:A, 0))</f>
        <v>0</v>
      </c>
      <c r="E453" s="12">
        <f>INDEX('Combined_Data'!O:O, MATCH(A453, 'Combined_Data'!A:A, 0))</f>
        <v>126</v>
      </c>
      <c r="F453" s="12">
        <f>INDEX('Combined_Data'!M:M, MATCH(A453, 'Combined_Data'!A:A, 0))</f>
        <v>2</v>
      </c>
      <c r="G453" s="12">
        <f>INDEX('Combined_Data'!N:N, MATCH(A453, 'Combined_Data'!A:A, 0))</f>
        <v>124</v>
      </c>
      <c r="H453" s="12" t="str">
        <f t="shared" si="28"/>
        <v>Weekday</v>
      </c>
      <c r="I453" s="12" t="str">
        <f t="shared" si="29"/>
        <v>Working Day</v>
      </c>
      <c r="J453" s="12" t="str">
        <f t="shared" si="30"/>
        <v>Medium</v>
      </c>
      <c r="K453" s="12" t="str">
        <f>INDEX('Combined_Data'!H:H, MATCH(A453, 'Combined_Data'!A:A, 0))</f>
        <v>Mist</v>
      </c>
      <c r="L453" s="13">
        <f t="shared" si="31"/>
        <v>2</v>
      </c>
    </row>
    <row r="454" spans="1:12" x14ac:dyDescent="0.35">
      <c r="A454" s="10">
        <v>453</v>
      </c>
      <c r="B454" s="11">
        <f>INDEX('Combined_Data'!B:B, MATCH(Derived_Data!A454, 'Combined_Data'!A:A, 0))</f>
        <v>40563</v>
      </c>
      <c r="C454" s="12" t="str">
        <f>INDEX('Combined_Data'!G:G, MATCH(A454, 'Combined_Data'!A:A, 0))</f>
        <v>Thursday</v>
      </c>
      <c r="D454" s="12" t="b">
        <f>INDEX('Combined_Data'!F:F, MATCH(A454, 'Combined_Data'!A:A, 0))</f>
        <v>0</v>
      </c>
      <c r="E454" s="12">
        <f>INDEX('Combined_Data'!O:O, MATCH(A454, 'Combined_Data'!A:A, 0))</f>
        <v>57</v>
      </c>
      <c r="F454" s="12">
        <f>INDEX('Combined_Data'!M:M, MATCH(A454, 'Combined_Data'!A:A, 0))</f>
        <v>3</v>
      </c>
      <c r="G454" s="12">
        <f>INDEX('Combined_Data'!N:N, MATCH(A454, 'Combined_Data'!A:A, 0))</f>
        <v>54</v>
      </c>
      <c r="H454" s="12" t="str">
        <f t="shared" si="28"/>
        <v>Weekday</v>
      </c>
      <c r="I454" s="12" t="str">
        <f t="shared" si="29"/>
        <v>Working Day</v>
      </c>
      <c r="J454" s="12" t="str">
        <f t="shared" si="30"/>
        <v>Low</v>
      </c>
      <c r="K454" s="12" t="str">
        <f>INDEX('Combined_Data'!H:H, MATCH(A454, 'Combined_Data'!A:A, 0))</f>
        <v>Mist</v>
      </c>
      <c r="L454" s="13">
        <f t="shared" si="31"/>
        <v>2</v>
      </c>
    </row>
    <row r="455" spans="1:12" x14ac:dyDescent="0.35">
      <c r="A455" s="10">
        <v>454</v>
      </c>
      <c r="B455" s="11">
        <f>INDEX('Combined_Data'!B:B, MATCH(Derived_Data!A455, 'Combined_Data'!A:A, 0))</f>
        <v>40563</v>
      </c>
      <c r="C455" s="12" t="str">
        <f>INDEX('Combined_Data'!G:G, MATCH(A455, 'Combined_Data'!A:A, 0))</f>
        <v>Thursday</v>
      </c>
      <c r="D455" s="12" t="b">
        <f>INDEX('Combined_Data'!F:F, MATCH(A455, 'Combined_Data'!A:A, 0))</f>
        <v>0</v>
      </c>
      <c r="E455" s="12">
        <f>INDEX('Combined_Data'!O:O, MATCH(A455, 'Combined_Data'!A:A, 0))</f>
        <v>56</v>
      </c>
      <c r="F455" s="12">
        <f>INDEX('Combined_Data'!M:M, MATCH(A455, 'Combined_Data'!A:A, 0))</f>
        <v>0</v>
      </c>
      <c r="G455" s="12">
        <f>INDEX('Combined_Data'!N:N, MATCH(A455, 'Combined_Data'!A:A, 0))</f>
        <v>56</v>
      </c>
      <c r="H455" s="12" t="str">
        <f t="shared" si="28"/>
        <v>Weekday</v>
      </c>
      <c r="I455" s="12" t="str">
        <f t="shared" si="29"/>
        <v>Working Day</v>
      </c>
      <c r="J455" s="12" t="str">
        <f t="shared" si="30"/>
        <v>Low</v>
      </c>
      <c r="K455" s="12" t="str">
        <f>INDEX('Combined_Data'!H:H, MATCH(A455, 'Combined_Data'!A:A, 0))</f>
        <v>Mist</v>
      </c>
      <c r="L455" s="13">
        <f t="shared" si="31"/>
        <v>2</v>
      </c>
    </row>
    <row r="456" spans="1:12" x14ac:dyDescent="0.35">
      <c r="A456" s="10">
        <v>455</v>
      </c>
      <c r="B456" s="11">
        <f>INDEX('Combined_Data'!B:B, MATCH(Derived_Data!A456, 'Combined_Data'!A:A, 0))</f>
        <v>40563</v>
      </c>
      <c r="C456" s="12" t="str">
        <f>INDEX('Combined_Data'!G:G, MATCH(A456, 'Combined_Data'!A:A, 0))</f>
        <v>Thursday</v>
      </c>
      <c r="D456" s="12" t="b">
        <f>INDEX('Combined_Data'!F:F, MATCH(A456, 'Combined_Data'!A:A, 0))</f>
        <v>0</v>
      </c>
      <c r="E456" s="12">
        <f>INDEX('Combined_Data'!O:O, MATCH(A456, 'Combined_Data'!A:A, 0))</f>
        <v>31</v>
      </c>
      <c r="F456" s="12">
        <f>INDEX('Combined_Data'!M:M, MATCH(A456, 'Combined_Data'!A:A, 0))</f>
        <v>3</v>
      </c>
      <c r="G456" s="12">
        <f>INDEX('Combined_Data'!N:N, MATCH(A456, 'Combined_Data'!A:A, 0))</f>
        <v>28</v>
      </c>
      <c r="H456" s="12" t="str">
        <f t="shared" si="28"/>
        <v>Weekday</v>
      </c>
      <c r="I456" s="12" t="str">
        <f t="shared" si="29"/>
        <v>Working Day</v>
      </c>
      <c r="J456" s="12" t="str">
        <f t="shared" si="30"/>
        <v>Low</v>
      </c>
      <c r="K456" s="12" t="str">
        <f>INDEX('Combined_Data'!H:H, MATCH(A456, 'Combined_Data'!A:A, 0))</f>
        <v>Mist</v>
      </c>
      <c r="L456" s="13">
        <f t="shared" si="31"/>
        <v>2</v>
      </c>
    </row>
    <row r="457" spans="1:12" x14ac:dyDescent="0.35">
      <c r="A457" s="10">
        <v>456</v>
      </c>
      <c r="B457" s="11">
        <f>INDEX('Combined_Data'!B:B, MATCH(Derived_Data!A457, 'Combined_Data'!A:A, 0))</f>
        <v>40564</v>
      </c>
      <c r="C457" s="12" t="str">
        <f>INDEX('Combined_Data'!G:G, MATCH(A457, 'Combined_Data'!A:A, 0))</f>
        <v>Friday</v>
      </c>
      <c r="D457" s="12" t="b">
        <f>INDEX('Combined_Data'!F:F, MATCH(A457, 'Combined_Data'!A:A, 0))</f>
        <v>0</v>
      </c>
      <c r="E457" s="12">
        <f>INDEX('Combined_Data'!O:O, MATCH(A457, 'Combined_Data'!A:A, 0))</f>
        <v>21</v>
      </c>
      <c r="F457" s="12">
        <f>INDEX('Combined_Data'!M:M, MATCH(A457, 'Combined_Data'!A:A, 0))</f>
        <v>1</v>
      </c>
      <c r="G457" s="12">
        <f>INDEX('Combined_Data'!N:N, MATCH(A457, 'Combined_Data'!A:A, 0))</f>
        <v>20</v>
      </c>
      <c r="H457" s="12" t="str">
        <f t="shared" si="28"/>
        <v>Weekday</v>
      </c>
      <c r="I457" s="12" t="str">
        <f t="shared" si="29"/>
        <v>Working Day</v>
      </c>
      <c r="J457" s="12" t="str">
        <f t="shared" si="30"/>
        <v>Low</v>
      </c>
      <c r="K457" s="12" t="str">
        <f>INDEX('Combined_Data'!H:H, MATCH(A457, 'Combined_Data'!A:A, 0))</f>
        <v>Mist</v>
      </c>
      <c r="L457" s="13">
        <f t="shared" si="31"/>
        <v>2</v>
      </c>
    </row>
    <row r="458" spans="1:12" x14ac:dyDescent="0.35">
      <c r="A458" s="10">
        <v>457</v>
      </c>
      <c r="B458" s="11">
        <f>INDEX('Combined_Data'!B:B, MATCH(Derived_Data!A458, 'Combined_Data'!A:A, 0))</f>
        <v>40564</v>
      </c>
      <c r="C458" s="12" t="str">
        <f>INDEX('Combined_Data'!G:G, MATCH(A458, 'Combined_Data'!A:A, 0))</f>
        <v>Friday</v>
      </c>
      <c r="D458" s="12" t="b">
        <f>INDEX('Combined_Data'!F:F, MATCH(A458, 'Combined_Data'!A:A, 0))</f>
        <v>0</v>
      </c>
      <c r="E458" s="12">
        <f>INDEX('Combined_Data'!O:O, MATCH(A458, 'Combined_Data'!A:A, 0))</f>
        <v>6</v>
      </c>
      <c r="F458" s="12">
        <f>INDEX('Combined_Data'!M:M, MATCH(A458, 'Combined_Data'!A:A, 0))</f>
        <v>0</v>
      </c>
      <c r="G458" s="12">
        <f>INDEX('Combined_Data'!N:N, MATCH(A458, 'Combined_Data'!A:A, 0))</f>
        <v>6</v>
      </c>
      <c r="H458" s="12" t="str">
        <f t="shared" si="28"/>
        <v>Weekday</v>
      </c>
      <c r="I458" s="12" t="str">
        <f t="shared" si="29"/>
        <v>Working Day</v>
      </c>
      <c r="J458" s="12" t="str">
        <f t="shared" si="30"/>
        <v>Low</v>
      </c>
      <c r="K458" s="12" t="str">
        <f>INDEX('Combined_Data'!H:H, MATCH(A458, 'Combined_Data'!A:A, 0))</f>
        <v>Mist</v>
      </c>
      <c r="L458" s="13">
        <f t="shared" si="31"/>
        <v>2</v>
      </c>
    </row>
    <row r="459" spans="1:12" x14ac:dyDescent="0.35">
      <c r="A459" s="10">
        <v>458</v>
      </c>
      <c r="B459" s="11">
        <f>INDEX('Combined_Data'!B:B, MATCH(Derived_Data!A459, 'Combined_Data'!A:A, 0))</f>
        <v>40564</v>
      </c>
      <c r="C459" s="12" t="str">
        <f>INDEX('Combined_Data'!G:G, MATCH(A459, 'Combined_Data'!A:A, 0))</f>
        <v>Friday</v>
      </c>
      <c r="D459" s="12" t="b">
        <f>INDEX('Combined_Data'!F:F, MATCH(A459, 'Combined_Data'!A:A, 0))</f>
        <v>0</v>
      </c>
      <c r="E459" s="12">
        <f>INDEX('Combined_Data'!O:O, MATCH(A459, 'Combined_Data'!A:A, 0))</f>
        <v>2</v>
      </c>
      <c r="F459" s="12">
        <f>INDEX('Combined_Data'!M:M, MATCH(A459, 'Combined_Data'!A:A, 0))</f>
        <v>0</v>
      </c>
      <c r="G459" s="12">
        <f>INDEX('Combined_Data'!N:N, MATCH(A459, 'Combined_Data'!A:A, 0))</f>
        <v>2</v>
      </c>
      <c r="H459" s="12" t="str">
        <f t="shared" si="28"/>
        <v>Weekday</v>
      </c>
      <c r="I459" s="12" t="str">
        <f t="shared" si="29"/>
        <v>Working Day</v>
      </c>
      <c r="J459" s="12" t="str">
        <f t="shared" si="30"/>
        <v>Low</v>
      </c>
      <c r="K459" s="12" t="str">
        <f>INDEX('Combined_Data'!H:H, MATCH(A459, 'Combined_Data'!A:A, 0))</f>
        <v>Light Snow</v>
      </c>
      <c r="L459" s="13">
        <f t="shared" si="31"/>
        <v>3</v>
      </c>
    </row>
    <row r="460" spans="1:12" x14ac:dyDescent="0.35">
      <c r="A460" s="10">
        <v>459</v>
      </c>
      <c r="B460" s="11">
        <f>INDEX('Combined_Data'!B:B, MATCH(Derived_Data!A460, 'Combined_Data'!A:A, 0))</f>
        <v>40564</v>
      </c>
      <c r="C460" s="12" t="str">
        <f>INDEX('Combined_Data'!G:G, MATCH(A460, 'Combined_Data'!A:A, 0))</f>
        <v>Friday</v>
      </c>
      <c r="D460" s="12" t="b">
        <f>INDEX('Combined_Data'!F:F, MATCH(A460, 'Combined_Data'!A:A, 0))</f>
        <v>0</v>
      </c>
      <c r="E460" s="12">
        <f>INDEX('Combined_Data'!O:O, MATCH(A460, 'Combined_Data'!A:A, 0))</f>
        <v>1</v>
      </c>
      <c r="F460" s="12">
        <f>INDEX('Combined_Data'!M:M, MATCH(A460, 'Combined_Data'!A:A, 0))</f>
        <v>0</v>
      </c>
      <c r="G460" s="12">
        <f>INDEX('Combined_Data'!N:N, MATCH(A460, 'Combined_Data'!A:A, 0))</f>
        <v>1</v>
      </c>
      <c r="H460" s="12" t="str">
        <f t="shared" si="28"/>
        <v>Weekday</v>
      </c>
      <c r="I460" s="12" t="str">
        <f t="shared" si="29"/>
        <v>Working Day</v>
      </c>
      <c r="J460" s="12" t="str">
        <f t="shared" si="30"/>
        <v>Low</v>
      </c>
      <c r="K460" s="12" t="str">
        <f>INDEX('Combined_Data'!H:H, MATCH(A460, 'Combined_Data'!A:A, 0))</f>
        <v>Light Snow</v>
      </c>
      <c r="L460" s="13">
        <f t="shared" si="31"/>
        <v>3</v>
      </c>
    </row>
    <row r="461" spans="1:12" x14ac:dyDescent="0.35">
      <c r="A461" s="10">
        <v>460</v>
      </c>
      <c r="B461" s="11">
        <f>INDEX('Combined_Data'!B:B, MATCH(Derived_Data!A461, 'Combined_Data'!A:A, 0))</f>
        <v>40564</v>
      </c>
      <c r="C461" s="12" t="str">
        <f>INDEX('Combined_Data'!G:G, MATCH(A461, 'Combined_Data'!A:A, 0))</f>
        <v>Friday</v>
      </c>
      <c r="D461" s="12" t="b">
        <f>INDEX('Combined_Data'!F:F, MATCH(A461, 'Combined_Data'!A:A, 0))</f>
        <v>0</v>
      </c>
      <c r="E461" s="12">
        <f>INDEX('Combined_Data'!O:O, MATCH(A461, 'Combined_Data'!A:A, 0))</f>
        <v>1</v>
      </c>
      <c r="F461" s="12">
        <f>INDEX('Combined_Data'!M:M, MATCH(A461, 'Combined_Data'!A:A, 0))</f>
        <v>0</v>
      </c>
      <c r="G461" s="12">
        <f>INDEX('Combined_Data'!N:N, MATCH(A461, 'Combined_Data'!A:A, 0))</f>
        <v>1</v>
      </c>
      <c r="H461" s="12" t="str">
        <f t="shared" si="28"/>
        <v>Weekday</v>
      </c>
      <c r="I461" s="12" t="str">
        <f t="shared" si="29"/>
        <v>Working Day</v>
      </c>
      <c r="J461" s="12" t="str">
        <f t="shared" si="30"/>
        <v>Low</v>
      </c>
      <c r="K461" s="12" t="str">
        <f>INDEX('Combined_Data'!H:H, MATCH(A461, 'Combined_Data'!A:A, 0))</f>
        <v>Mist</v>
      </c>
      <c r="L461" s="13">
        <f t="shared" si="31"/>
        <v>2</v>
      </c>
    </row>
    <row r="462" spans="1:12" x14ac:dyDescent="0.35">
      <c r="A462" s="10">
        <v>461</v>
      </c>
      <c r="B462" s="11">
        <f>INDEX('Combined_Data'!B:B, MATCH(Derived_Data!A462, 'Combined_Data'!A:A, 0))</f>
        <v>40564</v>
      </c>
      <c r="C462" s="12" t="str">
        <f>INDEX('Combined_Data'!G:G, MATCH(A462, 'Combined_Data'!A:A, 0))</f>
        <v>Friday</v>
      </c>
      <c r="D462" s="12" t="b">
        <f>INDEX('Combined_Data'!F:F, MATCH(A462, 'Combined_Data'!A:A, 0))</f>
        <v>0</v>
      </c>
      <c r="E462" s="12">
        <f>INDEX('Combined_Data'!O:O, MATCH(A462, 'Combined_Data'!A:A, 0))</f>
        <v>5</v>
      </c>
      <c r="F462" s="12">
        <f>INDEX('Combined_Data'!M:M, MATCH(A462, 'Combined_Data'!A:A, 0))</f>
        <v>1</v>
      </c>
      <c r="G462" s="12">
        <f>INDEX('Combined_Data'!N:N, MATCH(A462, 'Combined_Data'!A:A, 0))</f>
        <v>4</v>
      </c>
      <c r="H462" s="12" t="str">
        <f t="shared" si="28"/>
        <v>Weekday</v>
      </c>
      <c r="I462" s="12" t="str">
        <f t="shared" si="29"/>
        <v>Working Day</v>
      </c>
      <c r="J462" s="12" t="str">
        <f t="shared" si="30"/>
        <v>Low</v>
      </c>
      <c r="K462" s="12" t="str">
        <f>INDEX('Combined_Data'!H:H, MATCH(A462, 'Combined_Data'!A:A, 0))</f>
        <v>Clear</v>
      </c>
      <c r="L462" s="13">
        <f t="shared" si="31"/>
        <v>1</v>
      </c>
    </row>
    <row r="463" spans="1:12" x14ac:dyDescent="0.35">
      <c r="A463" s="10">
        <v>462</v>
      </c>
      <c r="B463" s="11">
        <f>INDEX('Combined_Data'!B:B, MATCH(Derived_Data!A463, 'Combined_Data'!A:A, 0))</f>
        <v>40564</v>
      </c>
      <c r="C463" s="12" t="str">
        <f>INDEX('Combined_Data'!G:G, MATCH(A463, 'Combined_Data'!A:A, 0))</f>
        <v>Friday</v>
      </c>
      <c r="D463" s="12" t="b">
        <f>INDEX('Combined_Data'!F:F, MATCH(A463, 'Combined_Data'!A:A, 0))</f>
        <v>0</v>
      </c>
      <c r="E463" s="12">
        <f>INDEX('Combined_Data'!O:O, MATCH(A463, 'Combined_Data'!A:A, 0))</f>
        <v>27</v>
      </c>
      <c r="F463" s="12">
        <f>INDEX('Combined_Data'!M:M, MATCH(A463, 'Combined_Data'!A:A, 0))</f>
        <v>0</v>
      </c>
      <c r="G463" s="12">
        <f>INDEX('Combined_Data'!N:N, MATCH(A463, 'Combined_Data'!A:A, 0))</f>
        <v>27</v>
      </c>
      <c r="H463" s="12" t="str">
        <f t="shared" si="28"/>
        <v>Weekday</v>
      </c>
      <c r="I463" s="12" t="str">
        <f t="shared" si="29"/>
        <v>Working Day</v>
      </c>
      <c r="J463" s="12" t="str">
        <f t="shared" si="30"/>
        <v>Low</v>
      </c>
      <c r="K463" s="12" t="str">
        <f>INDEX('Combined_Data'!H:H, MATCH(A463, 'Combined_Data'!A:A, 0))</f>
        <v>Clear</v>
      </c>
      <c r="L463" s="13">
        <f t="shared" si="31"/>
        <v>1</v>
      </c>
    </row>
    <row r="464" spans="1:12" x14ac:dyDescent="0.35">
      <c r="A464" s="10">
        <v>463</v>
      </c>
      <c r="B464" s="11">
        <f>INDEX('Combined_Data'!B:B, MATCH(Derived_Data!A464, 'Combined_Data'!A:A, 0))</f>
        <v>40564</v>
      </c>
      <c r="C464" s="12" t="str">
        <f>INDEX('Combined_Data'!G:G, MATCH(A464, 'Combined_Data'!A:A, 0))</f>
        <v>Friday</v>
      </c>
      <c r="D464" s="12" t="b">
        <f>INDEX('Combined_Data'!F:F, MATCH(A464, 'Combined_Data'!A:A, 0))</f>
        <v>0</v>
      </c>
      <c r="E464" s="12">
        <f>INDEX('Combined_Data'!O:O, MATCH(A464, 'Combined_Data'!A:A, 0))</f>
        <v>68</v>
      </c>
      <c r="F464" s="12">
        <f>INDEX('Combined_Data'!M:M, MATCH(A464, 'Combined_Data'!A:A, 0))</f>
        <v>2</v>
      </c>
      <c r="G464" s="12">
        <f>INDEX('Combined_Data'!N:N, MATCH(A464, 'Combined_Data'!A:A, 0))</f>
        <v>66</v>
      </c>
      <c r="H464" s="12" t="str">
        <f t="shared" si="28"/>
        <v>Weekday</v>
      </c>
      <c r="I464" s="12" t="str">
        <f t="shared" si="29"/>
        <v>Working Day</v>
      </c>
      <c r="J464" s="12" t="str">
        <f t="shared" si="30"/>
        <v>Low</v>
      </c>
      <c r="K464" s="12" t="str">
        <f>INDEX('Combined_Data'!H:H, MATCH(A464, 'Combined_Data'!A:A, 0))</f>
        <v>Clear</v>
      </c>
      <c r="L464" s="13">
        <f t="shared" si="31"/>
        <v>1</v>
      </c>
    </row>
    <row r="465" spans="1:12" x14ac:dyDescent="0.35">
      <c r="A465" s="10">
        <v>464</v>
      </c>
      <c r="B465" s="11">
        <f>INDEX('Combined_Data'!B:B, MATCH(Derived_Data!A465, 'Combined_Data'!A:A, 0))</f>
        <v>40564</v>
      </c>
      <c r="C465" s="12" t="str">
        <f>INDEX('Combined_Data'!G:G, MATCH(A465, 'Combined_Data'!A:A, 0))</f>
        <v>Friday</v>
      </c>
      <c r="D465" s="12" t="b">
        <f>INDEX('Combined_Data'!F:F, MATCH(A465, 'Combined_Data'!A:A, 0))</f>
        <v>0</v>
      </c>
      <c r="E465" s="12">
        <f>INDEX('Combined_Data'!O:O, MATCH(A465, 'Combined_Data'!A:A, 0))</f>
        <v>217</v>
      </c>
      <c r="F465" s="12">
        <f>INDEX('Combined_Data'!M:M, MATCH(A465, 'Combined_Data'!A:A, 0))</f>
        <v>7</v>
      </c>
      <c r="G465" s="12">
        <f>INDEX('Combined_Data'!N:N, MATCH(A465, 'Combined_Data'!A:A, 0))</f>
        <v>210</v>
      </c>
      <c r="H465" s="12" t="str">
        <f t="shared" si="28"/>
        <v>Weekday</v>
      </c>
      <c r="I465" s="12" t="str">
        <f t="shared" si="29"/>
        <v>Working Day</v>
      </c>
      <c r="J465" s="12" t="str">
        <f t="shared" si="30"/>
        <v>High</v>
      </c>
      <c r="K465" s="12" t="str">
        <f>INDEX('Combined_Data'!H:H, MATCH(A465, 'Combined_Data'!A:A, 0))</f>
        <v>Clear</v>
      </c>
      <c r="L465" s="13">
        <f t="shared" si="31"/>
        <v>1</v>
      </c>
    </row>
    <row r="466" spans="1:12" x14ac:dyDescent="0.35">
      <c r="A466" s="10">
        <v>465</v>
      </c>
      <c r="B466" s="11">
        <f>INDEX('Combined_Data'!B:B, MATCH(Derived_Data!A466, 'Combined_Data'!A:A, 0))</f>
        <v>40564</v>
      </c>
      <c r="C466" s="12" t="str">
        <f>INDEX('Combined_Data'!G:G, MATCH(A466, 'Combined_Data'!A:A, 0))</f>
        <v>Friday</v>
      </c>
      <c r="D466" s="12" t="b">
        <f>INDEX('Combined_Data'!F:F, MATCH(A466, 'Combined_Data'!A:A, 0))</f>
        <v>0</v>
      </c>
      <c r="E466" s="12">
        <f>INDEX('Combined_Data'!O:O, MATCH(A466, 'Combined_Data'!A:A, 0))</f>
        <v>166</v>
      </c>
      <c r="F466" s="12">
        <f>INDEX('Combined_Data'!M:M, MATCH(A466, 'Combined_Data'!A:A, 0))</f>
        <v>7</v>
      </c>
      <c r="G466" s="12">
        <f>INDEX('Combined_Data'!N:N, MATCH(A466, 'Combined_Data'!A:A, 0))</f>
        <v>159</v>
      </c>
      <c r="H466" s="12" t="str">
        <f t="shared" si="28"/>
        <v>Weekday</v>
      </c>
      <c r="I466" s="12" t="str">
        <f t="shared" si="29"/>
        <v>Working Day</v>
      </c>
      <c r="J466" s="12" t="str">
        <f t="shared" si="30"/>
        <v>High</v>
      </c>
      <c r="K466" s="12" t="str">
        <f>INDEX('Combined_Data'!H:H, MATCH(A466, 'Combined_Data'!A:A, 0))</f>
        <v>Clear</v>
      </c>
      <c r="L466" s="13">
        <f t="shared" si="31"/>
        <v>1</v>
      </c>
    </row>
    <row r="467" spans="1:12" x14ac:dyDescent="0.35">
      <c r="A467" s="10">
        <v>466</v>
      </c>
      <c r="B467" s="11">
        <f>INDEX('Combined_Data'!B:B, MATCH(Derived_Data!A467, 'Combined_Data'!A:A, 0))</f>
        <v>40564</v>
      </c>
      <c r="C467" s="12" t="str">
        <f>INDEX('Combined_Data'!G:G, MATCH(A467, 'Combined_Data'!A:A, 0))</f>
        <v>Friday</v>
      </c>
      <c r="D467" s="12" t="b">
        <f>INDEX('Combined_Data'!F:F, MATCH(A467, 'Combined_Data'!A:A, 0))</f>
        <v>0</v>
      </c>
      <c r="E467" s="12">
        <f>INDEX('Combined_Data'!O:O, MATCH(A467, 'Combined_Data'!A:A, 0))</f>
        <v>63</v>
      </c>
      <c r="F467" s="12">
        <f>INDEX('Combined_Data'!M:M, MATCH(A467, 'Combined_Data'!A:A, 0))</f>
        <v>6</v>
      </c>
      <c r="G467" s="12">
        <f>INDEX('Combined_Data'!N:N, MATCH(A467, 'Combined_Data'!A:A, 0))</f>
        <v>57</v>
      </c>
      <c r="H467" s="12" t="str">
        <f t="shared" si="28"/>
        <v>Weekday</v>
      </c>
      <c r="I467" s="12" t="str">
        <f t="shared" si="29"/>
        <v>Working Day</v>
      </c>
      <c r="J467" s="12" t="str">
        <f t="shared" si="30"/>
        <v>Low</v>
      </c>
      <c r="K467" s="12" t="str">
        <f>INDEX('Combined_Data'!H:H, MATCH(A467, 'Combined_Data'!A:A, 0))</f>
        <v>Clear</v>
      </c>
      <c r="L467" s="13">
        <f t="shared" si="31"/>
        <v>1</v>
      </c>
    </row>
    <row r="468" spans="1:12" x14ac:dyDescent="0.35">
      <c r="A468" s="10">
        <v>467</v>
      </c>
      <c r="B468" s="11">
        <f>INDEX('Combined_Data'!B:B, MATCH(Derived_Data!A468, 'Combined_Data'!A:A, 0))</f>
        <v>40564</v>
      </c>
      <c r="C468" s="12" t="str">
        <f>INDEX('Combined_Data'!G:G, MATCH(A468, 'Combined_Data'!A:A, 0))</f>
        <v>Friday</v>
      </c>
      <c r="D468" s="12" t="b">
        <f>INDEX('Combined_Data'!F:F, MATCH(A468, 'Combined_Data'!A:A, 0))</f>
        <v>0</v>
      </c>
      <c r="E468" s="12">
        <f>INDEX('Combined_Data'!O:O, MATCH(A468, 'Combined_Data'!A:A, 0))</f>
        <v>59</v>
      </c>
      <c r="F468" s="12">
        <f>INDEX('Combined_Data'!M:M, MATCH(A468, 'Combined_Data'!A:A, 0))</f>
        <v>6</v>
      </c>
      <c r="G468" s="12">
        <f>INDEX('Combined_Data'!N:N, MATCH(A468, 'Combined_Data'!A:A, 0))</f>
        <v>53</v>
      </c>
      <c r="H468" s="12" t="str">
        <f t="shared" si="28"/>
        <v>Weekday</v>
      </c>
      <c r="I468" s="12" t="str">
        <f t="shared" si="29"/>
        <v>Working Day</v>
      </c>
      <c r="J468" s="12" t="str">
        <f t="shared" si="30"/>
        <v>Low</v>
      </c>
      <c r="K468" s="12" t="str">
        <f>INDEX('Combined_Data'!H:H, MATCH(A468, 'Combined_Data'!A:A, 0))</f>
        <v>Clear</v>
      </c>
      <c r="L468" s="13">
        <f t="shared" si="31"/>
        <v>1</v>
      </c>
    </row>
    <row r="469" spans="1:12" x14ac:dyDescent="0.35">
      <c r="A469" s="10">
        <v>468</v>
      </c>
      <c r="B469" s="11">
        <f>INDEX('Combined_Data'!B:B, MATCH(Derived_Data!A469, 'Combined_Data'!A:A, 0))</f>
        <v>40564</v>
      </c>
      <c r="C469" s="12" t="str">
        <f>INDEX('Combined_Data'!G:G, MATCH(A469, 'Combined_Data'!A:A, 0))</f>
        <v>Friday</v>
      </c>
      <c r="D469" s="12" t="b">
        <f>INDEX('Combined_Data'!F:F, MATCH(A469, 'Combined_Data'!A:A, 0))</f>
        <v>0</v>
      </c>
      <c r="E469" s="12">
        <f>INDEX('Combined_Data'!O:O, MATCH(A469, 'Combined_Data'!A:A, 0))</f>
        <v>78</v>
      </c>
      <c r="F469" s="12">
        <f>INDEX('Combined_Data'!M:M, MATCH(A469, 'Combined_Data'!A:A, 0))</f>
        <v>11</v>
      </c>
      <c r="G469" s="12">
        <f>INDEX('Combined_Data'!N:N, MATCH(A469, 'Combined_Data'!A:A, 0))</f>
        <v>67</v>
      </c>
      <c r="H469" s="12" t="str">
        <f t="shared" si="28"/>
        <v>Weekday</v>
      </c>
      <c r="I469" s="12" t="str">
        <f t="shared" si="29"/>
        <v>Working Day</v>
      </c>
      <c r="J469" s="12" t="str">
        <f t="shared" si="30"/>
        <v>Low</v>
      </c>
      <c r="K469" s="12" t="str">
        <f>INDEX('Combined_Data'!H:H, MATCH(A469, 'Combined_Data'!A:A, 0))</f>
        <v>Clear</v>
      </c>
      <c r="L469" s="13">
        <f t="shared" si="31"/>
        <v>1</v>
      </c>
    </row>
    <row r="470" spans="1:12" x14ac:dyDescent="0.35">
      <c r="A470" s="10">
        <v>469</v>
      </c>
      <c r="B470" s="11">
        <f>INDEX('Combined_Data'!B:B, MATCH(Derived_Data!A470, 'Combined_Data'!A:A, 0))</f>
        <v>40564</v>
      </c>
      <c r="C470" s="12" t="str">
        <f>INDEX('Combined_Data'!G:G, MATCH(A470, 'Combined_Data'!A:A, 0))</f>
        <v>Friday</v>
      </c>
      <c r="D470" s="12" t="b">
        <f>INDEX('Combined_Data'!F:F, MATCH(A470, 'Combined_Data'!A:A, 0))</f>
        <v>0</v>
      </c>
      <c r="E470" s="12">
        <f>INDEX('Combined_Data'!O:O, MATCH(A470, 'Combined_Data'!A:A, 0))</f>
        <v>73</v>
      </c>
      <c r="F470" s="12">
        <f>INDEX('Combined_Data'!M:M, MATCH(A470, 'Combined_Data'!A:A, 0))</f>
        <v>8</v>
      </c>
      <c r="G470" s="12">
        <f>INDEX('Combined_Data'!N:N, MATCH(A470, 'Combined_Data'!A:A, 0))</f>
        <v>65</v>
      </c>
      <c r="H470" s="12" t="str">
        <f t="shared" si="28"/>
        <v>Weekday</v>
      </c>
      <c r="I470" s="12" t="str">
        <f t="shared" si="29"/>
        <v>Working Day</v>
      </c>
      <c r="J470" s="12" t="str">
        <f t="shared" si="30"/>
        <v>Low</v>
      </c>
      <c r="K470" s="12" t="str">
        <f>INDEX('Combined_Data'!H:H, MATCH(A470, 'Combined_Data'!A:A, 0))</f>
        <v>Clear</v>
      </c>
      <c r="L470" s="13">
        <f t="shared" si="31"/>
        <v>1</v>
      </c>
    </row>
    <row r="471" spans="1:12" x14ac:dyDescent="0.35">
      <c r="A471" s="10">
        <v>470</v>
      </c>
      <c r="B471" s="11">
        <f>INDEX('Combined_Data'!B:B, MATCH(Derived_Data!A471, 'Combined_Data'!A:A, 0))</f>
        <v>40564</v>
      </c>
      <c r="C471" s="12" t="str">
        <f>INDEX('Combined_Data'!G:G, MATCH(A471, 'Combined_Data'!A:A, 0))</f>
        <v>Friday</v>
      </c>
      <c r="D471" s="12" t="b">
        <f>INDEX('Combined_Data'!F:F, MATCH(A471, 'Combined_Data'!A:A, 0))</f>
        <v>0</v>
      </c>
      <c r="E471" s="12">
        <f>INDEX('Combined_Data'!O:O, MATCH(A471, 'Combined_Data'!A:A, 0))</f>
        <v>62</v>
      </c>
      <c r="F471" s="12">
        <f>INDEX('Combined_Data'!M:M, MATCH(A471, 'Combined_Data'!A:A, 0))</f>
        <v>6</v>
      </c>
      <c r="G471" s="12">
        <f>INDEX('Combined_Data'!N:N, MATCH(A471, 'Combined_Data'!A:A, 0))</f>
        <v>56</v>
      </c>
      <c r="H471" s="12" t="str">
        <f t="shared" si="28"/>
        <v>Weekday</v>
      </c>
      <c r="I471" s="12" t="str">
        <f t="shared" si="29"/>
        <v>Working Day</v>
      </c>
      <c r="J471" s="12" t="str">
        <f t="shared" si="30"/>
        <v>Low</v>
      </c>
      <c r="K471" s="12" t="str">
        <f>INDEX('Combined_Data'!H:H, MATCH(A471, 'Combined_Data'!A:A, 0))</f>
        <v>Clear</v>
      </c>
      <c r="L471" s="13">
        <f t="shared" si="31"/>
        <v>1</v>
      </c>
    </row>
    <row r="472" spans="1:12" x14ac:dyDescent="0.35">
      <c r="A472" s="10">
        <v>471</v>
      </c>
      <c r="B472" s="11">
        <f>INDEX('Combined_Data'!B:B, MATCH(Derived_Data!A472, 'Combined_Data'!A:A, 0))</f>
        <v>40564</v>
      </c>
      <c r="C472" s="12" t="str">
        <f>INDEX('Combined_Data'!G:G, MATCH(A472, 'Combined_Data'!A:A, 0))</f>
        <v>Friday</v>
      </c>
      <c r="D472" s="12" t="b">
        <f>INDEX('Combined_Data'!F:F, MATCH(A472, 'Combined_Data'!A:A, 0))</f>
        <v>0</v>
      </c>
      <c r="E472" s="12">
        <f>INDEX('Combined_Data'!O:O, MATCH(A472, 'Combined_Data'!A:A, 0))</f>
        <v>65</v>
      </c>
      <c r="F472" s="12">
        <f>INDEX('Combined_Data'!M:M, MATCH(A472, 'Combined_Data'!A:A, 0))</f>
        <v>4</v>
      </c>
      <c r="G472" s="12">
        <f>INDEX('Combined_Data'!N:N, MATCH(A472, 'Combined_Data'!A:A, 0))</f>
        <v>61</v>
      </c>
      <c r="H472" s="12" t="str">
        <f t="shared" si="28"/>
        <v>Weekday</v>
      </c>
      <c r="I472" s="12" t="str">
        <f t="shared" si="29"/>
        <v>Working Day</v>
      </c>
      <c r="J472" s="12" t="str">
        <f t="shared" si="30"/>
        <v>Low</v>
      </c>
      <c r="K472" s="12" t="str">
        <f>INDEX('Combined_Data'!H:H, MATCH(A472, 'Combined_Data'!A:A, 0))</f>
        <v>Clear</v>
      </c>
      <c r="L472" s="13">
        <f t="shared" si="31"/>
        <v>1</v>
      </c>
    </row>
    <row r="473" spans="1:12" x14ac:dyDescent="0.35">
      <c r="A473" s="10">
        <v>472</v>
      </c>
      <c r="B473" s="11">
        <f>INDEX('Combined_Data'!B:B, MATCH(Derived_Data!A473, 'Combined_Data'!A:A, 0))</f>
        <v>40564</v>
      </c>
      <c r="C473" s="12" t="str">
        <f>INDEX('Combined_Data'!G:G, MATCH(A473, 'Combined_Data'!A:A, 0))</f>
        <v>Friday</v>
      </c>
      <c r="D473" s="12" t="b">
        <f>INDEX('Combined_Data'!F:F, MATCH(A473, 'Combined_Data'!A:A, 0))</f>
        <v>0</v>
      </c>
      <c r="E473" s="12">
        <f>INDEX('Combined_Data'!O:O, MATCH(A473, 'Combined_Data'!A:A, 0))</f>
        <v>97</v>
      </c>
      <c r="F473" s="12">
        <f>INDEX('Combined_Data'!M:M, MATCH(A473, 'Combined_Data'!A:A, 0))</f>
        <v>0</v>
      </c>
      <c r="G473" s="12">
        <f>INDEX('Combined_Data'!N:N, MATCH(A473, 'Combined_Data'!A:A, 0))</f>
        <v>97</v>
      </c>
      <c r="H473" s="12" t="str">
        <f t="shared" si="28"/>
        <v>Weekday</v>
      </c>
      <c r="I473" s="12" t="str">
        <f t="shared" si="29"/>
        <v>Working Day</v>
      </c>
      <c r="J473" s="12" t="str">
        <f t="shared" si="30"/>
        <v>Low</v>
      </c>
      <c r="K473" s="12" t="str">
        <f>INDEX('Combined_Data'!H:H, MATCH(A473, 'Combined_Data'!A:A, 0))</f>
        <v>Clear</v>
      </c>
      <c r="L473" s="13">
        <f t="shared" si="31"/>
        <v>1</v>
      </c>
    </row>
    <row r="474" spans="1:12" x14ac:dyDescent="0.35">
      <c r="A474" s="10">
        <v>473</v>
      </c>
      <c r="B474" s="11">
        <f>INDEX('Combined_Data'!B:B, MATCH(Derived_Data!A474, 'Combined_Data'!A:A, 0))</f>
        <v>40564</v>
      </c>
      <c r="C474" s="12" t="str">
        <f>INDEX('Combined_Data'!G:G, MATCH(A474, 'Combined_Data'!A:A, 0))</f>
        <v>Friday</v>
      </c>
      <c r="D474" s="12" t="b">
        <f>INDEX('Combined_Data'!F:F, MATCH(A474, 'Combined_Data'!A:A, 0))</f>
        <v>0</v>
      </c>
      <c r="E474" s="12">
        <f>INDEX('Combined_Data'!O:O, MATCH(A474, 'Combined_Data'!A:A, 0))</f>
        <v>161</v>
      </c>
      <c r="F474" s="12">
        <f>INDEX('Combined_Data'!M:M, MATCH(A474, 'Combined_Data'!A:A, 0))</f>
        <v>10</v>
      </c>
      <c r="G474" s="12">
        <f>INDEX('Combined_Data'!N:N, MATCH(A474, 'Combined_Data'!A:A, 0))</f>
        <v>151</v>
      </c>
      <c r="H474" s="12" t="str">
        <f t="shared" si="28"/>
        <v>Weekday</v>
      </c>
      <c r="I474" s="12" t="str">
        <f t="shared" si="29"/>
        <v>Working Day</v>
      </c>
      <c r="J474" s="12" t="str">
        <f t="shared" si="30"/>
        <v>High</v>
      </c>
      <c r="K474" s="12" t="str">
        <f>INDEX('Combined_Data'!H:H, MATCH(A474, 'Combined_Data'!A:A, 0))</f>
        <v>Clear</v>
      </c>
      <c r="L474" s="13">
        <f t="shared" si="31"/>
        <v>1</v>
      </c>
    </row>
    <row r="475" spans="1:12" x14ac:dyDescent="0.35">
      <c r="A475" s="10">
        <v>474</v>
      </c>
      <c r="B475" s="11">
        <f>INDEX('Combined_Data'!B:B, MATCH(Derived_Data!A475, 'Combined_Data'!A:A, 0))</f>
        <v>40564</v>
      </c>
      <c r="C475" s="12" t="str">
        <f>INDEX('Combined_Data'!G:G, MATCH(A475, 'Combined_Data'!A:A, 0))</f>
        <v>Friday</v>
      </c>
      <c r="D475" s="12" t="b">
        <f>INDEX('Combined_Data'!F:F, MATCH(A475, 'Combined_Data'!A:A, 0))</f>
        <v>0</v>
      </c>
      <c r="E475" s="12">
        <f>INDEX('Combined_Data'!O:O, MATCH(A475, 'Combined_Data'!A:A, 0))</f>
        <v>120</v>
      </c>
      <c r="F475" s="12">
        <f>INDEX('Combined_Data'!M:M, MATCH(A475, 'Combined_Data'!A:A, 0))</f>
        <v>1</v>
      </c>
      <c r="G475" s="12">
        <f>INDEX('Combined_Data'!N:N, MATCH(A475, 'Combined_Data'!A:A, 0))</f>
        <v>119</v>
      </c>
      <c r="H475" s="12" t="str">
        <f t="shared" si="28"/>
        <v>Weekday</v>
      </c>
      <c r="I475" s="12" t="str">
        <f t="shared" si="29"/>
        <v>Working Day</v>
      </c>
      <c r="J475" s="12" t="str">
        <f t="shared" si="30"/>
        <v>Medium</v>
      </c>
      <c r="K475" s="12" t="str">
        <f>INDEX('Combined_Data'!H:H, MATCH(A475, 'Combined_Data'!A:A, 0))</f>
        <v>Clear</v>
      </c>
      <c r="L475" s="13">
        <f t="shared" si="31"/>
        <v>1</v>
      </c>
    </row>
    <row r="476" spans="1:12" x14ac:dyDescent="0.35">
      <c r="A476" s="10">
        <v>475</v>
      </c>
      <c r="B476" s="11">
        <f>INDEX('Combined_Data'!B:B, MATCH(Derived_Data!A476, 'Combined_Data'!A:A, 0))</f>
        <v>40564</v>
      </c>
      <c r="C476" s="12" t="str">
        <f>INDEX('Combined_Data'!G:G, MATCH(A476, 'Combined_Data'!A:A, 0))</f>
        <v>Friday</v>
      </c>
      <c r="D476" s="12" t="b">
        <f>INDEX('Combined_Data'!F:F, MATCH(A476, 'Combined_Data'!A:A, 0))</f>
        <v>0</v>
      </c>
      <c r="E476" s="12">
        <f>INDEX('Combined_Data'!O:O, MATCH(A476, 'Combined_Data'!A:A, 0))</f>
        <v>96</v>
      </c>
      <c r="F476" s="12">
        <f>INDEX('Combined_Data'!M:M, MATCH(A476, 'Combined_Data'!A:A, 0))</f>
        <v>3</v>
      </c>
      <c r="G476" s="12">
        <f>INDEX('Combined_Data'!N:N, MATCH(A476, 'Combined_Data'!A:A, 0))</f>
        <v>93</v>
      </c>
      <c r="H476" s="12" t="str">
        <f t="shared" si="28"/>
        <v>Weekday</v>
      </c>
      <c r="I476" s="12" t="str">
        <f t="shared" si="29"/>
        <v>Working Day</v>
      </c>
      <c r="J476" s="12" t="str">
        <f t="shared" si="30"/>
        <v>Low</v>
      </c>
      <c r="K476" s="12" t="str">
        <f>INDEX('Combined_Data'!H:H, MATCH(A476, 'Combined_Data'!A:A, 0))</f>
        <v>Clear</v>
      </c>
      <c r="L476" s="13">
        <f t="shared" si="31"/>
        <v>1</v>
      </c>
    </row>
    <row r="477" spans="1:12" x14ac:dyDescent="0.35">
      <c r="A477" s="10">
        <v>476</v>
      </c>
      <c r="B477" s="11">
        <f>INDEX('Combined_Data'!B:B, MATCH(Derived_Data!A477, 'Combined_Data'!A:A, 0))</f>
        <v>40564</v>
      </c>
      <c r="C477" s="12" t="str">
        <f>INDEX('Combined_Data'!G:G, MATCH(A477, 'Combined_Data'!A:A, 0))</f>
        <v>Friday</v>
      </c>
      <c r="D477" s="12" t="b">
        <f>INDEX('Combined_Data'!F:F, MATCH(A477, 'Combined_Data'!A:A, 0))</f>
        <v>0</v>
      </c>
      <c r="E477" s="12">
        <f>INDEX('Combined_Data'!O:O, MATCH(A477, 'Combined_Data'!A:A, 0))</f>
        <v>53</v>
      </c>
      <c r="F477" s="12">
        <f>INDEX('Combined_Data'!M:M, MATCH(A477, 'Combined_Data'!A:A, 0))</f>
        <v>1</v>
      </c>
      <c r="G477" s="12">
        <f>INDEX('Combined_Data'!N:N, MATCH(A477, 'Combined_Data'!A:A, 0))</f>
        <v>52</v>
      </c>
      <c r="H477" s="12" t="str">
        <f t="shared" si="28"/>
        <v>Weekday</v>
      </c>
      <c r="I477" s="12" t="str">
        <f t="shared" si="29"/>
        <v>Working Day</v>
      </c>
      <c r="J477" s="12" t="str">
        <f t="shared" si="30"/>
        <v>Low</v>
      </c>
      <c r="K477" s="12" t="str">
        <f>INDEX('Combined_Data'!H:H, MATCH(A477, 'Combined_Data'!A:A, 0))</f>
        <v>Clear</v>
      </c>
      <c r="L477" s="13">
        <f t="shared" si="31"/>
        <v>1</v>
      </c>
    </row>
    <row r="478" spans="1:12" x14ac:dyDescent="0.35">
      <c r="A478" s="10">
        <v>477</v>
      </c>
      <c r="B478" s="11">
        <f>INDEX('Combined_Data'!B:B, MATCH(Derived_Data!A478, 'Combined_Data'!A:A, 0))</f>
        <v>40564</v>
      </c>
      <c r="C478" s="12" t="str">
        <f>INDEX('Combined_Data'!G:G, MATCH(A478, 'Combined_Data'!A:A, 0))</f>
        <v>Friday</v>
      </c>
      <c r="D478" s="12" t="b">
        <f>INDEX('Combined_Data'!F:F, MATCH(A478, 'Combined_Data'!A:A, 0))</f>
        <v>0</v>
      </c>
      <c r="E478" s="12">
        <f>INDEX('Combined_Data'!O:O, MATCH(A478, 'Combined_Data'!A:A, 0))</f>
        <v>41</v>
      </c>
      <c r="F478" s="12">
        <f>INDEX('Combined_Data'!M:M, MATCH(A478, 'Combined_Data'!A:A, 0))</f>
        <v>0</v>
      </c>
      <c r="G478" s="12">
        <f>INDEX('Combined_Data'!N:N, MATCH(A478, 'Combined_Data'!A:A, 0))</f>
        <v>41</v>
      </c>
      <c r="H478" s="12" t="str">
        <f t="shared" si="28"/>
        <v>Weekday</v>
      </c>
      <c r="I478" s="12" t="str">
        <f t="shared" si="29"/>
        <v>Working Day</v>
      </c>
      <c r="J478" s="12" t="str">
        <f t="shared" si="30"/>
        <v>Low</v>
      </c>
      <c r="K478" s="12" t="str">
        <f>INDEX('Combined_Data'!H:H, MATCH(A478, 'Combined_Data'!A:A, 0))</f>
        <v>Clear</v>
      </c>
      <c r="L478" s="13">
        <f t="shared" si="31"/>
        <v>1</v>
      </c>
    </row>
    <row r="479" spans="1:12" x14ac:dyDescent="0.35">
      <c r="A479" s="10">
        <v>478</v>
      </c>
      <c r="B479" s="11">
        <f>INDEX('Combined_Data'!B:B, MATCH(Derived_Data!A479, 'Combined_Data'!A:A, 0))</f>
        <v>40564</v>
      </c>
      <c r="C479" s="12" t="str">
        <f>INDEX('Combined_Data'!G:G, MATCH(A479, 'Combined_Data'!A:A, 0))</f>
        <v>Friday</v>
      </c>
      <c r="D479" s="12" t="b">
        <f>INDEX('Combined_Data'!F:F, MATCH(A479, 'Combined_Data'!A:A, 0))</f>
        <v>0</v>
      </c>
      <c r="E479" s="12">
        <f>INDEX('Combined_Data'!O:O, MATCH(A479, 'Combined_Data'!A:A, 0))</f>
        <v>34</v>
      </c>
      <c r="F479" s="12">
        <f>INDEX('Combined_Data'!M:M, MATCH(A479, 'Combined_Data'!A:A, 0))</f>
        <v>1</v>
      </c>
      <c r="G479" s="12">
        <f>INDEX('Combined_Data'!N:N, MATCH(A479, 'Combined_Data'!A:A, 0))</f>
        <v>33</v>
      </c>
      <c r="H479" s="12" t="str">
        <f t="shared" si="28"/>
        <v>Weekday</v>
      </c>
      <c r="I479" s="12" t="str">
        <f t="shared" si="29"/>
        <v>Working Day</v>
      </c>
      <c r="J479" s="12" t="str">
        <f t="shared" si="30"/>
        <v>Low</v>
      </c>
      <c r="K479" s="12" t="str">
        <f>INDEX('Combined_Data'!H:H, MATCH(A479, 'Combined_Data'!A:A, 0))</f>
        <v>Clear</v>
      </c>
      <c r="L479" s="13">
        <f t="shared" si="31"/>
        <v>1</v>
      </c>
    </row>
    <row r="480" spans="1:12" x14ac:dyDescent="0.35">
      <c r="A480" s="10">
        <v>479</v>
      </c>
      <c r="B480" s="11">
        <f>INDEX('Combined_Data'!B:B, MATCH(Derived_Data!A480, 'Combined_Data'!A:A, 0))</f>
        <v>40564</v>
      </c>
      <c r="C480" s="12" t="str">
        <f>INDEX('Combined_Data'!G:G, MATCH(A480, 'Combined_Data'!A:A, 0))</f>
        <v>Friday</v>
      </c>
      <c r="D480" s="12" t="b">
        <f>INDEX('Combined_Data'!F:F, MATCH(A480, 'Combined_Data'!A:A, 0))</f>
        <v>0</v>
      </c>
      <c r="E480" s="12">
        <f>INDEX('Combined_Data'!O:O, MATCH(A480, 'Combined_Data'!A:A, 0))</f>
        <v>27</v>
      </c>
      <c r="F480" s="12">
        <f>INDEX('Combined_Data'!M:M, MATCH(A480, 'Combined_Data'!A:A, 0))</f>
        <v>0</v>
      </c>
      <c r="G480" s="12">
        <f>INDEX('Combined_Data'!N:N, MATCH(A480, 'Combined_Data'!A:A, 0))</f>
        <v>27</v>
      </c>
      <c r="H480" s="12" t="str">
        <f t="shared" si="28"/>
        <v>Weekday</v>
      </c>
      <c r="I480" s="12" t="str">
        <f t="shared" si="29"/>
        <v>Working Day</v>
      </c>
      <c r="J480" s="12" t="str">
        <f t="shared" si="30"/>
        <v>Low</v>
      </c>
      <c r="K480" s="12" t="str">
        <f>INDEX('Combined_Data'!H:H, MATCH(A480, 'Combined_Data'!A:A, 0))</f>
        <v>Clear</v>
      </c>
      <c r="L480" s="13">
        <f t="shared" si="31"/>
        <v>1</v>
      </c>
    </row>
    <row r="481" spans="1:12" x14ac:dyDescent="0.35">
      <c r="A481" s="10">
        <v>480</v>
      </c>
      <c r="B481" s="11">
        <f>INDEX('Combined_Data'!B:B, MATCH(Derived_Data!A481, 'Combined_Data'!A:A, 0))</f>
        <v>40565</v>
      </c>
      <c r="C481" s="12" t="str">
        <f>INDEX('Combined_Data'!G:G, MATCH(A481, 'Combined_Data'!A:A, 0))</f>
        <v>Saturday</v>
      </c>
      <c r="D481" s="12" t="b">
        <f>INDEX('Combined_Data'!F:F, MATCH(A481, 'Combined_Data'!A:A, 0))</f>
        <v>0</v>
      </c>
      <c r="E481" s="12">
        <f>INDEX('Combined_Data'!O:O, MATCH(A481, 'Combined_Data'!A:A, 0))</f>
        <v>13</v>
      </c>
      <c r="F481" s="12">
        <f>INDEX('Combined_Data'!M:M, MATCH(A481, 'Combined_Data'!A:A, 0))</f>
        <v>0</v>
      </c>
      <c r="G481" s="12">
        <f>INDEX('Combined_Data'!N:N, MATCH(A481, 'Combined_Data'!A:A, 0))</f>
        <v>13</v>
      </c>
      <c r="H481" s="12" t="str">
        <f t="shared" si="28"/>
        <v>Weekend</v>
      </c>
      <c r="I481" s="12" t="str">
        <f t="shared" si="29"/>
        <v>Working Day</v>
      </c>
      <c r="J481" s="12" t="str">
        <f t="shared" si="30"/>
        <v>Low</v>
      </c>
      <c r="K481" s="12" t="str">
        <f>INDEX('Combined_Data'!H:H, MATCH(A481, 'Combined_Data'!A:A, 0))</f>
        <v>Clear</v>
      </c>
      <c r="L481" s="13">
        <f t="shared" si="31"/>
        <v>1</v>
      </c>
    </row>
    <row r="482" spans="1:12" x14ac:dyDescent="0.35">
      <c r="A482" s="10">
        <v>481</v>
      </c>
      <c r="B482" s="11">
        <f>INDEX('Combined_Data'!B:B, MATCH(Derived_Data!A482, 'Combined_Data'!A:A, 0))</f>
        <v>40565</v>
      </c>
      <c r="C482" s="12" t="str">
        <f>INDEX('Combined_Data'!G:G, MATCH(A482, 'Combined_Data'!A:A, 0))</f>
        <v>Saturday</v>
      </c>
      <c r="D482" s="12" t="b">
        <f>INDEX('Combined_Data'!F:F, MATCH(A482, 'Combined_Data'!A:A, 0))</f>
        <v>0</v>
      </c>
      <c r="E482" s="12">
        <f>INDEX('Combined_Data'!O:O, MATCH(A482, 'Combined_Data'!A:A, 0))</f>
        <v>12</v>
      </c>
      <c r="F482" s="12">
        <f>INDEX('Combined_Data'!M:M, MATCH(A482, 'Combined_Data'!A:A, 0))</f>
        <v>3</v>
      </c>
      <c r="G482" s="12">
        <f>INDEX('Combined_Data'!N:N, MATCH(A482, 'Combined_Data'!A:A, 0))</f>
        <v>9</v>
      </c>
      <c r="H482" s="12" t="str">
        <f t="shared" si="28"/>
        <v>Weekend</v>
      </c>
      <c r="I482" s="12" t="str">
        <f t="shared" si="29"/>
        <v>Working Day</v>
      </c>
      <c r="J482" s="12" t="str">
        <f t="shared" si="30"/>
        <v>Low</v>
      </c>
      <c r="K482" s="12" t="str">
        <f>INDEX('Combined_Data'!H:H, MATCH(A482, 'Combined_Data'!A:A, 0))</f>
        <v>Mist</v>
      </c>
      <c r="L482" s="13">
        <f t="shared" si="31"/>
        <v>2</v>
      </c>
    </row>
    <row r="483" spans="1:12" x14ac:dyDescent="0.35">
      <c r="A483" s="10">
        <v>482</v>
      </c>
      <c r="B483" s="11">
        <f>INDEX('Combined_Data'!B:B, MATCH(Derived_Data!A483, 'Combined_Data'!A:A, 0))</f>
        <v>40565</v>
      </c>
      <c r="C483" s="12" t="str">
        <f>INDEX('Combined_Data'!G:G, MATCH(A483, 'Combined_Data'!A:A, 0))</f>
        <v>Saturday</v>
      </c>
      <c r="D483" s="12" t="b">
        <f>INDEX('Combined_Data'!F:F, MATCH(A483, 'Combined_Data'!A:A, 0))</f>
        <v>0</v>
      </c>
      <c r="E483" s="12">
        <f>INDEX('Combined_Data'!O:O, MATCH(A483, 'Combined_Data'!A:A, 0))</f>
        <v>11</v>
      </c>
      <c r="F483" s="12">
        <f>INDEX('Combined_Data'!M:M, MATCH(A483, 'Combined_Data'!A:A, 0))</f>
        <v>0</v>
      </c>
      <c r="G483" s="12">
        <f>INDEX('Combined_Data'!N:N, MATCH(A483, 'Combined_Data'!A:A, 0))</f>
        <v>11</v>
      </c>
      <c r="H483" s="12" t="str">
        <f t="shared" si="28"/>
        <v>Weekend</v>
      </c>
      <c r="I483" s="12" t="str">
        <f t="shared" si="29"/>
        <v>Working Day</v>
      </c>
      <c r="J483" s="12" t="str">
        <f t="shared" si="30"/>
        <v>Low</v>
      </c>
      <c r="K483" s="12" t="str">
        <f>INDEX('Combined_Data'!H:H, MATCH(A483, 'Combined_Data'!A:A, 0))</f>
        <v>Mist</v>
      </c>
      <c r="L483" s="13">
        <f t="shared" si="31"/>
        <v>2</v>
      </c>
    </row>
    <row r="484" spans="1:12" x14ac:dyDescent="0.35">
      <c r="A484" s="10">
        <v>483</v>
      </c>
      <c r="B484" s="11">
        <f>INDEX('Combined_Data'!B:B, MATCH(Derived_Data!A484, 'Combined_Data'!A:A, 0))</f>
        <v>40565</v>
      </c>
      <c r="C484" s="12" t="str">
        <f>INDEX('Combined_Data'!G:G, MATCH(A484, 'Combined_Data'!A:A, 0))</f>
        <v>Saturday</v>
      </c>
      <c r="D484" s="12" t="b">
        <f>INDEX('Combined_Data'!F:F, MATCH(A484, 'Combined_Data'!A:A, 0))</f>
        <v>0</v>
      </c>
      <c r="E484" s="12">
        <f>INDEX('Combined_Data'!O:O, MATCH(A484, 'Combined_Data'!A:A, 0))</f>
        <v>7</v>
      </c>
      <c r="F484" s="12">
        <f>INDEX('Combined_Data'!M:M, MATCH(A484, 'Combined_Data'!A:A, 0))</f>
        <v>1</v>
      </c>
      <c r="G484" s="12">
        <f>INDEX('Combined_Data'!N:N, MATCH(A484, 'Combined_Data'!A:A, 0))</f>
        <v>6</v>
      </c>
      <c r="H484" s="12" t="str">
        <f t="shared" si="28"/>
        <v>Weekend</v>
      </c>
      <c r="I484" s="12" t="str">
        <f t="shared" si="29"/>
        <v>Working Day</v>
      </c>
      <c r="J484" s="12" t="str">
        <f t="shared" si="30"/>
        <v>Low</v>
      </c>
      <c r="K484" s="12" t="str">
        <f>INDEX('Combined_Data'!H:H, MATCH(A484, 'Combined_Data'!A:A, 0))</f>
        <v>Mist</v>
      </c>
      <c r="L484" s="13">
        <f t="shared" si="31"/>
        <v>2</v>
      </c>
    </row>
    <row r="485" spans="1:12" x14ac:dyDescent="0.35">
      <c r="A485" s="10">
        <v>484</v>
      </c>
      <c r="B485" s="11">
        <f>INDEX('Combined_Data'!B:B, MATCH(Derived_Data!A485, 'Combined_Data'!A:A, 0))</f>
        <v>40565</v>
      </c>
      <c r="C485" s="12" t="str">
        <f>INDEX('Combined_Data'!G:G, MATCH(A485, 'Combined_Data'!A:A, 0))</f>
        <v>Saturday</v>
      </c>
      <c r="D485" s="12" t="b">
        <f>INDEX('Combined_Data'!F:F, MATCH(A485, 'Combined_Data'!A:A, 0))</f>
        <v>0</v>
      </c>
      <c r="E485" s="12">
        <f>INDEX('Combined_Data'!O:O, MATCH(A485, 'Combined_Data'!A:A, 0))</f>
        <v>3</v>
      </c>
      <c r="F485" s="12">
        <f>INDEX('Combined_Data'!M:M, MATCH(A485, 'Combined_Data'!A:A, 0))</f>
        <v>0</v>
      </c>
      <c r="G485" s="12">
        <f>INDEX('Combined_Data'!N:N, MATCH(A485, 'Combined_Data'!A:A, 0))</f>
        <v>3</v>
      </c>
      <c r="H485" s="12" t="str">
        <f t="shared" si="28"/>
        <v>Weekend</v>
      </c>
      <c r="I485" s="12" t="str">
        <f t="shared" si="29"/>
        <v>Working Day</v>
      </c>
      <c r="J485" s="12" t="str">
        <f t="shared" si="30"/>
        <v>Low</v>
      </c>
      <c r="K485" s="12" t="str">
        <f>INDEX('Combined_Data'!H:H, MATCH(A485, 'Combined_Data'!A:A, 0))</f>
        <v>Mist</v>
      </c>
      <c r="L485" s="13">
        <f t="shared" si="31"/>
        <v>2</v>
      </c>
    </row>
    <row r="486" spans="1:12" x14ac:dyDescent="0.35">
      <c r="A486" s="10">
        <v>485</v>
      </c>
      <c r="B486" s="11">
        <f>INDEX('Combined_Data'!B:B, MATCH(Derived_Data!A486, 'Combined_Data'!A:A, 0))</f>
        <v>40565</v>
      </c>
      <c r="C486" s="12" t="str">
        <f>INDEX('Combined_Data'!G:G, MATCH(A486, 'Combined_Data'!A:A, 0))</f>
        <v>Saturday</v>
      </c>
      <c r="D486" s="12" t="b">
        <f>INDEX('Combined_Data'!F:F, MATCH(A486, 'Combined_Data'!A:A, 0))</f>
        <v>0</v>
      </c>
      <c r="E486" s="12">
        <f>INDEX('Combined_Data'!O:O, MATCH(A486, 'Combined_Data'!A:A, 0))</f>
        <v>2</v>
      </c>
      <c r="F486" s="12">
        <f>INDEX('Combined_Data'!M:M, MATCH(A486, 'Combined_Data'!A:A, 0))</f>
        <v>0</v>
      </c>
      <c r="G486" s="12">
        <f>INDEX('Combined_Data'!N:N, MATCH(A486, 'Combined_Data'!A:A, 0))</f>
        <v>2</v>
      </c>
      <c r="H486" s="12" t="str">
        <f t="shared" si="28"/>
        <v>Weekend</v>
      </c>
      <c r="I486" s="12" t="str">
        <f t="shared" si="29"/>
        <v>Working Day</v>
      </c>
      <c r="J486" s="12" t="str">
        <f t="shared" si="30"/>
        <v>Low</v>
      </c>
      <c r="K486" s="12" t="str">
        <f>INDEX('Combined_Data'!H:H, MATCH(A486, 'Combined_Data'!A:A, 0))</f>
        <v>Mist</v>
      </c>
      <c r="L486" s="13">
        <f t="shared" si="31"/>
        <v>2</v>
      </c>
    </row>
    <row r="487" spans="1:12" x14ac:dyDescent="0.35">
      <c r="A487" s="10">
        <v>486</v>
      </c>
      <c r="B487" s="11">
        <f>INDEX('Combined_Data'!B:B, MATCH(Derived_Data!A487, 'Combined_Data'!A:A, 0))</f>
        <v>40565</v>
      </c>
      <c r="C487" s="12" t="str">
        <f>INDEX('Combined_Data'!G:G, MATCH(A487, 'Combined_Data'!A:A, 0))</f>
        <v>Saturday</v>
      </c>
      <c r="D487" s="12" t="b">
        <f>INDEX('Combined_Data'!F:F, MATCH(A487, 'Combined_Data'!A:A, 0))</f>
        <v>0</v>
      </c>
      <c r="E487" s="12">
        <f>INDEX('Combined_Data'!O:O, MATCH(A487, 'Combined_Data'!A:A, 0))</f>
        <v>8</v>
      </c>
      <c r="F487" s="12">
        <f>INDEX('Combined_Data'!M:M, MATCH(A487, 'Combined_Data'!A:A, 0))</f>
        <v>0</v>
      </c>
      <c r="G487" s="12">
        <f>INDEX('Combined_Data'!N:N, MATCH(A487, 'Combined_Data'!A:A, 0))</f>
        <v>8</v>
      </c>
      <c r="H487" s="12" t="str">
        <f t="shared" si="28"/>
        <v>Weekend</v>
      </c>
      <c r="I487" s="12" t="str">
        <f t="shared" si="29"/>
        <v>Working Day</v>
      </c>
      <c r="J487" s="12" t="str">
        <f t="shared" si="30"/>
        <v>Low</v>
      </c>
      <c r="K487" s="12" t="str">
        <f>INDEX('Combined_Data'!H:H, MATCH(A487, 'Combined_Data'!A:A, 0))</f>
        <v>Clear</v>
      </c>
      <c r="L487" s="13">
        <f t="shared" si="31"/>
        <v>1</v>
      </c>
    </row>
    <row r="488" spans="1:12" x14ac:dyDescent="0.35">
      <c r="A488" s="10">
        <v>487</v>
      </c>
      <c r="B488" s="11">
        <f>INDEX('Combined_Data'!B:B, MATCH(Derived_Data!A488, 'Combined_Data'!A:A, 0))</f>
        <v>40565</v>
      </c>
      <c r="C488" s="12" t="str">
        <f>INDEX('Combined_Data'!G:G, MATCH(A488, 'Combined_Data'!A:A, 0))</f>
        <v>Saturday</v>
      </c>
      <c r="D488" s="12" t="b">
        <f>INDEX('Combined_Data'!F:F, MATCH(A488, 'Combined_Data'!A:A, 0))</f>
        <v>0</v>
      </c>
      <c r="E488" s="12">
        <f>INDEX('Combined_Data'!O:O, MATCH(A488, 'Combined_Data'!A:A, 0))</f>
        <v>27</v>
      </c>
      <c r="F488" s="12">
        <f>INDEX('Combined_Data'!M:M, MATCH(A488, 'Combined_Data'!A:A, 0))</f>
        <v>1</v>
      </c>
      <c r="G488" s="12">
        <f>INDEX('Combined_Data'!N:N, MATCH(A488, 'Combined_Data'!A:A, 0))</f>
        <v>26</v>
      </c>
      <c r="H488" s="12" t="str">
        <f t="shared" si="28"/>
        <v>Weekend</v>
      </c>
      <c r="I488" s="12" t="str">
        <f t="shared" si="29"/>
        <v>Working Day</v>
      </c>
      <c r="J488" s="12" t="str">
        <f t="shared" si="30"/>
        <v>Low</v>
      </c>
      <c r="K488" s="12" t="str">
        <f>INDEX('Combined_Data'!H:H, MATCH(A488, 'Combined_Data'!A:A, 0))</f>
        <v>Clear</v>
      </c>
      <c r="L488" s="13">
        <f t="shared" si="31"/>
        <v>1</v>
      </c>
    </row>
    <row r="489" spans="1:12" x14ac:dyDescent="0.35">
      <c r="A489" s="10">
        <v>488</v>
      </c>
      <c r="B489" s="11">
        <f>INDEX('Combined_Data'!B:B, MATCH(Derived_Data!A489, 'Combined_Data'!A:A, 0))</f>
        <v>40565</v>
      </c>
      <c r="C489" s="12" t="str">
        <f>INDEX('Combined_Data'!G:G, MATCH(A489, 'Combined_Data'!A:A, 0))</f>
        <v>Saturday</v>
      </c>
      <c r="D489" s="12" t="b">
        <f>INDEX('Combined_Data'!F:F, MATCH(A489, 'Combined_Data'!A:A, 0))</f>
        <v>0</v>
      </c>
      <c r="E489" s="12">
        <f>INDEX('Combined_Data'!O:O, MATCH(A489, 'Combined_Data'!A:A, 0))</f>
        <v>40</v>
      </c>
      <c r="F489" s="12">
        <f>INDEX('Combined_Data'!M:M, MATCH(A489, 'Combined_Data'!A:A, 0))</f>
        <v>3</v>
      </c>
      <c r="G489" s="12">
        <f>INDEX('Combined_Data'!N:N, MATCH(A489, 'Combined_Data'!A:A, 0))</f>
        <v>37</v>
      </c>
      <c r="H489" s="12" t="str">
        <f t="shared" si="28"/>
        <v>Weekend</v>
      </c>
      <c r="I489" s="12" t="str">
        <f t="shared" si="29"/>
        <v>Working Day</v>
      </c>
      <c r="J489" s="12" t="str">
        <f t="shared" si="30"/>
        <v>Low</v>
      </c>
      <c r="K489" s="12" t="str">
        <f>INDEX('Combined_Data'!H:H, MATCH(A489, 'Combined_Data'!A:A, 0))</f>
        <v>Clear</v>
      </c>
      <c r="L489" s="13">
        <f t="shared" si="31"/>
        <v>1</v>
      </c>
    </row>
    <row r="490" spans="1:12" x14ac:dyDescent="0.35">
      <c r="A490" s="10">
        <v>489</v>
      </c>
      <c r="B490" s="11">
        <f>INDEX('Combined_Data'!B:B, MATCH(Derived_Data!A490, 'Combined_Data'!A:A, 0))</f>
        <v>40565</v>
      </c>
      <c r="C490" s="12" t="str">
        <f>INDEX('Combined_Data'!G:G, MATCH(A490, 'Combined_Data'!A:A, 0))</f>
        <v>Saturday</v>
      </c>
      <c r="D490" s="12" t="b">
        <f>INDEX('Combined_Data'!F:F, MATCH(A490, 'Combined_Data'!A:A, 0))</f>
        <v>0</v>
      </c>
      <c r="E490" s="12">
        <f>INDEX('Combined_Data'!O:O, MATCH(A490, 'Combined_Data'!A:A, 0))</f>
        <v>53</v>
      </c>
      <c r="F490" s="12">
        <f>INDEX('Combined_Data'!M:M, MATCH(A490, 'Combined_Data'!A:A, 0))</f>
        <v>3</v>
      </c>
      <c r="G490" s="12">
        <f>INDEX('Combined_Data'!N:N, MATCH(A490, 'Combined_Data'!A:A, 0))</f>
        <v>50</v>
      </c>
      <c r="H490" s="12" t="str">
        <f t="shared" si="28"/>
        <v>Weekend</v>
      </c>
      <c r="I490" s="12" t="str">
        <f t="shared" si="29"/>
        <v>Working Day</v>
      </c>
      <c r="J490" s="12" t="str">
        <f t="shared" si="30"/>
        <v>Low</v>
      </c>
      <c r="K490" s="12" t="str">
        <f>INDEX('Combined_Data'!H:H, MATCH(A490, 'Combined_Data'!A:A, 0))</f>
        <v>Mist</v>
      </c>
      <c r="L490" s="13">
        <f t="shared" si="31"/>
        <v>2</v>
      </c>
    </row>
    <row r="491" spans="1:12" x14ac:dyDescent="0.35">
      <c r="A491" s="10">
        <v>490</v>
      </c>
      <c r="B491" s="11">
        <f>INDEX('Combined_Data'!B:B, MATCH(Derived_Data!A491, 'Combined_Data'!A:A, 0))</f>
        <v>40565</v>
      </c>
      <c r="C491" s="12" t="str">
        <f>INDEX('Combined_Data'!G:G, MATCH(A491, 'Combined_Data'!A:A, 0))</f>
        <v>Saturday</v>
      </c>
      <c r="D491" s="12" t="b">
        <f>INDEX('Combined_Data'!F:F, MATCH(A491, 'Combined_Data'!A:A, 0))</f>
        <v>0</v>
      </c>
      <c r="E491" s="12">
        <f>INDEX('Combined_Data'!O:O, MATCH(A491, 'Combined_Data'!A:A, 0))</f>
        <v>63</v>
      </c>
      <c r="F491" s="12">
        <f>INDEX('Combined_Data'!M:M, MATCH(A491, 'Combined_Data'!A:A, 0))</f>
        <v>4</v>
      </c>
      <c r="G491" s="12">
        <f>INDEX('Combined_Data'!N:N, MATCH(A491, 'Combined_Data'!A:A, 0))</f>
        <v>59</v>
      </c>
      <c r="H491" s="12" t="str">
        <f t="shared" si="28"/>
        <v>Weekend</v>
      </c>
      <c r="I491" s="12" t="str">
        <f t="shared" si="29"/>
        <v>Working Day</v>
      </c>
      <c r="J491" s="12" t="str">
        <f t="shared" si="30"/>
        <v>Low</v>
      </c>
      <c r="K491" s="12" t="str">
        <f>INDEX('Combined_Data'!H:H, MATCH(A491, 'Combined_Data'!A:A, 0))</f>
        <v>Mist</v>
      </c>
      <c r="L491" s="13">
        <f t="shared" si="31"/>
        <v>2</v>
      </c>
    </row>
    <row r="492" spans="1:12" x14ac:dyDescent="0.35">
      <c r="A492" s="10">
        <v>491</v>
      </c>
      <c r="B492" s="11">
        <f>INDEX('Combined_Data'!B:B, MATCH(Derived_Data!A492, 'Combined_Data'!A:A, 0))</f>
        <v>40565</v>
      </c>
      <c r="C492" s="12" t="str">
        <f>INDEX('Combined_Data'!G:G, MATCH(A492, 'Combined_Data'!A:A, 0))</f>
        <v>Saturday</v>
      </c>
      <c r="D492" s="12" t="b">
        <f>INDEX('Combined_Data'!F:F, MATCH(A492, 'Combined_Data'!A:A, 0))</f>
        <v>0</v>
      </c>
      <c r="E492" s="12">
        <f>INDEX('Combined_Data'!O:O, MATCH(A492, 'Combined_Data'!A:A, 0))</f>
        <v>70</v>
      </c>
      <c r="F492" s="12">
        <f>INDEX('Combined_Data'!M:M, MATCH(A492, 'Combined_Data'!A:A, 0))</f>
        <v>10</v>
      </c>
      <c r="G492" s="12">
        <f>INDEX('Combined_Data'!N:N, MATCH(A492, 'Combined_Data'!A:A, 0))</f>
        <v>60</v>
      </c>
      <c r="H492" s="12" t="str">
        <f t="shared" si="28"/>
        <v>Weekend</v>
      </c>
      <c r="I492" s="12" t="str">
        <f t="shared" si="29"/>
        <v>Working Day</v>
      </c>
      <c r="J492" s="12" t="str">
        <f t="shared" si="30"/>
        <v>Low</v>
      </c>
      <c r="K492" s="12" t="str">
        <f>INDEX('Combined_Data'!H:H, MATCH(A492, 'Combined_Data'!A:A, 0))</f>
        <v>Mist</v>
      </c>
      <c r="L492" s="13">
        <f t="shared" si="31"/>
        <v>2</v>
      </c>
    </row>
    <row r="493" spans="1:12" x14ac:dyDescent="0.35">
      <c r="A493" s="10">
        <v>492</v>
      </c>
      <c r="B493" s="11">
        <f>INDEX('Combined_Data'!B:B, MATCH(Derived_Data!A493, 'Combined_Data'!A:A, 0))</f>
        <v>40565</v>
      </c>
      <c r="C493" s="12" t="str">
        <f>INDEX('Combined_Data'!G:G, MATCH(A493, 'Combined_Data'!A:A, 0))</f>
        <v>Saturday</v>
      </c>
      <c r="D493" s="12" t="b">
        <f>INDEX('Combined_Data'!F:F, MATCH(A493, 'Combined_Data'!A:A, 0))</f>
        <v>0</v>
      </c>
      <c r="E493" s="12">
        <f>INDEX('Combined_Data'!O:O, MATCH(A493, 'Combined_Data'!A:A, 0))</f>
        <v>84</v>
      </c>
      <c r="F493" s="12">
        <f>INDEX('Combined_Data'!M:M, MATCH(A493, 'Combined_Data'!A:A, 0))</f>
        <v>12</v>
      </c>
      <c r="G493" s="12">
        <f>INDEX('Combined_Data'!N:N, MATCH(A493, 'Combined_Data'!A:A, 0))</f>
        <v>72</v>
      </c>
      <c r="H493" s="12" t="str">
        <f t="shared" si="28"/>
        <v>Weekend</v>
      </c>
      <c r="I493" s="12" t="str">
        <f t="shared" si="29"/>
        <v>Working Day</v>
      </c>
      <c r="J493" s="12" t="str">
        <f t="shared" si="30"/>
        <v>Low</v>
      </c>
      <c r="K493" s="12" t="str">
        <f>INDEX('Combined_Data'!H:H, MATCH(A493, 'Combined_Data'!A:A, 0))</f>
        <v>Clear</v>
      </c>
      <c r="L493" s="13">
        <f t="shared" si="31"/>
        <v>1</v>
      </c>
    </row>
    <row r="494" spans="1:12" x14ac:dyDescent="0.35">
      <c r="A494" s="10">
        <v>493</v>
      </c>
      <c r="B494" s="11">
        <f>INDEX('Combined_Data'!B:B, MATCH(Derived_Data!A494, 'Combined_Data'!A:A, 0))</f>
        <v>40565</v>
      </c>
      <c r="C494" s="12" t="str">
        <f>INDEX('Combined_Data'!G:G, MATCH(A494, 'Combined_Data'!A:A, 0))</f>
        <v>Saturday</v>
      </c>
      <c r="D494" s="12" t="b">
        <f>INDEX('Combined_Data'!F:F, MATCH(A494, 'Combined_Data'!A:A, 0))</f>
        <v>0</v>
      </c>
      <c r="E494" s="12">
        <f>INDEX('Combined_Data'!O:O, MATCH(A494, 'Combined_Data'!A:A, 0))</f>
        <v>75</v>
      </c>
      <c r="F494" s="12">
        <f>INDEX('Combined_Data'!M:M, MATCH(A494, 'Combined_Data'!A:A, 0))</f>
        <v>11</v>
      </c>
      <c r="G494" s="12">
        <f>INDEX('Combined_Data'!N:N, MATCH(A494, 'Combined_Data'!A:A, 0))</f>
        <v>64</v>
      </c>
      <c r="H494" s="12" t="str">
        <f t="shared" si="28"/>
        <v>Weekend</v>
      </c>
      <c r="I494" s="12" t="str">
        <f t="shared" si="29"/>
        <v>Working Day</v>
      </c>
      <c r="J494" s="12" t="str">
        <f t="shared" si="30"/>
        <v>Low</v>
      </c>
      <c r="K494" s="12" t="str">
        <f>INDEX('Combined_Data'!H:H, MATCH(A494, 'Combined_Data'!A:A, 0))</f>
        <v>Clear</v>
      </c>
      <c r="L494" s="13">
        <f t="shared" si="31"/>
        <v>1</v>
      </c>
    </row>
    <row r="495" spans="1:12" x14ac:dyDescent="0.35">
      <c r="A495" s="10">
        <v>494</v>
      </c>
      <c r="B495" s="11">
        <f>INDEX('Combined_Data'!B:B, MATCH(Derived_Data!A495, 'Combined_Data'!A:A, 0))</f>
        <v>40565</v>
      </c>
      <c r="C495" s="12" t="str">
        <f>INDEX('Combined_Data'!G:G, MATCH(A495, 'Combined_Data'!A:A, 0))</f>
        <v>Saturday</v>
      </c>
      <c r="D495" s="12" t="b">
        <f>INDEX('Combined_Data'!F:F, MATCH(A495, 'Combined_Data'!A:A, 0))</f>
        <v>0</v>
      </c>
      <c r="E495" s="12">
        <f>INDEX('Combined_Data'!O:O, MATCH(A495, 'Combined_Data'!A:A, 0))</f>
        <v>103</v>
      </c>
      <c r="F495" s="12">
        <f>INDEX('Combined_Data'!M:M, MATCH(A495, 'Combined_Data'!A:A, 0))</f>
        <v>10</v>
      </c>
      <c r="G495" s="12">
        <f>INDEX('Combined_Data'!N:N, MATCH(A495, 'Combined_Data'!A:A, 0))</f>
        <v>93</v>
      </c>
      <c r="H495" s="12" t="str">
        <f t="shared" si="28"/>
        <v>Weekend</v>
      </c>
      <c r="I495" s="12" t="str">
        <f t="shared" si="29"/>
        <v>Working Day</v>
      </c>
      <c r="J495" s="12" t="str">
        <f t="shared" si="30"/>
        <v>Medium</v>
      </c>
      <c r="K495" s="12" t="str">
        <f>INDEX('Combined_Data'!H:H, MATCH(A495, 'Combined_Data'!A:A, 0))</f>
        <v>Clear</v>
      </c>
      <c r="L495" s="13">
        <f t="shared" si="31"/>
        <v>1</v>
      </c>
    </row>
    <row r="496" spans="1:12" x14ac:dyDescent="0.35">
      <c r="A496" s="10">
        <v>495</v>
      </c>
      <c r="B496" s="11">
        <f>INDEX('Combined_Data'!B:B, MATCH(Derived_Data!A496, 'Combined_Data'!A:A, 0))</f>
        <v>40565</v>
      </c>
      <c r="C496" s="12" t="str">
        <f>INDEX('Combined_Data'!G:G, MATCH(A496, 'Combined_Data'!A:A, 0))</f>
        <v>Saturday</v>
      </c>
      <c r="D496" s="12" t="b">
        <f>INDEX('Combined_Data'!F:F, MATCH(A496, 'Combined_Data'!A:A, 0))</f>
        <v>0</v>
      </c>
      <c r="E496" s="12">
        <f>INDEX('Combined_Data'!O:O, MATCH(A496, 'Combined_Data'!A:A, 0))</f>
        <v>83</v>
      </c>
      <c r="F496" s="12">
        <f>INDEX('Combined_Data'!M:M, MATCH(A496, 'Combined_Data'!A:A, 0))</f>
        <v>11</v>
      </c>
      <c r="G496" s="12">
        <f>INDEX('Combined_Data'!N:N, MATCH(A496, 'Combined_Data'!A:A, 0))</f>
        <v>72</v>
      </c>
      <c r="H496" s="12" t="str">
        <f t="shared" si="28"/>
        <v>Weekend</v>
      </c>
      <c r="I496" s="12" t="str">
        <f t="shared" si="29"/>
        <v>Working Day</v>
      </c>
      <c r="J496" s="12" t="str">
        <f t="shared" si="30"/>
        <v>Low</v>
      </c>
      <c r="K496" s="12" t="str">
        <f>INDEX('Combined_Data'!H:H, MATCH(A496, 'Combined_Data'!A:A, 0))</f>
        <v>Clear</v>
      </c>
      <c r="L496" s="13">
        <f t="shared" si="31"/>
        <v>1</v>
      </c>
    </row>
    <row r="497" spans="1:12" x14ac:dyDescent="0.35">
      <c r="A497" s="10">
        <v>496</v>
      </c>
      <c r="B497" s="11">
        <f>INDEX('Combined_Data'!B:B, MATCH(Derived_Data!A497, 'Combined_Data'!A:A, 0))</f>
        <v>40565</v>
      </c>
      <c r="C497" s="12" t="str">
        <f>INDEX('Combined_Data'!G:G, MATCH(A497, 'Combined_Data'!A:A, 0))</f>
        <v>Saturday</v>
      </c>
      <c r="D497" s="12" t="b">
        <f>INDEX('Combined_Data'!F:F, MATCH(A497, 'Combined_Data'!A:A, 0))</f>
        <v>0</v>
      </c>
      <c r="E497" s="12">
        <f>INDEX('Combined_Data'!O:O, MATCH(A497, 'Combined_Data'!A:A, 0))</f>
        <v>67</v>
      </c>
      <c r="F497" s="12">
        <f>INDEX('Combined_Data'!M:M, MATCH(A497, 'Combined_Data'!A:A, 0))</f>
        <v>8</v>
      </c>
      <c r="G497" s="12">
        <f>INDEX('Combined_Data'!N:N, MATCH(A497, 'Combined_Data'!A:A, 0))</f>
        <v>59</v>
      </c>
      <c r="H497" s="12" t="str">
        <f t="shared" si="28"/>
        <v>Weekend</v>
      </c>
      <c r="I497" s="12" t="str">
        <f t="shared" si="29"/>
        <v>Working Day</v>
      </c>
      <c r="J497" s="12" t="str">
        <f t="shared" si="30"/>
        <v>Low</v>
      </c>
      <c r="K497" s="12" t="str">
        <f>INDEX('Combined_Data'!H:H, MATCH(A497, 'Combined_Data'!A:A, 0))</f>
        <v>Clear</v>
      </c>
      <c r="L497" s="13">
        <f t="shared" si="31"/>
        <v>1</v>
      </c>
    </row>
    <row r="498" spans="1:12" x14ac:dyDescent="0.35">
      <c r="A498" s="10">
        <v>497</v>
      </c>
      <c r="B498" s="11">
        <f>INDEX('Combined_Data'!B:B, MATCH(Derived_Data!A498, 'Combined_Data'!A:A, 0))</f>
        <v>40565</v>
      </c>
      <c r="C498" s="12" t="str">
        <f>INDEX('Combined_Data'!G:G, MATCH(A498, 'Combined_Data'!A:A, 0))</f>
        <v>Saturday</v>
      </c>
      <c r="D498" s="12" t="b">
        <f>INDEX('Combined_Data'!F:F, MATCH(A498, 'Combined_Data'!A:A, 0))</f>
        <v>0</v>
      </c>
      <c r="E498" s="12">
        <f>INDEX('Combined_Data'!O:O, MATCH(A498, 'Combined_Data'!A:A, 0))</f>
        <v>54</v>
      </c>
      <c r="F498" s="12">
        <f>INDEX('Combined_Data'!M:M, MATCH(A498, 'Combined_Data'!A:A, 0))</f>
        <v>0</v>
      </c>
      <c r="G498" s="12">
        <f>INDEX('Combined_Data'!N:N, MATCH(A498, 'Combined_Data'!A:A, 0))</f>
        <v>54</v>
      </c>
      <c r="H498" s="12" t="str">
        <f t="shared" si="28"/>
        <v>Weekend</v>
      </c>
      <c r="I498" s="12" t="str">
        <f t="shared" si="29"/>
        <v>Working Day</v>
      </c>
      <c r="J498" s="12" t="str">
        <f t="shared" si="30"/>
        <v>Low</v>
      </c>
      <c r="K498" s="12" t="str">
        <f>INDEX('Combined_Data'!H:H, MATCH(A498, 'Combined_Data'!A:A, 0))</f>
        <v>Clear</v>
      </c>
      <c r="L498" s="13">
        <f t="shared" si="31"/>
        <v>1</v>
      </c>
    </row>
    <row r="499" spans="1:12" x14ac:dyDescent="0.35">
      <c r="A499" s="10">
        <v>498</v>
      </c>
      <c r="B499" s="11">
        <f>INDEX('Combined_Data'!B:B, MATCH(Derived_Data!A499, 'Combined_Data'!A:A, 0))</f>
        <v>40565</v>
      </c>
      <c r="C499" s="12" t="str">
        <f>INDEX('Combined_Data'!G:G, MATCH(A499, 'Combined_Data'!A:A, 0))</f>
        <v>Saturday</v>
      </c>
      <c r="D499" s="12" t="b">
        <f>INDEX('Combined_Data'!F:F, MATCH(A499, 'Combined_Data'!A:A, 0))</f>
        <v>0</v>
      </c>
      <c r="E499" s="12">
        <f>INDEX('Combined_Data'!O:O, MATCH(A499, 'Combined_Data'!A:A, 0))</f>
        <v>59</v>
      </c>
      <c r="F499" s="12">
        <f>INDEX('Combined_Data'!M:M, MATCH(A499, 'Combined_Data'!A:A, 0))</f>
        <v>6</v>
      </c>
      <c r="G499" s="12">
        <f>INDEX('Combined_Data'!N:N, MATCH(A499, 'Combined_Data'!A:A, 0))</f>
        <v>53</v>
      </c>
      <c r="H499" s="12" t="str">
        <f t="shared" si="28"/>
        <v>Weekend</v>
      </c>
      <c r="I499" s="12" t="str">
        <f t="shared" si="29"/>
        <v>Working Day</v>
      </c>
      <c r="J499" s="12" t="str">
        <f t="shared" si="30"/>
        <v>Low</v>
      </c>
      <c r="K499" s="12" t="str">
        <f>INDEX('Combined_Data'!H:H, MATCH(A499, 'Combined_Data'!A:A, 0))</f>
        <v>Clear</v>
      </c>
      <c r="L499" s="13">
        <f t="shared" si="31"/>
        <v>1</v>
      </c>
    </row>
    <row r="500" spans="1:12" x14ac:dyDescent="0.35">
      <c r="A500" s="10">
        <v>499</v>
      </c>
      <c r="B500" s="11">
        <f>INDEX('Combined_Data'!B:B, MATCH(Derived_Data!A500, 'Combined_Data'!A:A, 0))</f>
        <v>40565</v>
      </c>
      <c r="C500" s="12" t="str">
        <f>INDEX('Combined_Data'!G:G, MATCH(A500, 'Combined_Data'!A:A, 0))</f>
        <v>Saturday</v>
      </c>
      <c r="D500" s="12" t="b">
        <f>INDEX('Combined_Data'!F:F, MATCH(A500, 'Combined_Data'!A:A, 0))</f>
        <v>0</v>
      </c>
      <c r="E500" s="12">
        <f>INDEX('Combined_Data'!O:O, MATCH(A500, 'Combined_Data'!A:A, 0))</f>
        <v>45</v>
      </c>
      <c r="F500" s="12">
        <f>INDEX('Combined_Data'!M:M, MATCH(A500, 'Combined_Data'!A:A, 0))</f>
        <v>1</v>
      </c>
      <c r="G500" s="12">
        <f>INDEX('Combined_Data'!N:N, MATCH(A500, 'Combined_Data'!A:A, 0))</f>
        <v>44</v>
      </c>
      <c r="H500" s="12" t="str">
        <f t="shared" si="28"/>
        <v>Weekend</v>
      </c>
      <c r="I500" s="12" t="str">
        <f t="shared" si="29"/>
        <v>Working Day</v>
      </c>
      <c r="J500" s="12" t="str">
        <f t="shared" si="30"/>
        <v>Low</v>
      </c>
      <c r="K500" s="12" t="str">
        <f>INDEX('Combined_Data'!H:H, MATCH(A500, 'Combined_Data'!A:A, 0))</f>
        <v>Clear</v>
      </c>
      <c r="L500" s="13">
        <f t="shared" si="31"/>
        <v>1</v>
      </c>
    </row>
    <row r="501" spans="1:12" x14ac:dyDescent="0.35">
      <c r="A501" s="10">
        <v>500</v>
      </c>
      <c r="B501" s="11">
        <f>INDEX('Combined_Data'!B:B, MATCH(Derived_Data!A501, 'Combined_Data'!A:A, 0))</f>
        <v>40565</v>
      </c>
      <c r="C501" s="12" t="str">
        <f>INDEX('Combined_Data'!G:G, MATCH(A501, 'Combined_Data'!A:A, 0))</f>
        <v>Saturday</v>
      </c>
      <c r="D501" s="12" t="b">
        <f>INDEX('Combined_Data'!F:F, MATCH(A501, 'Combined_Data'!A:A, 0))</f>
        <v>0</v>
      </c>
      <c r="E501" s="12">
        <f>INDEX('Combined_Data'!O:O, MATCH(A501, 'Combined_Data'!A:A, 0))</f>
        <v>39</v>
      </c>
      <c r="F501" s="12">
        <f>INDEX('Combined_Data'!M:M, MATCH(A501, 'Combined_Data'!A:A, 0))</f>
        <v>0</v>
      </c>
      <c r="G501" s="12">
        <f>INDEX('Combined_Data'!N:N, MATCH(A501, 'Combined_Data'!A:A, 0))</f>
        <v>39</v>
      </c>
      <c r="H501" s="12" t="str">
        <f t="shared" si="28"/>
        <v>Weekend</v>
      </c>
      <c r="I501" s="12" t="str">
        <f t="shared" si="29"/>
        <v>Working Day</v>
      </c>
      <c r="J501" s="12" t="str">
        <f t="shared" si="30"/>
        <v>Low</v>
      </c>
      <c r="K501" s="12" t="str">
        <f>INDEX('Combined_Data'!H:H, MATCH(A501, 'Combined_Data'!A:A, 0))</f>
        <v>Clear</v>
      </c>
      <c r="L501" s="13">
        <f t="shared" si="31"/>
        <v>1</v>
      </c>
    </row>
    <row r="502" spans="1:12" x14ac:dyDescent="0.35">
      <c r="A502" s="10">
        <v>501</v>
      </c>
      <c r="B502" s="11">
        <f>INDEX('Combined_Data'!B:B, MATCH(Derived_Data!A502, 'Combined_Data'!A:A, 0))</f>
        <v>40565</v>
      </c>
      <c r="C502" s="12" t="str">
        <f>INDEX('Combined_Data'!G:G, MATCH(A502, 'Combined_Data'!A:A, 0))</f>
        <v>Saturday</v>
      </c>
      <c r="D502" s="12" t="b">
        <f>INDEX('Combined_Data'!F:F, MATCH(A502, 'Combined_Data'!A:A, 0))</f>
        <v>0</v>
      </c>
      <c r="E502" s="12">
        <f>INDEX('Combined_Data'!O:O, MATCH(A502, 'Combined_Data'!A:A, 0))</f>
        <v>30</v>
      </c>
      <c r="F502" s="12">
        <f>INDEX('Combined_Data'!M:M, MATCH(A502, 'Combined_Data'!A:A, 0))</f>
        <v>7</v>
      </c>
      <c r="G502" s="12">
        <f>INDEX('Combined_Data'!N:N, MATCH(A502, 'Combined_Data'!A:A, 0))</f>
        <v>23</v>
      </c>
      <c r="H502" s="12" t="str">
        <f t="shared" si="28"/>
        <v>Weekend</v>
      </c>
      <c r="I502" s="12" t="str">
        <f t="shared" si="29"/>
        <v>Working Day</v>
      </c>
      <c r="J502" s="12" t="str">
        <f t="shared" si="30"/>
        <v>Low</v>
      </c>
      <c r="K502" s="12" t="str">
        <f>INDEX('Combined_Data'!H:H, MATCH(A502, 'Combined_Data'!A:A, 0))</f>
        <v>Clear</v>
      </c>
      <c r="L502" s="13">
        <f t="shared" si="31"/>
        <v>1</v>
      </c>
    </row>
    <row r="503" spans="1:12" x14ac:dyDescent="0.35">
      <c r="A503" s="10">
        <v>502</v>
      </c>
      <c r="B503" s="11">
        <f>INDEX('Combined_Data'!B:B, MATCH(Derived_Data!A503, 'Combined_Data'!A:A, 0))</f>
        <v>40565</v>
      </c>
      <c r="C503" s="12" t="str">
        <f>INDEX('Combined_Data'!G:G, MATCH(A503, 'Combined_Data'!A:A, 0))</f>
        <v>Saturday</v>
      </c>
      <c r="D503" s="12" t="b">
        <f>INDEX('Combined_Data'!F:F, MATCH(A503, 'Combined_Data'!A:A, 0))</f>
        <v>0</v>
      </c>
      <c r="E503" s="12">
        <f>INDEX('Combined_Data'!O:O, MATCH(A503, 'Combined_Data'!A:A, 0))</f>
        <v>33</v>
      </c>
      <c r="F503" s="12">
        <f>INDEX('Combined_Data'!M:M, MATCH(A503, 'Combined_Data'!A:A, 0))</f>
        <v>2</v>
      </c>
      <c r="G503" s="12">
        <f>INDEX('Combined_Data'!N:N, MATCH(A503, 'Combined_Data'!A:A, 0))</f>
        <v>31</v>
      </c>
      <c r="H503" s="12" t="str">
        <f t="shared" si="28"/>
        <v>Weekend</v>
      </c>
      <c r="I503" s="12" t="str">
        <f t="shared" si="29"/>
        <v>Working Day</v>
      </c>
      <c r="J503" s="12" t="str">
        <f t="shared" si="30"/>
        <v>Low</v>
      </c>
      <c r="K503" s="12" t="str">
        <f>INDEX('Combined_Data'!H:H, MATCH(A503, 'Combined_Data'!A:A, 0))</f>
        <v>Clear</v>
      </c>
      <c r="L503" s="13">
        <f t="shared" si="31"/>
        <v>1</v>
      </c>
    </row>
    <row r="504" spans="1:12" x14ac:dyDescent="0.35">
      <c r="A504" s="10">
        <v>503</v>
      </c>
      <c r="B504" s="11">
        <f>INDEX('Combined_Data'!B:B, MATCH(Derived_Data!A504, 'Combined_Data'!A:A, 0))</f>
        <v>40566</v>
      </c>
      <c r="C504" s="12" t="str">
        <f>INDEX('Combined_Data'!G:G, MATCH(A504, 'Combined_Data'!A:A, 0))</f>
        <v>Sunday</v>
      </c>
      <c r="D504" s="12" t="b">
        <f>INDEX('Combined_Data'!F:F, MATCH(A504, 'Combined_Data'!A:A, 0))</f>
        <v>0</v>
      </c>
      <c r="E504" s="12">
        <f>INDEX('Combined_Data'!O:O, MATCH(A504, 'Combined_Data'!A:A, 0))</f>
        <v>22</v>
      </c>
      <c r="F504" s="12">
        <f>INDEX('Combined_Data'!M:M, MATCH(A504, 'Combined_Data'!A:A, 0))</f>
        <v>2</v>
      </c>
      <c r="G504" s="12">
        <f>INDEX('Combined_Data'!N:N, MATCH(A504, 'Combined_Data'!A:A, 0))</f>
        <v>20</v>
      </c>
      <c r="H504" s="12" t="str">
        <f t="shared" si="28"/>
        <v>Weekend</v>
      </c>
      <c r="I504" s="12" t="str">
        <f t="shared" si="29"/>
        <v>Working Day</v>
      </c>
      <c r="J504" s="12" t="str">
        <f t="shared" si="30"/>
        <v>Low</v>
      </c>
      <c r="K504" s="12" t="str">
        <f>INDEX('Combined_Data'!H:H, MATCH(A504, 'Combined_Data'!A:A, 0))</f>
        <v>Clear</v>
      </c>
      <c r="L504" s="13">
        <f t="shared" si="31"/>
        <v>1</v>
      </c>
    </row>
    <row r="505" spans="1:12" x14ac:dyDescent="0.35">
      <c r="A505" s="10">
        <v>504</v>
      </c>
      <c r="B505" s="11">
        <f>INDEX('Combined_Data'!B:B, MATCH(Derived_Data!A505, 'Combined_Data'!A:A, 0))</f>
        <v>40566</v>
      </c>
      <c r="C505" s="12" t="str">
        <f>INDEX('Combined_Data'!G:G, MATCH(A505, 'Combined_Data'!A:A, 0))</f>
        <v>Sunday</v>
      </c>
      <c r="D505" s="12" t="b">
        <f>INDEX('Combined_Data'!F:F, MATCH(A505, 'Combined_Data'!A:A, 0))</f>
        <v>0</v>
      </c>
      <c r="E505" s="12">
        <f>INDEX('Combined_Data'!O:O, MATCH(A505, 'Combined_Data'!A:A, 0))</f>
        <v>13</v>
      </c>
      <c r="F505" s="12">
        <f>INDEX('Combined_Data'!M:M, MATCH(A505, 'Combined_Data'!A:A, 0))</f>
        <v>1</v>
      </c>
      <c r="G505" s="12">
        <f>INDEX('Combined_Data'!N:N, MATCH(A505, 'Combined_Data'!A:A, 0))</f>
        <v>12</v>
      </c>
      <c r="H505" s="12" t="str">
        <f t="shared" si="28"/>
        <v>Weekend</v>
      </c>
      <c r="I505" s="12" t="str">
        <f t="shared" si="29"/>
        <v>Working Day</v>
      </c>
      <c r="J505" s="12" t="str">
        <f t="shared" si="30"/>
        <v>Low</v>
      </c>
      <c r="K505" s="12" t="str">
        <f>INDEX('Combined_Data'!H:H, MATCH(A505, 'Combined_Data'!A:A, 0))</f>
        <v>Clear</v>
      </c>
      <c r="L505" s="13">
        <f t="shared" si="31"/>
        <v>1</v>
      </c>
    </row>
    <row r="506" spans="1:12" x14ac:dyDescent="0.35">
      <c r="A506" s="10">
        <v>505</v>
      </c>
      <c r="B506" s="11">
        <f>INDEX('Combined_Data'!B:B, MATCH(Derived_Data!A506, 'Combined_Data'!A:A, 0))</f>
        <v>40566</v>
      </c>
      <c r="C506" s="12" t="str">
        <f>INDEX('Combined_Data'!G:G, MATCH(A506, 'Combined_Data'!A:A, 0))</f>
        <v>Sunday</v>
      </c>
      <c r="D506" s="12" t="b">
        <f>INDEX('Combined_Data'!F:F, MATCH(A506, 'Combined_Data'!A:A, 0))</f>
        <v>0</v>
      </c>
      <c r="E506" s="12">
        <f>INDEX('Combined_Data'!O:O, MATCH(A506, 'Combined_Data'!A:A, 0))</f>
        <v>18</v>
      </c>
      <c r="F506" s="12">
        <f>INDEX('Combined_Data'!M:M, MATCH(A506, 'Combined_Data'!A:A, 0))</f>
        <v>3</v>
      </c>
      <c r="G506" s="12">
        <f>INDEX('Combined_Data'!N:N, MATCH(A506, 'Combined_Data'!A:A, 0))</f>
        <v>15</v>
      </c>
      <c r="H506" s="12" t="str">
        <f t="shared" si="28"/>
        <v>Weekend</v>
      </c>
      <c r="I506" s="12" t="str">
        <f t="shared" si="29"/>
        <v>Working Day</v>
      </c>
      <c r="J506" s="12" t="str">
        <f t="shared" si="30"/>
        <v>Low</v>
      </c>
      <c r="K506" s="12" t="str">
        <f>INDEX('Combined_Data'!H:H, MATCH(A506, 'Combined_Data'!A:A, 0))</f>
        <v>Clear</v>
      </c>
      <c r="L506" s="13">
        <f t="shared" si="31"/>
        <v>1</v>
      </c>
    </row>
    <row r="507" spans="1:12" x14ac:dyDescent="0.35">
      <c r="A507" s="10">
        <v>506</v>
      </c>
      <c r="B507" s="11">
        <f>INDEX('Combined_Data'!B:B, MATCH(Derived_Data!A507, 'Combined_Data'!A:A, 0))</f>
        <v>40566</v>
      </c>
      <c r="C507" s="12" t="str">
        <f>INDEX('Combined_Data'!G:G, MATCH(A507, 'Combined_Data'!A:A, 0))</f>
        <v>Sunday</v>
      </c>
      <c r="D507" s="12" t="b">
        <f>INDEX('Combined_Data'!F:F, MATCH(A507, 'Combined_Data'!A:A, 0))</f>
        <v>0</v>
      </c>
      <c r="E507" s="12">
        <f>INDEX('Combined_Data'!O:O, MATCH(A507, 'Combined_Data'!A:A, 0))</f>
        <v>5</v>
      </c>
      <c r="F507" s="12">
        <f>INDEX('Combined_Data'!M:M, MATCH(A507, 'Combined_Data'!A:A, 0))</f>
        <v>1</v>
      </c>
      <c r="G507" s="12">
        <f>INDEX('Combined_Data'!N:N, MATCH(A507, 'Combined_Data'!A:A, 0))</f>
        <v>4</v>
      </c>
      <c r="H507" s="12" t="str">
        <f t="shared" si="28"/>
        <v>Weekend</v>
      </c>
      <c r="I507" s="12" t="str">
        <f t="shared" si="29"/>
        <v>Working Day</v>
      </c>
      <c r="J507" s="12" t="str">
        <f t="shared" si="30"/>
        <v>Low</v>
      </c>
      <c r="K507" s="12" t="str">
        <f>INDEX('Combined_Data'!H:H, MATCH(A507, 'Combined_Data'!A:A, 0))</f>
        <v>Clear</v>
      </c>
      <c r="L507" s="13">
        <f t="shared" si="31"/>
        <v>1</v>
      </c>
    </row>
    <row r="508" spans="1:12" x14ac:dyDescent="0.35">
      <c r="A508" s="10">
        <v>507</v>
      </c>
      <c r="B508" s="11">
        <f>INDEX('Combined_Data'!B:B, MATCH(Derived_Data!A508, 'Combined_Data'!A:A, 0))</f>
        <v>40566</v>
      </c>
      <c r="C508" s="12" t="str">
        <f>INDEX('Combined_Data'!G:G, MATCH(A508, 'Combined_Data'!A:A, 0))</f>
        <v>Sunday</v>
      </c>
      <c r="D508" s="12" t="b">
        <f>INDEX('Combined_Data'!F:F, MATCH(A508, 'Combined_Data'!A:A, 0))</f>
        <v>0</v>
      </c>
      <c r="E508" s="12">
        <f>INDEX('Combined_Data'!O:O, MATCH(A508, 'Combined_Data'!A:A, 0))</f>
        <v>3</v>
      </c>
      <c r="F508" s="12">
        <f>INDEX('Combined_Data'!M:M, MATCH(A508, 'Combined_Data'!A:A, 0))</f>
        <v>0</v>
      </c>
      <c r="G508" s="12">
        <f>INDEX('Combined_Data'!N:N, MATCH(A508, 'Combined_Data'!A:A, 0))</f>
        <v>3</v>
      </c>
      <c r="H508" s="12" t="str">
        <f t="shared" si="28"/>
        <v>Weekend</v>
      </c>
      <c r="I508" s="12" t="str">
        <f t="shared" si="29"/>
        <v>Working Day</v>
      </c>
      <c r="J508" s="12" t="str">
        <f t="shared" si="30"/>
        <v>Low</v>
      </c>
      <c r="K508" s="12" t="str">
        <f>INDEX('Combined_Data'!H:H, MATCH(A508, 'Combined_Data'!A:A, 0))</f>
        <v>Mist</v>
      </c>
      <c r="L508" s="13">
        <f t="shared" si="31"/>
        <v>2</v>
      </c>
    </row>
    <row r="509" spans="1:12" x14ac:dyDescent="0.35">
      <c r="A509" s="10">
        <v>508</v>
      </c>
      <c r="B509" s="11">
        <f>INDEX('Combined_Data'!B:B, MATCH(Derived_Data!A509, 'Combined_Data'!A:A, 0))</f>
        <v>40566</v>
      </c>
      <c r="C509" s="12" t="str">
        <f>INDEX('Combined_Data'!G:G, MATCH(A509, 'Combined_Data'!A:A, 0))</f>
        <v>Sunday</v>
      </c>
      <c r="D509" s="12" t="b">
        <f>INDEX('Combined_Data'!F:F, MATCH(A509, 'Combined_Data'!A:A, 0))</f>
        <v>0</v>
      </c>
      <c r="E509" s="12">
        <f>INDEX('Combined_Data'!O:O, MATCH(A509, 'Combined_Data'!A:A, 0))</f>
        <v>1</v>
      </c>
      <c r="F509" s="12">
        <f>INDEX('Combined_Data'!M:M, MATCH(A509, 'Combined_Data'!A:A, 0))</f>
        <v>0</v>
      </c>
      <c r="G509" s="12">
        <f>INDEX('Combined_Data'!N:N, MATCH(A509, 'Combined_Data'!A:A, 0))</f>
        <v>1</v>
      </c>
      <c r="H509" s="12" t="str">
        <f t="shared" si="28"/>
        <v>Weekend</v>
      </c>
      <c r="I509" s="12" t="str">
        <f t="shared" si="29"/>
        <v>Working Day</v>
      </c>
      <c r="J509" s="12" t="str">
        <f t="shared" si="30"/>
        <v>Low</v>
      </c>
      <c r="K509" s="12" t="str">
        <f>INDEX('Combined_Data'!H:H, MATCH(A509, 'Combined_Data'!A:A, 0))</f>
        <v>Mist</v>
      </c>
      <c r="L509" s="13">
        <f t="shared" si="31"/>
        <v>2</v>
      </c>
    </row>
    <row r="510" spans="1:12" x14ac:dyDescent="0.35">
      <c r="A510" s="10">
        <v>509</v>
      </c>
      <c r="B510" s="11">
        <f>INDEX('Combined_Data'!B:B, MATCH(Derived_Data!A510, 'Combined_Data'!A:A, 0))</f>
        <v>40566</v>
      </c>
      <c r="C510" s="12" t="str">
        <f>INDEX('Combined_Data'!G:G, MATCH(A510, 'Combined_Data'!A:A, 0))</f>
        <v>Sunday</v>
      </c>
      <c r="D510" s="12" t="b">
        <f>INDEX('Combined_Data'!F:F, MATCH(A510, 'Combined_Data'!A:A, 0))</f>
        <v>0</v>
      </c>
      <c r="E510" s="12">
        <f>INDEX('Combined_Data'!O:O, MATCH(A510, 'Combined_Data'!A:A, 0))</f>
        <v>2</v>
      </c>
      <c r="F510" s="12">
        <f>INDEX('Combined_Data'!M:M, MATCH(A510, 'Combined_Data'!A:A, 0))</f>
        <v>1</v>
      </c>
      <c r="G510" s="12">
        <f>INDEX('Combined_Data'!N:N, MATCH(A510, 'Combined_Data'!A:A, 0))</f>
        <v>1</v>
      </c>
      <c r="H510" s="12" t="str">
        <f t="shared" si="28"/>
        <v>Weekend</v>
      </c>
      <c r="I510" s="12" t="str">
        <f t="shared" si="29"/>
        <v>Working Day</v>
      </c>
      <c r="J510" s="12" t="str">
        <f t="shared" si="30"/>
        <v>Low</v>
      </c>
      <c r="K510" s="12" t="str">
        <f>INDEX('Combined_Data'!H:H, MATCH(A510, 'Combined_Data'!A:A, 0))</f>
        <v>Clear</v>
      </c>
      <c r="L510" s="13">
        <f t="shared" si="31"/>
        <v>1</v>
      </c>
    </row>
    <row r="511" spans="1:12" x14ac:dyDescent="0.35">
      <c r="A511" s="10">
        <v>510</v>
      </c>
      <c r="B511" s="11">
        <f>INDEX('Combined_Data'!B:B, MATCH(Derived_Data!A511, 'Combined_Data'!A:A, 0))</f>
        <v>40566</v>
      </c>
      <c r="C511" s="12" t="str">
        <f>INDEX('Combined_Data'!G:G, MATCH(A511, 'Combined_Data'!A:A, 0))</f>
        <v>Sunday</v>
      </c>
      <c r="D511" s="12" t="b">
        <f>INDEX('Combined_Data'!F:F, MATCH(A511, 'Combined_Data'!A:A, 0))</f>
        <v>0</v>
      </c>
      <c r="E511" s="12">
        <f>INDEX('Combined_Data'!O:O, MATCH(A511, 'Combined_Data'!A:A, 0))</f>
        <v>19</v>
      </c>
      <c r="F511" s="12">
        <f>INDEX('Combined_Data'!M:M, MATCH(A511, 'Combined_Data'!A:A, 0))</f>
        <v>2</v>
      </c>
      <c r="G511" s="12">
        <f>INDEX('Combined_Data'!N:N, MATCH(A511, 'Combined_Data'!A:A, 0))</f>
        <v>17</v>
      </c>
      <c r="H511" s="12" t="str">
        <f t="shared" si="28"/>
        <v>Weekend</v>
      </c>
      <c r="I511" s="12" t="str">
        <f t="shared" si="29"/>
        <v>Working Day</v>
      </c>
      <c r="J511" s="12" t="str">
        <f t="shared" si="30"/>
        <v>Low</v>
      </c>
      <c r="K511" s="12" t="str">
        <f>INDEX('Combined_Data'!H:H, MATCH(A511, 'Combined_Data'!A:A, 0))</f>
        <v>Clear</v>
      </c>
      <c r="L511" s="13">
        <f t="shared" si="31"/>
        <v>1</v>
      </c>
    </row>
    <row r="512" spans="1:12" x14ac:dyDescent="0.35">
      <c r="A512" s="10">
        <v>511</v>
      </c>
      <c r="B512" s="11">
        <f>INDEX('Combined_Data'!B:B, MATCH(Derived_Data!A512, 'Combined_Data'!A:A, 0))</f>
        <v>40566</v>
      </c>
      <c r="C512" s="12" t="str">
        <f>INDEX('Combined_Data'!G:G, MATCH(A512, 'Combined_Data'!A:A, 0))</f>
        <v>Sunday</v>
      </c>
      <c r="D512" s="12" t="b">
        <f>INDEX('Combined_Data'!F:F, MATCH(A512, 'Combined_Data'!A:A, 0))</f>
        <v>0</v>
      </c>
      <c r="E512" s="12">
        <f>INDEX('Combined_Data'!O:O, MATCH(A512, 'Combined_Data'!A:A, 0))</f>
        <v>28</v>
      </c>
      <c r="F512" s="12">
        <f>INDEX('Combined_Data'!M:M, MATCH(A512, 'Combined_Data'!A:A, 0))</f>
        <v>3</v>
      </c>
      <c r="G512" s="12">
        <f>INDEX('Combined_Data'!N:N, MATCH(A512, 'Combined_Data'!A:A, 0))</f>
        <v>25</v>
      </c>
      <c r="H512" s="12" t="str">
        <f t="shared" si="28"/>
        <v>Weekend</v>
      </c>
      <c r="I512" s="12" t="str">
        <f t="shared" si="29"/>
        <v>Working Day</v>
      </c>
      <c r="J512" s="12" t="str">
        <f t="shared" si="30"/>
        <v>Low</v>
      </c>
      <c r="K512" s="12" t="str">
        <f>INDEX('Combined_Data'!H:H, MATCH(A512, 'Combined_Data'!A:A, 0))</f>
        <v>Clear</v>
      </c>
      <c r="L512" s="13">
        <f t="shared" si="31"/>
        <v>1</v>
      </c>
    </row>
    <row r="513" spans="1:12" x14ac:dyDescent="0.35">
      <c r="A513" s="10">
        <v>512</v>
      </c>
      <c r="B513" s="11">
        <f>INDEX('Combined_Data'!B:B, MATCH(Derived_Data!A513, 'Combined_Data'!A:A, 0))</f>
        <v>40566</v>
      </c>
      <c r="C513" s="12" t="str">
        <f>INDEX('Combined_Data'!G:G, MATCH(A513, 'Combined_Data'!A:A, 0))</f>
        <v>Sunday</v>
      </c>
      <c r="D513" s="12" t="b">
        <f>INDEX('Combined_Data'!F:F, MATCH(A513, 'Combined_Data'!A:A, 0))</f>
        <v>0</v>
      </c>
      <c r="E513" s="12">
        <f>INDEX('Combined_Data'!O:O, MATCH(A513, 'Combined_Data'!A:A, 0))</f>
        <v>58</v>
      </c>
      <c r="F513" s="12">
        <f>INDEX('Combined_Data'!M:M, MATCH(A513, 'Combined_Data'!A:A, 0))</f>
        <v>7</v>
      </c>
      <c r="G513" s="12">
        <f>INDEX('Combined_Data'!N:N, MATCH(A513, 'Combined_Data'!A:A, 0))</f>
        <v>51</v>
      </c>
      <c r="H513" s="12" t="str">
        <f t="shared" si="28"/>
        <v>Weekend</v>
      </c>
      <c r="I513" s="12" t="str">
        <f t="shared" si="29"/>
        <v>Working Day</v>
      </c>
      <c r="J513" s="12" t="str">
        <f t="shared" si="30"/>
        <v>Low</v>
      </c>
      <c r="K513" s="12" t="str">
        <f>INDEX('Combined_Data'!H:H, MATCH(A513, 'Combined_Data'!A:A, 0))</f>
        <v>Clear</v>
      </c>
      <c r="L513" s="13">
        <f t="shared" si="31"/>
        <v>1</v>
      </c>
    </row>
    <row r="514" spans="1:12" x14ac:dyDescent="0.35">
      <c r="A514" s="10">
        <v>513</v>
      </c>
      <c r="B514" s="11">
        <f>INDEX('Combined_Data'!B:B, MATCH(Derived_Data!A514, 'Combined_Data'!A:A, 0))</f>
        <v>40566</v>
      </c>
      <c r="C514" s="12" t="str">
        <f>INDEX('Combined_Data'!G:G, MATCH(A514, 'Combined_Data'!A:A, 0))</f>
        <v>Sunday</v>
      </c>
      <c r="D514" s="12" t="b">
        <f>INDEX('Combined_Data'!F:F, MATCH(A514, 'Combined_Data'!A:A, 0))</f>
        <v>0</v>
      </c>
      <c r="E514" s="12">
        <f>INDEX('Combined_Data'!O:O, MATCH(A514, 'Combined_Data'!A:A, 0))</f>
        <v>99</v>
      </c>
      <c r="F514" s="12">
        <f>INDEX('Combined_Data'!M:M, MATCH(A514, 'Combined_Data'!A:A, 0))</f>
        <v>22</v>
      </c>
      <c r="G514" s="12">
        <f>INDEX('Combined_Data'!N:N, MATCH(A514, 'Combined_Data'!A:A, 0))</f>
        <v>77</v>
      </c>
      <c r="H514" s="12" t="str">
        <f t="shared" si="28"/>
        <v>Weekend</v>
      </c>
      <c r="I514" s="12" t="str">
        <f t="shared" si="29"/>
        <v>Working Day</v>
      </c>
      <c r="J514" s="12" t="str">
        <f t="shared" si="30"/>
        <v>Low</v>
      </c>
      <c r="K514" s="12" t="str">
        <f>INDEX('Combined_Data'!H:H, MATCH(A514, 'Combined_Data'!A:A, 0))</f>
        <v>Clear</v>
      </c>
      <c r="L514" s="13">
        <f t="shared" si="31"/>
        <v>1</v>
      </c>
    </row>
    <row r="515" spans="1:12" x14ac:dyDescent="0.35">
      <c r="A515" s="10">
        <v>514</v>
      </c>
      <c r="B515" s="11">
        <f>INDEX('Combined_Data'!B:B, MATCH(Derived_Data!A515, 'Combined_Data'!A:A, 0))</f>
        <v>40566</v>
      </c>
      <c r="C515" s="12" t="str">
        <f>INDEX('Combined_Data'!G:G, MATCH(A515, 'Combined_Data'!A:A, 0))</f>
        <v>Sunday</v>
      </c>
      <c r="D515" s="12" t="b">
        <f>INDEX('Combined_Data'!F:F, MATCH(A515, 'Combined_Data'!A:A, 0))</f>
        <v>0</v>
      </c>
      <c r="E515" s="12">
        <f>INDEX('Combined_Data'!O:O, MATCH(A515, 'Combined_Data'!A:A, 0))</f>
        <v>116</v>
      </c>
      <c r="F515" s="12">
        <f>INDEX('Combined_Data'!M:M, MATCH(A515, 'Combined_Data'!A:A, 0))</f>
        <v>24</v>
      </c>
      <c r="G515" s="12">
        <f>INDEX('Combined_Data'!N:N, MATCH(A515, 'Combined_Data'!A:A, 0))</f>
        <v>92</v>
      </c>
      <c r="H515" s="12" t="str">
        <f t="shared" ref="H515:H578" si="32">IF(OR(TRIM(C515)="Saturday",TRIM(C515)="Sunday"),"Weekend","Weekday")</f>
        <v>Weekend</v>
      </c>
      <c r="I515" s="12" t="str">
        <f t="shared" ref="I515:I578" si="33">IF(D515=TRUE,"Holiday","Working Day")</f>
        <v>Working Day</v>
      </c>
      <c r="J515" s="12" t="str">
        <f t="shared" ref="J515:J578" si="34">IF(E515&lt;100,"Low",IF(E515&lt;=150,"Medium","High"))</f>
        <v>Medium</v>
      </c>
      <c r="K515" s="12" t="str">
        <f>INDEX('Combined_Data'!H:H, MATCH(A515, 'Combined_Data'!A:A, 0))</f>
        <v>Clear</v>
      </c>
      <c r="L515" s="13">
        <f t="shared" ref="L515:L578" si="35">VLOOKUP(TRIM(K515), $T$2:$U$5, 2, FALSE)</f>
        <v>1</v>
      </c>
    </row>
    <row r="516" spans="1:12" x14ac:dyDescent="0.35">
      <c r="A516" s="10">
        <v>515</v>
      </c>
      <c r="B516" s="11">
        <f>INDEX('Combined_Data'!B:B, MATCH(Derived_Data!A516, 'Combined_Data'!A:A, 0))</f>
        <v>40566</v>
      </c>
      <c r="C516" s="12" t="str">
        <f>INDEX('Combined_Data'!G:G, MATCH(A516, 'Combined_Data'!A:A, 0))</f>
        <v>Sunday</v>
      </c>
      <c r="D516" s="12" t="b">
        <f>INDEX('Combined_Data'!F:F, MATCH(A516, 'Combined_Data'!A:A, 0))</f>
        <v>0</v>
      </c>
      <c r="E516" s="12">
        <f>INDEX('Combined_Data'!O:O, MATCH(A516, 'Combined_Data'!A:A, 0))</f>
        <v>87</v>
      </c>
      <c r="F516" s="12">
        <f>INDEX('Combined_Data'!M:M, MATCH(A516, 'Combined_Data'!A:A, 0))</f>
        <v>12</v>
      </c>
      <c r="G516" s="12">
        <f>INDEX('Combined_Data'!N:N, MATCH(A516, 'Combined_Data'!A:A, 0))</f>
        <v>75</v>
      </c>
      <c r="H516" s="12" t="str">
        <f t="shared" si="32"/>
        <v>Weekend</v>
      </c>
      <c r="I516" s="12" t="str">
        <f t="shared" si="33"/>
        <v>Working Day</v>
      </c>
      <c r="J516" s="12" t="str">
        <f t="shared" si="34"/>
        <v>Low</v>
      </c>
      <c r="K516" s="12" t="str">
        <f>INDEX('Combined_Data'!H:H, MATCH(A516, 'Combined_Data'!A:A, 0))</f>
        <v>Clear</v>
      </c>
      <c r="L516" s="13">
        <f t="shared" si="35"/>
        <v>1</v>
      </c>
    </row>
    <row r="517" spans="1:12" x14ac:dyDescent="0.35">
      <c r="A517" s="10">
        <v>516</v>
      </c>
      <c r="B517" s="11">
        <f>INDEX('Combined_Data'!B:B, MATCH(Derived_Data!A517, 'Combined_Data'!A:A, 0))</f>
        <v>40566</v>
      </c>
      <c r="C517" s="12" t="str">
        <f>INDEX('Combined_Data'!G:G, MATCH(A517, 'Combined_Data'!A:A, 0))</f>
        <v>Sunday</v>
      </c>
      <c r="D517" s="12" t="b">
        <f>INDEX('Combined_Data'!F:F, MATCH(A517, 'Combined_Data'!A:A, 0))</f>
        <v>0</v>
      </c>
      <c r="E517" s="12">
        <f>INDEX('Combined_Data'!O:O, MATCH(A517, 'Combined_Data'!A:A, 0))</f>
        <v>110</v>
      </c>
      <c r="F517" s="12">
        <f>INDEX('Combined_Data'!M:M, MATCH(A517, 'Combined_Data'!A:A, 0))</f>
        <v>17</v>
      </c>
      <c r="G517" s="12">
        <f>INDEX('Combined_Data'!N:N, MATCH(A517, 'Combined_Data'!A:A, 0))</f>
        <v>93</v>
      </c>
      <c r="H517" s="12" t="str">
        <f t="shared" si="32"/>
        <v>Weekend</v>
      </c>
      <c r="I517" s="12" t="str">
        <f t="shared" si="33"/>
        <v>Working Day</v>
      </c>
      <c r="J517" s="12" t="str">
        <f t="shared" si="34"/>
        <v>Medium</v>
      </c>
      <c r="K517" s="12" t="str">
        <f>INDEX('Combined_Data'!H:H, MATCH(A517, 'Combined_Data'!A:A, 0))</f>
        <v>Clear</v>
      </c>
      <c r="L517" s="13">
        <f t="shared" si="35"/>
        <v>1</v>
      </c>
    </row>
    <row r="518" spans="1:12" x14ac:dyDescent="0.35">
      <c r="A518" s="10">
        <v>517</v>
      </c>
      <c r="B518" s="11">
        <f>INDEX('Combined_Data'!B:B, MATCH(Derived_Data!A518, 'Combined_Data'!A:A, 0))</f>
        <v>40566</v>
      </c>
      <c r="C518" s="12" t="str">
        <f>INDEX('Combined_Data'!G:G, MATCH(A518, 'Combined_Data'!A:A, 0))</f>
        <v>Sunday</v>
      </c>
      <c r="D518" s="12" t="b">
        <f>INDEX('Combined_Data'!F:F, MATCH(A518, 'Combined_Data'!A:A, 0))</f>
        <v>0</v>
      </c>
      <c r="E518" s="12">
        <f>INDEX('Combined_Data'!O:O, MATCH(A518, 'Combined_Data'!A:A, 0))</f>
        <v>77</v>
      </c>
      <c r="F518" s="12">
        <f>INDEX('Combined_Data'!M:M, MATCH(A518, 'Combined_Data'!A:A, 0))</f>
        <v>13</v>
      </c>
      <c r="G518" s="12">
        <f>INDEX('Combined_Data'!N:N, MATCH(A518, 'Combined_Data'!A:A, 0))</f>
        <v>64</v>
      </c>
      <c r="H518" s="12" t="str">
        <f t="shared" si="32"/>
        <v>Weekend</v>
      </c>
      <c r="I518" s="12" t="str">
        <f t="shared" si="33"/>
        <v>Working Day</v>
      </c>
      <c r="J518" s="12" t="str">
        <f t="shared" si="34"/>
        <v>Low</v>
      </c>
      <c r="K518" s="12" t="str">
        <f>INDEX('Combined_Data'!H:H, MATCH(A518, 'Combined_Data'!A:A, 0))</f>
        <v>Clear</v>
      </c>
      <c r="L518" s="13">
        <f t="shared" si="35"/>
        <v>1</v>
      </c>
    </row>
    <row r="519" spans="1:12" x14ac:dyDescent="0.35">
      <c r="A519" s="10">
        <v>518</v>
      </c>
      <c r="B519" s="11">
        <f>INDEX('Combined_Data'!B:B, MATCH(Derived_Data!A519, 'Combined_Data'!A:A, 0))</f>
        <v>40566</v>
      </c>
      <c r="C519" s="12" t="str">
        <f>INDEX('Combined_Data'!G:G, MATCH(A519, 'Combined_Data'!A:A, 0))</f>
        <v>Sunday</v>
      </c>
      <c r="D519" s="12" t="b">
        <f>INDEX('Combined_Data'!F:F, MATCH(A519, 'Combined_Data'!A:A, 0))</f>
        <v>0</v>
      </c>
      <c r="E519" s="12">
        <f>INDEX('Combined_Data'!O:O, MATCH(A519, 'Combined_Data'!A:A, 0))</f>
        <v>65</v>
      </c>
      <c r="F519" s="12">
        <f>INDEX('Combined_Data'!M:M, MATCH(A519, 'Combined_Data'!A:A, 0))</f>
        <v>9</v>
      </c>
      <c r="G519" s="12">
        <f>INDEX('Combined_Data'!N:N, MATCH(A519, 'Combined_Data'!A:A, 0))</f>
        <v>56</v>
      </c>
      <c r="H519" s="12" t="str">
        <f t="shared" si="32"/>
        <v>Weekend</v>
      </c>
      <c r="I519" s="12" t="str">
        <f t="shared" si="33"/>
        <v>Working Day</v>
      </c>
      <c r="J519" s="12" t="str">
        <f t="shared" si="34"/>
        <v>Low</v>
      </c>
      <c r="K519" s="12" t="str">
        <f>INDEX('Combined_Data'!H:H, MATCH(A519, 'Combined_Data'!A:A, 0))</f>
        <v>Clear</v>
      </c>
      <c r="L519" s="13">
        <f t="shared" si="35"/>
        <v>1</v>
      </c>
    </row>
    <row r="520" spans="1:12" x14ac:dyDescent="0.35">
      <c r="A520" s="10">
        <v>519</v>
      </c>
      <c r="B520" s="11">
        <f>INDEX('Combined_Data'!B:B, MATCH(Derived_Data!A520, 'Combined_Data'!A:A, 0))</f>
        <v>40566</v>
      </c>
      <c r="C520" s="12" t="str">
        <f>INDEX('Combined_Data'!G:G, MATCH(A520, 'Combined_Data'!A:A, 0))</f>
        <v>Sunday</v>
      </c>
      <c r="D520" s="12" t="b">
        <f>INDEX('Combined_Data'!F:F, MATCH(A520, 'Combined_Data'!A:A, 0))</f>
        <v>0</v>
      </c>
      <c r="E520" s="12">
        <f>INDEX('Combined_Data'!O:O, MATCH(A520, 'Combined_Data'!A:A, 0))</f>
        <v>55</v>
      </c>
      <c r="F520" s="12">
        <f>INDEX('Combined_Data'!M:M, MATCH(A520, 'Combined_Data'!A:A, 0))</f>
        <v>5</v>
      </c>
      <c r="G520" s="12">
        <f>INDEX('Combined_Data'!N:N, MATCH(A520, 'Combined_Data'!A:A, 0))</f>
        <v>50</v>
      </c>
      <c r="H520" s="12" t="str">
        <f t="shared" si="32"/>
        <v>Weekend</v>
      </c>
      <c r="I520" s="12" t="str">
        <f t="shared" si="33"/>
        <v>Working Day</v>
      </c>
      <c r="J520" s="12" t="str">
        <f t="shared" si="34"/>
        <v>Low</v>
      </c>
      <c r="K520" s="12" t="str">
        <f>INDEX('Combined_Data'!H:H, MATCH(A520, 'Combined_Data'!A:A, 0))</f>
        <v>Clear</v>
      </c>
      <c r="L520" s="13">
        <f t="shared" si="35"/>
        <v>1</v>
      </c>
    </row>
    <row r="521" spans="1:12" x14ac:dyDescent="0.35">
      <c r="A521" s="10">
        <v>520</v>
      </c>
      <c r="B521" s="11">
        <f>INDEX('Combined_Data'!B:B, MATCH(Derived_Data!A521, 'Combined_Data'!A:A, 0))</f>
        <v>40566</v>
      </c>
      <c r="C521" s="12" t="str">
        <f>INDEX('Combined_Data'!G:G, MATCH(A521, 'Combined_Data'!A:A, 0))</f>
        <v>Sunday</v>
      </c>
      <c r="D521" s="12" t="b">
        <f>INDEX('Combined_Data'!F:F, MATCH(A521, 'Combined_Data'!A:A, 0))</f>
        <v>0</v>
      </c>
      <c r="E521" s="12">
        <f>INDEX('Combined_Data'!O:O, MATCH(A521, 'Combined_Data'!A:A, 0))</f>
        <v>49</v>
      </c>
      <c r="F521" s="12">
        <f>INDEX('Combined_Data'!M:M, MATCH(A521, 'Combined_Data'!A:A, 0))</f>
        <v>5</v>
      </c>
      <c r="G521" s="12">
        <f>INDEX('Combined_Data'!N:N, MATCH(A521, 'Combined_Data'!A:A, 0))</f>
        <v>44</v>
      </c>
      <c r="H521" s="12" t="str">
        <f t="shared" si="32"/>
        <v>Weekend</v>
      </c>
      <c r="I521" s="12" t="str">
        <f t="shared" si="33"/>
        <v>Working Day</v>
      </c>
      <c r="J521" s="12" t="str">
        <f t="shared" si="34"/>
        <v>Low</v>
      </c>
      <c r="K521" s="12" t="str">
        <f>INDEX('Combined_Data'!H:H, MATCH(A521, 'Combined_Data'!A:A, 0))</f>
        <v>Clear</v>
      </c>
      <c r="L521" s="13">
        <f t="shared" si="35"/>
        <v>1</v>
      </c>
    </row>
    <row r="522" spans="1:12" x14ac:dyDescent="0.35">
      <c r="A522" s="10">
        <v>521</v>
      </c>
      <c r="B522" s="11">
        <f>INDEX('Combined_Data'!B:B, MATCH(Derived_Data!A522, 'Combined_Data'!A:A, 0))</f>
        <v>40566</v>
      </c>
      <c r="C522" s="12" t="str">
        <f>INDEX('Combined_Data'!G:G, MATCH(A522, 'Combined_Data'!A:A, 0))</f>
        <v>Sunday</v>
      </c>
      <c r="D522" s="12" t="b">
        <f>INDEX('Combined_Data'!F:F, MATCH(A522, 'Combined_Data'!A:A, 0))</f>
        <v>0</v>
      </c>
      <c r="E522" s="12">
        <f>INDEX('Combined_Data'!O:O, MATCH(A522, 'Combined_Data'!A:A, 0))</f>
        <v>50</v>
      </c>
      <c r="F522" s="12">
        <f>INDEX('Combined_Data'!M:M, MATCH(A522, 'Combined_Data'!A:A, 0))</f>
        <v>5</v>
      </c>
      <c r="G522" s="12">
        <f>INDEX('Combined_Data'!N:N, MATCH(A522, 'Combined_Data'!A:A, 0))</f>
        <v>45</v>
      </c>
      <c r="H522" s="12" t="str">
        <f t="shared" si="32"/>
        <v>Weekend</v>
      </c>
      <c r="I522" s="12" t="str">
        <f t="shared" si="33"/>
        <v>Working Day</v>
      </c>
      <c r="J522" s="12" t="str">
        <f t="shared" si="34"/>
        <v>Low</v>
      </c>
      <c r="K522" s="12" t="str">
        <f>INDEX('Combined_Data'!H:H, MATCH(A522, 'Combined_Data'!A:A, 0))</f>
        <v>Clear</v>
      </c>
      <c r="L522" s="13">
        <f t="shared" si="35"/>
        <v>1</v>
      </c>
    </row>
    <row r="523" spans="1:12" x14ac:dyDescent="0.35">
      <c r="A523" s="10">
        <v>522</v>
      </c>
      <c r="B523" s="11">
        <f>INDEX('Combined_Data'!B:B, MATCH(Derived_Data!A523, 'Combined_Data'!A:A, 0))</f>
        <v>40566</v>
      </c>
      <c r="C523" s="12" t="str">
        <f>INDEX('Combined_Data'!G:G, MATCH(A523, 'Combined_Data'!A:A, 0))</f>
        <v>Sunday</v>
      </c>
      <c r="D523" s="12" t="b">
        <f>INDEX('Combined_Data'!F:F, MATCH(A523, 'Combined_Data'!A:A, 0))</f>
        <v>0</v>
      </c>
      <c r="E523" s="12">
        <f>INDEX('Combined_Data'!O:O, MATCH(A523, 'Combined_Data'!A:A, 0))</f>
        <v>35</v>
      </c>
      <c r="F523" s="12">
        <f>INDEX('Combined_Data'!M:M, MATCH(A523, 'Combined_Data'!A:A, 0))</f>
        <v>4</v>
      </c>
      <c r="G523" s="12">
        <f>INDEX('Combined_Data'!N:N, MATCH(A523, 'Combined_Data'!A:A, 0))</f>
        <v>31</v>
      </c>
      <c r="H523" s="12" t="str">
        <f t="shared" si="32"/>
        <v>Weekend</v>
      </c>
      <c r="I523" s="12" t="str">
        <f t="shared" si="33"/>
        <v>Working Day</v>
      </c>
      <c r="J523" s="12" t="str">
        <f t="shared" si="34"/>
        <v>Low</v>
      </c>
      <c r="K523" s="12" t="str">
        <f>INDEX('Combined_Data'!H:H, MATCH(A523, 'Combined_Data'!A:A, 0))</f>
        <v>Clear</v>
      </c>
      <c r="L523" s="13">
        <f t="shared" si="35"/>
        <v>1</v>
      </c>
    </row>
    <row r="524" spans="1:12" x14ac:dyDescent="0.35">
      <c r="A524" s="10">
        <v>523</v>
      </c>
      <c r="B524" s="11">
        <f>INDEX('Combined_Data'!B:B, MATCH(Derived_Data!A524, 'Combined_Data'!A:A, 0))</f>
        <v>40566</v>
      </c>
      <c r="C524" s="12" t="str">
        <f>INDEX('Combined_Data'!G:G, MATCH(A524, 'Combined_Data'!A:A, 0))</f>
        <v>Sunday</v>
      </c>
      <c r="D524" s="12" t="b">
        <f>INDEX('Combined_Data'!F:F, MATCH(A524, 'Combined_Data'!A:A, 0))</f>
        <v>0</v>
      </c>
      <c r="E524" s="12">
        <f>INDEX('Combined_Data'!O:O, MATCH(A524, 'Combined_Data'!A:A, 0))</f>
        <v>25</v>
      </c>
      <c r="F524" s="12">
        <f>INDEX('Combined_Data'!M:M, MATCH(A524, 'Combined_Data'!A:A, 0))</f>
        <v>5</v>
      </c>
      <c r="G524" s="12">
        <f>INDEX('Combined_Data'!N:N, MATCH(A524, 'Combined_Data'!A:A, 0))</f>
        <v>20</v>
      </c>
      <c r="H524" s="12" t="str">
        <f t="shared" si="32"/>
        <v>Weekend</v>
      </c>
      <c r="I524" s="12" t="str">
        <f t="shared" si="33"/>
        <v>Working Day</v>
      </c>
      <c r="J524" s="12" t="str">
        <f t="shared" si="34"/>
        <v>Low</v>
      </c>
      <c r="K524" s="12" t="str">
        <f>INDEX('Combined_Data'!H:H, MATCH(A524, 'Combined_Data'!A:A, 0))</f>
        <v>Clear</v>
      </c>
      <c r="L524" s="13">
        <f t="shared" si="35"/>
        <v>1</v>
      </c>
    </row>
    <row r="525" spans="1:12" x14ac:dyDescent="0.35">
      <c r="A525" s="10">
        <v>524</v>
      </c>
      <c r="B525" s="11">
        <f>INDEX('Combined_Data'!B:B, MATCH(Derived_Data!A525, 'Combined_Data'!A:A, 0))</f>
        <v>40566</v>
      </c>
      <c r="C525" s="12" t="str">
        <f>INDEX('Combined_Data'!G:G, MATCH(A525, 'Combined_Data'!A:A, 0))</f>
        <v>Sunday</v>
      </c>
      <c r="D525" s="12" t="b">
        <f>INDEX('Combined_Data'!F:F, MATCH(A525, 'Combined_Data'!A:A, 0))</f>
        <v>0</v>
      </c>
      <c r="E525" s="12">
        <f>INDEX('Combined_Data'!O:O, MATCH(A525, 'Combined_Data'!A:A, 0))</f>
        <v>28</v>
      </c>
      <c r="F525" s="12">
        <f>INDEX('Combined_Data'!M:M, MATCH(A525, 'Combined_Data'!A:A, 0))</f>
        <v>5</v>
      </c>
      <c r="G525" s="12">
        <f>INDEX('Combined_Data'!N:N, MATCH(A525, 'Combined_Data'!A:A, 0))</f>
        <v>23</v>
      </c>
      <c r="H525" s="12" t="str">
        <f t="shared" si="32"/>
        <v>Weekend</v>
      </c>
      <c r="I525" s="12" t="str">
        <f t="shared" si="33"/>
        <v>Working Day</v>
      </c>
      <c r="J525" s="12" t="str">
        <f t="shared" si="34"/>
        <v>Low</v>
      </c>
      <c r="K525" s="12" t="str">
        <f>INDEX('Combined_Data'!H:H, MATCH(A525, 'Combined_Data'!A:A, 0))</f>
        <v>Clear</v>
      </c>
      <c r="L525" s="13">
        <f t="shared" si="35"/>
        <v>1</v>
      </c>
    </row>
    <row r="526" spans="1:12" x14ac:dyDescent="0.35">
      <c r="A526" s="10">
        <v>525</v>
      </c>
      <c r="B526" s="11">
        <f>INDEX('Combined_Data'!B:B, MATCH(Derived_Data!A526, 'Combined_Data'!A:A, 0))</f>
        <v>40566</v>
      </c>
      <c r="C526" s="12" t="str">
        <f>INDEX('Combined_Data'!G:G, MATCH(A526, 'Combined_Data'!A:A, 0))</f>
        <v>Sunday</v>
      </c>
      <c r="D526" s="12" t="b">
        <f>INDEX('Combined_Data'!F:F, MATCH(A526, 'Combined_Data'!A:A, 0))</f>
        <v>0</v>
      </c>
      <c r="E526" s="12">
        <f>INDEX('Combined_Data'!O:O, MATCH(A526, 'Combined_Data'!A:A, 0))</f>
        <v>21</v>
      </c>
      <c r="F526" s="12">
        <f>INDEX('Combined_Data'!M:M, MATCH(A526, 'Combined_Data'!A:A, 0))</f>
        <v>4</v>
      </c>
      <c r="G526" s="12">
        <f>INDEX('Combined_Data'!N:N, MATCH(A526, 'Combined_Data'!A:A, 0))</f>
        <v>17</v>
      </c>
      <c r="H526" s="12" t="str">
        <f t="shared" si="32"/>
        <v>Weekend</v>
      </c>
      <c r="I526" s="12" t="str">
        <f t="shared" si="33"/>
        <v>Working Day</v>
      </c>
      <c r="J526" s="12" t="str">
        <f t="shared" si="34"/>
        <v>Low</v>
      </c>
      <c r="K526" s="12" t="str">
        <f>INDEX('Combined_Data'!H:H, MATCH(A526, 'Combined_Data'!A:A, 0))</f>
        <v>Clear</v>
      </c>
      <c r="L526" s="13">
        <f t="shared" si="35"/>
        <v>1</v>
      </c>
    </row>
    <row r="527" spans="1:12" x14ac:dyDescent="0.35">
      <c r="A527" s="10">
        <v>526</v>
      </c>
      <c r="B527" s="11">
        <f>INDEX('Combined_Data'!B:B, MATCH(Derived_Data!A527, 'Combined_Data'!A:A, 0))</f>
        <v>40567</v>
      </c>
      <c r="C527" s="12" t="str">
        <f>INDEX('Combined_Data'!G:G, MATCH(A527, 'Combined_Data'!A:A, 0))</f>
        <v>Monday</v>
      </c>
      <c r="D527" s="12" t="b">
        <f>INDEX('Combined_Data'!F:F, MATCH(A527, 'Combined_Data'!A:A, 0))</f>
        <v>0</v>
      </c>
      <c r="E527" s="12">
        <f>INDEX('Combined_Data'!O:O, MATCH(A527, 'Combined_Data'!A:A, 0))</f>
        <v>7</v>
      </c>
      <c r="F527" s="12">
        <f>INDEX('Combined_Data'!M:M, MATCH(A527, 'Combined_Data'!A:A, 0))</f>
        <v>0</v>
      </c>
      <c r="G527" s="12">
        <f>INDEX('Combined_Data'!N:N, MATCH(A527, 'Combined_Data'!A:A, 0))</f>
        <v>7</v>
      </c>
      <c r="H527" s="12" t="str">
        <f t="shared" si="32"/>
        <v>Weekday</v>
      </c>
      <c r="I527" s="12" t="str">
        <f t="shared" si="33"/>
        <v>Working Day</v>
      </c>
      <c r="J527" s="12" t="str">
        <f t="shared" si="34"/>
        <v>Low</v>
      </c>
      <c r="K527" s="12" t="str">
        <f>INDEX('Combined_Data'!H:H, MATCH(A527, 'Combined_Data'!A:A, 0))</f>
        <v>Clear</v>
      </c>
      <c r="L527" s="13">
        <f t="shared" si="35"/>
        <v>1</v>
      </c>
    </row>
    <row r="528" spans="1:12" x14ac:dyDescent="0.35">
      <c r="A528" s="10">
        <v>527</v>
      </c>
      <c r="B528" s="11">
        <f>INDEX('Combined_Data'!B:B, MATCH(Derived_Data!A528, 'Combined_Data'!A:A, 0))</f>
        <v>40567</v>
      </c>
      <c r="C528" s="12" t="str">
        <f>INDEX('Combined_Data'!G:G, MATCH(A528, 'Combined_Data'!A:A, 0))</f>
        <v>Monday</v>
      </c>
      <c r="D528" s="12" t="b">
        <f>INDEX('Combined_Data'!F:F, MATCH(A528, 'Combined_Data'!A:A, 0))</f>
        <v>0</v>
      </c>
      <c r="E528" s="12">
        <f>INDEX('Combined_Data'!O:O, MATCH(A528, 'Combined_Data'!A:A, 0))</f>
        <v>1</v>
      </c>
      <c r="F528" s="12">
        <f>INDEX('Combined_Data'!M:M, MATCH(A528, 'Combined_Data'!A:A, 0))</f>
        <v>0</v>
      </c>
      <c r="G528" s="12">
        <f>INDEX('Combined_Data'!N:N, MATCH(A528, 'Combined_Data'!A:A, 0))</f>
        <v>1</v>
      </c>
      <c r="H528" s="12" t="str">
        <f t="shared" si="32"/>
        <v>Weekday</v>
      </c>
      <c r="I528" s="12" t="str">
        <f t="shared" si="33"/>
        <v>Working Day</v>
      </c>
      <c r="J528" s="12" t="str">
        <f t="shared" si="34"/>
        <v>Low</v>
      </c>
      <c r="K528" s="12" t="str">
        <f>INDEX('Combined_Data'!H:H, MATCH(A528, 'Combined_Data'!A:A, 0))</f>
        <v>Clear</v>
      </c>
      <c r="L528" s="13">
        <f t="shared" si="35"/>
        <v>1</v>
      </c>
    </row>
    <row r="529" spans="1:12" x14ac:dyDescent="0.35">
      <c r="A529" s="10">
        <v>528</v>
      </c>
      <c r="B529" s="11">
        <f>INDEX('Combined_Data'!B:B, MATCH(Derived_Data!A529, 'Combined_Data'!A:A, 0))</f>
        <v>40567</v>
      </c>
      <c r="C529" s="12" t="str">
        <f>INDEX('Combined_Data'!G:G, MATCH(A529, 'Combined_Data'!A:A, 0))</f>
        <v>Monday</v>
      </c>
      <c r="D529" s="12" t="b">
        <f>INDEX('Combined_Data'!F:F, MATCH(A529, 'Combined_Data'!A:A, 0))</f>
        <v>0</v>
      </c>
      <c r="E529" s="12">
        <f>INDEX('Combined_Data'!O:O, MATCH(A529, 'Combined_Data'!A:A, 0))</f>
        <v>1</v>
      </c>
      <c r="F529" s="12">
        <f>INDEX('Combined_Data'!M:M, MATCH(A529, 'Combined_Data'!A:A, 0))</f>
        <v>0</v>
      </c>
      <c r="G529" s="12">
        <f>INDEX('Combined_Data'!N:N, MATCH(A529, 'Combined_Data'!A:A, 0))</f>
        <v>1</v>
      </c>
      <c r="H529" s="12" t="str">
        <f t="shared" si="32"/>
        <v>Weekday</v>
      </c>
      <c r="I529" s="12" t="str">
        <f t="shared" si="33"/>
        <v>Working Day</v>
      </c>
      <c r="J529" s="12" t="str">
        <f t="shared" si="34"/>
        <v>Low</v>
      </c>
      <c r="K529" s="12" t="str">
        <f>INDEX('Combined_Data'!H:H, MATCH(A529, 'Combined_Data'!A:A, 0))</f>
        <v>Clear</v>
      </c>
      <c r="L529" s="13">
        <f t="shared" si="35"/>
        <v>1</v>
      </c>
    </row>
    <row r="530" spans="1:12" x14ac:dyDescent="0.35">
      <c r="A530" s="10">
        <v>529</v>
      </c>
      <c r="B530" s="11">
        <f>INDEX('Combined_Data'!B:B, MATCH(Derived_Data!A530, 'Combined_Data'!A:A, 0))</f>
        <v>40567</v>
      </c>
      <c r="C530" s="12" t="str">
        <f>INDEX('Combined_Data'!G:G, MATCH(A530, 'Combined_Data'!A:A, 0))</f>
        <v>Monday</v>
      </c>
      <c r="D530" s="12" t="b">
        <f>INDEX('Combined_Data'!F:F, MATCH(A530, 'Combined_Data'!A:A, 0))</f>
        <v>0</v>
      </c>
      <c r="E530" s="12">
        <f>INDEX('Combined_Data'!O:O, MATCH(A530, 'Combined_Data'!A:A, 0))</f>
        <v>1</v>
      </c>
      <c r="F530" s="12">
        <f>INDEX('Combined_Data'!M:M, MATCH(A530, 'Combined_Data'!A:A, 0))</f>
        <v>0</v>
      </c>
      <c r="G530" s="12">
        <f>INDEX('Combined_Data'!N:N, MATCH(A530, 'Combined_Data'!A:A, 0))</f>
        <v>1</v>
      </c>
      <c r="H530" s="12" t="str">
        <f t="shared" si="32"/>
        <v>Weekday</v>
      </c>
      <c r="I530" s="12" t="str">
        <f t="shared" si="33"/>
        <v>Working Day</v>
      </c>
      <c r="J530" s="12" t="str">
        <f t="shared" si="34"/>
        <v>Low</v>
      </c>
      <c r="K530" s="12" t="str">
        <f>INDEX('Combined_Data'!H:H, MATCH(A530, 'Combined_Data'!A:A, 0))</f>
        <v>Clear</v>
      </c>
      <c r="L530" s="13">
        <f t="shared" si="35"/>
        <v>1</v>
      </c>
    </row>
    <row r="531" spans="1:12" x14ac:dyDescent="0.35">
      <c r="A531" s="10">
        <v>530</v>
      </c>
      <c r="B531" s="11">
        <f>INDEX('Combined_Data'!B:B, MATCH(Derived_Data!A531, 'Combined_Data'!A:A, 0))</f>
        <v>40567</v>
      </c>
      <c r="C531" s="12" t="str">
        <f>INDEX('Combined_Data'!G:G, MATCH(A531, 'Combined_Data'!A:A, 0))</f>
        <v>Monday</v>
      </c>
      <c r="D531" s="12" t="b">
        <f>INDEX('Combined_Data'!F:F, MATCH(A531, 'Combined_Data'!A:A, 0))</f>
        <v>0</v>
      </c>
      <c r="E531" s="12">
        <f>INDEX('Combined_Data'!O:O, MATCH(A531, 'Combined_Data'!A:A, 0))</f>
        <v>5</v>
      </c>
      <c r="F531" s="12">
        <f>INDEX('Combined_Data'!M:M, MATCH(A531, 'Combined_Data'!A:A, 0))</f>
        <v>0</v>
      </c>
      <c r="G531" s="12">
        <f>INDEX('Combined_Data'!N:N, MATCH(A531, 'Combined_Data'!A:A, 0))</f>
        <v>5</v>
      </c>
      <c r="H531" s="12" t="str">
        <f t="shared" si="32"/>
        <v>Weekday</v>
      </c>
      <c r="I531" s="12" t="str">
        <f t="shared" si="33"/>
        <v>Working Day</v>
      </c>
      <c r="J531" s="12" t="str">
        <f t="shared" si="34"/>
        <v>Low</v>
      </c>
      <c r="K531" s="12" t="str">
        <f>INDEX('Combined_Data'!H:H, MATCH(A531, 'Combined_Data'!A:A, 0))</f>
        <v>Clear</v>
      </c>
      <c r="L531" s="13">
        <f t="shared" si="35"/>
        <v>1</v>
      </c>
    </row>
    <row r="532" spans="1:12" x14ac:dyDescent="0.35">
      <c r="A532" s="10">
        <v>531</v>
      </c>
      <c r="B532" s="11">
        <f>INDEX('Combined_Data'!B:B, MATCH(Derived_Data!A532, 'Combined_Data'!A:A, 0))</f>
        <v>40567</v>
      </c>
      <c r="C532" s="12" t="str">
        <f>INDEX('Combined_Data'!G:G, MATCH(A532, 'Combined_Data'!A:A, 0))</f>
        <v>Monday</v>
      </c>
      <c r="D532" s="12" t="b">
        <f>INDEX('Combined_Data'!F:F, MATCH(A532, 'Combined_Data'!A:A, 0))</f>
        <v>0</v>
      </c>
      <c r="E532" s="12">
        <f>INDEX('Combined_Data'!O:O, MATCH(A532, 'Combined_Data'!A:A, 0))</f>
        <v>15</v>
      </c>
      <c r="F532" s="12">
        <f>INDEX('Combined_Data'!M:M, MATCH(A532, 'Combined_Data'!A:A, 0))</f>
        <v>0</v>
      </c>
      <c r="G532" s="12">
        <f>INDEX('Combined_Data'!N:N, MATCH(A532, 'Combined_Data'!A:A, 0))</f>
        <v>15</v>
      </c>
      <c r="H532" s="12" t="str">
        <f t="shared" si="32"/>
        <v>Weekday</v>
      </c>
      <c r="I532" s="12" t="str">
        <f t="shared" si="33"/>
        <v>Working Day</v>
      </c>
      <c r="J532" s="12" t="str">
        <f t="shared" si="34"/>
        <v>Low</v>
      </c>
      <c r="K532" s="12" t="str">
        <f>INDEX('Combined_Data'!H:H, MATCH(A532, 'Combined_Data'!A:A, 0))</f>
        <v>Clear</v>
      </c>
      <c r="L532" s="13">
        <f t="shared" si="35"/>
        <v>1</v>
      </c>
    </row>
    <row r="533" spans="1:12" x14ac:dyDescent="0.35">
      <c r="A533" s="10">
        <v>532</v>
      </c>
      <c r="B533" s="11">
        <f>INDEX('Combined_Data'!B:B, MATCH(Derived_Data!A533, 'Combined_Data'!A:A, 0))</f>
        <v>40567</v>
      </c>
      <c r="C533" s="12" t="str">
        <f>INDEX('Combined_Data'!G:G, MATCH(A533, 'Combined_Data'!A:A, 0))</f>
        <v>Monday</v>
      </c>
      <c r="D533" s="12" t="b">
        <f>INDEX('Combined_Data'!F:F, MATCH(A533, 'Combined_Data'!A:A, 0))</f>
        <v>0</v>
      </c>
      <c r="E533" s="12">
        <f>INDEX('Combined_Data'!O:O, MATCH(A533, 'Combined_Data'!A:A, 0))</f>
        <v>84</v>
      </c>
      <c r="F533" s="12">
        <f>INDEX('Combined_Data'!M:M, MATCH(A533, 'Combined_Data'!A:A, 0))</f>
        <v>5</v>
      </c>
      <c r="G533" s="12">
        <f>INDEX('Combined_Data'!N:N, MATCH(A533, 'Combined_Data'!A:A, 0))</f>
        <v>79</v>
      </c>
      <c r="H533" s="12" t="str">
        <f t="shared" si="32"/>
        <v>Weekday</v>
      </c>
      <c r="I533" s="12" t="str">
        <f t="shared" si="33"/>
        <v>Working Day</v>
      </c>
      <c r="J533" s="12" t="str">
        <f t="shared" si="34"/>
        <v>Low</v>
      </c>
      <c r="K533" s="12" t="str">
        <f>INDEX('Combined_Data'!H:H, MATCH(A533, 'Combined_Data'!A:A, 0))</f>
        <v>Clear</v>
      </c>
      <c r="L533" s="13">
        <f t="shared" si="35"/>
        <v>1</v>
      </c>
    </row>
    <row r="534" spans="1:12" x14ac:dyDescent="0.35">
      <c r="A534" s="10">
        <v>533</v>
      </c>
      <c r="B534" s="11">
        <f>INDEX('Combined_Data'!B:B, MATCH(Derived_Data!A534, 'Combined_Data'!A:A, 0))</f>
        <v>40567</v>
      </c>
      <c r="C534" s="12" t="str">
        <f>INDEX('Combined_Data'!G:G, MATCH(A534, 'Combined_Data'!A:A, 0))</f>
        <v>Monday</v>
      </c>
      <c r="D534" s="12" t="b">
        <f>INDEX('Combined_Data'!F:F, MATCH(A534, 'Combined_Data'!A:A, 0))</f>
        <v>0</v>
      </c>
      <c r="E534" s="12">
        <f>INDEX('Combined_Data'!O:O, MATCH(A534, 'Combined_Data'!A:A, 0))</f>
        <v>177</v>
      </c>
      <c r="F534" s="12">
        <f>INDEX('Combined_Data'!M:M, MATCH(A534, 'Combined_Data'!A:A, 0))</f>
        <v>6</v>
      </c>
      <c r="G534" s="12">
        <f>INDEX('Combined_Data'!N:N, MATCH(A534, 'Combined_Data'!A:A, 0))</f>
        <v>171</v>
      </c>
      <c r="H534" s="12" t="str">
        <f t="shared" si="32"/>
        <v>Weekday</v>
      </c>
      <c r="I534" s="12" t="str">
        <f t="shared" si="33"/>
        <v>Working Day</v>
      </c>
      <c r="J534" s="12" t="str">
        <f t="shared" si="34"/>
        <v>High</v>
      </c>
      <c r="K534" s="12" t="str">
        <f>INDEX('Combined_Data'!H:H, MATCH(A534, 'Combined_Data'!A:A, 0))</f>
        <v>Clear</v>
      </c>
      <c r="L534" s="13">
        <f t="shared" si="35"/>
        <v>1</v>
      </c>
    </row>
    <row r="535" spans="1:12" x14ac:dyDescent="0.35">
      <c r="A535" s="10">
        <v>534</v>
      </c>
      <c r="B535" s="11">
        <f>INDEX('Combined_Data'!B:B, MATCH(Derived_Data!A535, 'Combined_Data'!A:A, 0))</f>
        <v>40567</v>
      </c>
      <c r="C535" s="12" t="str">
        <f>INDEX('Combined_Data'!G:G, MATCH(A535, 'Combined_Data'!A:A, 0))</f>
        <v>Monday</v>
      </c>
      <c r="D535" s="12" t="b">
        <f>INDEX('Combined_Data'!F:F, MATCH(A535, 'Combined_Data'!A:A, 0))</f>
        <v>0</v>
      </c>
      <c r="E535" s="12">
        <f>INDEX('Combined_Data'!O:O, MATCH(A535, 'Combined_Data'!A:A, 0))</f>
        <v>102</v>
      </c>
      <c r="F535" s="12">
        <f>INDEX('Combined_Data'!M:M, MATCH(A535, 'Combined_Data'!A:A, 0))</f>
        <v>4</v>
      </c>
      <c r="G535" s="12">
        <f>INDEX('Combined_Data'!N:N, MATCH(A535, 'Combined_Data'!A:A, 0))</f>
        <v>98</v>
      </c>
      <c r="H535" s="12" t="str">
        <f t="shared" si="32"/>
        <v>Weekday</v>
      </c>
      <c r="I535" s="12" t="str">
        <f t="shared" si="33"/>
        <v>Working Day</v>
      </c>
      <c r="J535" s="12" t="str">
        <f t="shared" si="34"/>
        <v>Medium</v>
      </c>
      <c r="K535" s="12" t="str">
        <f>INDEX('Combined_Data'!H:H, MATCH(A535, 'Combined_Data'!A:A, 0))</f>
        <v>Clear</v>
      </c>
      <c r="L535" s="13">
        <f t="shared" si="35"/>
        <v>1</v>
      </c>
    </row>
    <row r="536" spans="1:12" x14ac:dyDescent="0.35">
      <c r="A536" s="10">
        <v>535</v>
      </c>
      <c r="B536" s="11">
        <f>INDEX('Combined_Data'!B:B, MATCH(Derived_Data!A536, 'Combined_Data'!A:A, 0))</f>
        <v>40567</v>
      </c>
      <c r="C536" s="12" t="str">
        <f>INDEX('Combined_Data'!G:G, MATCH(A536, 'Combined_Data'!A:A, 0))</f>
        <v>Monday</v>
      </c>
      <c r="D536" s="12" t="b">
        <f>INDEX('Combined_Data'!F:F, MATCH(A536, 'Combined_Data'!A:A, 0))</f>
        <v>0</v>
      </c>
      <c r="E536" s="12">
        <f>INDEX('Combined_Data'!O:O, MATCH(A536, 'Combined_Data'!A:A, 0))</f>
        <v>40</v>
      </c>
      <c r="F536" s="12">
        <f>INDEX('Combined_Data'!M:M, MATCH(A536, 'Combined_Data'!A:A, 0))</f>
        <v>6</v>
      </c>
      <c r="G536" s="12">
        <f>INDEX('Combined_Data'!N:N, MATCH(A536, 'Combined_Data'!A:A, 0))</f>
        <v>34</v>
      </c>
      <c r="H536" s="12" t="str">
        <f t="shared" si="32"/>
        <v>Weekday</v>
      </c>
      <c r="I536" s="12" t="str">
        <f t="shared" si="33"/>
        <v>Working Day</v>
      </c>
      <c r="J536" s="12" t="str">
        <f t="shared" si="34"/>
        <v>Low</v>
      </c>
      <c r="K536" s="12" t="str">
        <f>INDEX('Combined_Data'!H:H, MATCH(A536, 'Combined_Data'!A:A, 0))</f>
        <v>Clear</v>
      </c>
      <c r="L536" s="13">
        <f t="shared" si="35"/>
        <v>1</v>
      </c>
    </row>
    <row r="537" spans="1:12" x14ac:dyDescent="0.35">
      <c r="A537" s="10">
        <v>536</v>
      </c>
      <c r="B537" s="11">
        <f>INDEX('Combined_Data'!B:B, MATCH(Derived_Data!A537, 'Combined_Data'!A:A, 0))</f>
        <v>40567</v>
      </c>
      <c r="C537" s="12" t="str">
        <f>INDEX('Combined_Data'!G:G, MATCH(A537, 'Combined_Data'!A:A, 0))</f>
        <v>Monday</v>
      </c>
      <c r="D537" s="12" t="b">
        <f>INDEX('Combined_Data'!F:F, MATCH(A537, 'Combined_Data'!A:A, 0))</f>
        <v>0</v>
      </c>
      <c r="E537" s="12">
        <f>INDEX('Combined_Data'!O:O, MATCH(A537, 'Combined_Data'!A:A, 0))</f>
        <v>46</v>
      </c>
      <c r="F537" s="12">
        <f>INDEX('Combined_Data'!M:M, MATCH(A537, 'Combined_Data'!A:A, 0))</f>
        <v>3</v>
      </c>
      <c r="G537" s="12">
        <f>INDEX('Combined_Data'!N:N, MATCH(A537, 'Combined_Data'!A:A, 0))</f>
        <v>43</v>
      </c>
      <c r="H537" s="12" t="str">
        <f t="shared" si="32"/>
        <v>Weekday</v>
      </c>
      <c r="I537" s="12" t="str">
        <f t="shared" si="33"/>
        <v>Working Day</v>
      </c>
      <c r="J537" s="12" t="str">
        <f t="shared" si="34"/>
        <v>Low</v>
      </c>
      <c r="K537" s="12" t="str">
        <f>INDEX('Combined_Data'!H:H, MATCH(A537, 'Combined_Data'!A:A, 0))</f>
        <v>Clear</v>
      </c>
      <c r="L537" s="13">
        <f t="shared" si="35"/>
        <v>1</v>
      </c>
    </row>
    <row r="538" spans="1:12" x14ac:dyDescent="0.35">
      <c r="A538" s="10">
        <v>537</v>
      </c>
      <c r="B538" s="11">
        <f>INDEX('Combined_Data'!B:B, MATCH(Derived_Data!A538, 'Combined_Data'!A:A, 0))</f>
        <v>40567</v>
      </c>
      <c r="C538" s="12" t="str">
        <f>INDEX('Combined_Data'!G:G, MATCH(A538, 'Combined_Data'!A:A, 0))</f>
        <v>Monday</v>
      </c>
      <c r="D538" s="12" t="b">
        <f>INDEX('Combined_Data'!F:F, MATCH(A538, 'Combined_Data'!A:A, 0))</f>
        <v>0</v>
      </c>
      <c r="E538" s="12">
        <f>INDEX('Combined_Data'!O:O, MATCH(A538, 'Combined_Data'!A:A, 0))</f>
        <v>63</v>
      </c>
      <c r="F538" s="12">
        <f>INDEX('Combined_Data'!M:M, MATCH(A538, 'Combined_Data'!A:A, 0))</f>
        <v>11</v>
      </c>
      <c r="G538" s="12">
        <f>INDEX('Combined_Data'!N:N, MATCH(A538, 'Combined_Data'!A:A, 0))</f>
        <v>52</v>
      </c>
      <c r="H538" s="12" t="str">
        <f t="shared" si="32"/>
        <v>Weekday</v>
      </c>
      <c r="I538" s="12" t="str">
        <f t="shared" si="33"/>
        <v>Working Day</v>
      </c>
      <c r="J538" s="12" t="str">
        <f t="shared" si="34"/>
        <v>Low</v>
      </c>
      <c r="K538" s="12" t="str">
        <f>INDEX('Combined_Data'!H:H, MATCH(A538, 'Combined_Data'!A:A, 0))</f>
        <v>Mist</v>
      </c>
      <c r="L538" s="13">
        <f t="shared" si="35"/>
        <v>2</v>
      </c>
    </row>
    <row r="539" spans="1:12" x14ac:dyDescent="0.35">
      <c r="A539" s="10">
        <v>538</v>
      </c>
      <c r="B539" s="11">
        <f>INDEX('Combined_Data'!B:B, MATCH(Derived_Data!A539, 'Combined_Data'!A:A, 0))</f>
        <v>40567</v>
      </c>
      <c r="C539" s="12" t="str">
        <f>INDEX('Combined_Data'!G:G, MATCH(A539, 'Combined_Data'!A:A, 0))</f>
        <v>Monday</v>
      </c>
      <c r="D539" s="12" t="b">
        <f>INDEX('Combined_Data'!F:F, MATCH(A539, 'Combined_Data'!A:A, 0))</f>
        <v>0</v>
      </c>
      <c r="E539" s="12">
        <f>INDEX('Combined_Data'!O:O, MATCH(A539, 'Combined_Data'!A:A, 0))</f>
        <v>60</v>
      </c>
      <c r="F539" s="12">
        <f>INDEX('Combined_Data'!M:M, MATCH(A539, 'Combined_Data'!A:A, 0))</f>
        <v>6</v>
      </c>
      <c r="G539" s="12">
        <f>INDEX('Combined_Data'!N:N, MATCH(A539, 'Combined_Data'!A:A, 0))</f>
        <v>54</v>
      </c>
      <c r="H539" s="12" t="str">
        <f t="shared" si="32"/>
        <v>Weekday</v>
      </c>
      <c r="I539" s="12" t="str">
        <f t="shared" si="33"/>
        <v>Working Day</v>
      </c>
      <c r="J539" s="12" t="str">
        <f t="shared" si="34"/>
        <v>Low</v>
      </c>
      <c r="K539" s="12" t="str">
        <f>INDEX('Combined_Data'!H:H, MATCH(A539, 'Combined_Data'!A:A, 0))</f>
        <v>Mist</v>
      </c>
      <c r="L539" s="13">
        <f t="shared" si="35"/>
        <v>2</v>
      </c>
    </row>
    <row r="540" spans="1:12" x14ac:dyDescent="0.35">
      <c r="A540" s="10">
        <v>539</v>
      </c>
      <c r="B540" s="11">
        <f>INDEX('Combined_Data'!B:B, MATCH(Derived_Data!A540, 'Combined_Data'!A:A, 0))</f>
        <v>40567</v>
      </c>
      <c r="C540" s="12" t="str">
        <f>INDEX('Combined_Data'!G:G, MATCH(A540, 'Combined_Data'!A:A, 0))</f>
        <v>Monday</v>
      </c>
      <c r="D540" s="12" t="b">
        <f>INDEX('Combined_Data'!F:F, MATCH(A540, 'Combined_Data'!A:A, 0))</f>
        <v>0</v>
      </c>
      <c r="E540" s="12">
        <f>INDEX('Combined_Data'!O:O, MATCH(A540, 'Combined_Data'!A:A, 0))</f>
        <v>45</v>
      </c>
      <c r="F540" s="12">
        <f>INDEX('Combined_Data'!M:M, MATCH(A540, 'Combined_Data'!A:A, 0))</f>
        <v>2</v>
      </c>
      <c r="G540" s="12">
        <f>INDEX('Combined_Data'!N:N, MATCH(A540, 'Combined_Data'!A:A, 0))</f>
        <v>43</v>
      </c>
      <c r="H540" s="12" t="str">
        <f t="shared" si="32"/>
        <v>Weekday</v>
      </c>
      <c r="I540" s="12" t="str">
        <f t="shared" si="33"/>
        <v>Working Day</v>
      </c>
      <c r="J540" s="12" t="str">
        <f t="shared" si="34"/>
        <v>Low</v>
      </c>
      <c r="K540" s="12" t="str">
        <f>INDEX('Combined_Data'!H:H, MATCH(A540, 'Combined_Data'!A:A, 0))</f>
        <v>Mist</v>
      </c>
      <c r="L540" s="13">
        <f t="shared" si="35"/>
        <v>2</v>
      </c>
    </row>
    <row r="541" spans="1:12" x14ac:dyDescent="0.35">
      <c r="A541" s="10">
        <v>540</v>
      </c>
      <c r="B541" s="11">
        <f>INDEX('Combined_Data'!B:B, MATCH(Derived_Data!A541, 'Combined_Data'!A:A, 0))</f>
        <v>40567</v>
      </c>
      <c r="C541" s="12" t="str">
        <f>INDEX('Combined_Data'!G:G, MATCH(A541, 'Combined_Data'!A:A, 0))</f>
        <v>Monday</v>
      </c>
      <c r="D541" s="12" t="b">
        <f>INDEX('Combined_Data'!F:F, MATCH(A541, 'Combined_Data'!A:A, 0))</f>
        <v>0</v>
      </c>
      <c r="E541" s="12">
        <f>INDEX('Combined_Data'!O:O, MATCH(A541, 'Combined_Data'!A:A, 0))</f>
        <v>57</v>
      </c>
      <c r="F541" s="12">
        <f>INDEX('Combined_Data'!M:M, MATCH(A541, 'Combined_Data'!A:A, 0))</f>
        <v>7</v>
      </c>
      <c r="G541" s="12">
        <f>INDEX('Combined_Data'!N:N, MATCH(A541, 'Combined_Data'!A:A, 0))</f>
        <v>50</v>
      </c>
      <c r="H541" s="12" t="str">
        <f t="shared" si="32"/>
        <v>Weekday</v>
      </c>
      <c r="I541" s="12" t="str">
        <f t="shared" si="33"/>
        <v>Working Day</v>
      </c>
      <c r="J541" s="12" t="str">
        <f t="shared" si="34"/>
        <v>Low</v>
      </c>
      <c r="K541" s="12" t="str">
        <f>INDEX('Combined_Data'!H:H, MATCH(A541, 'Combined_Data'!A:A, 0))</f>
        <v>Clear</v>
      </c>
      <c r="L541" s="13">
        <f t="shared" si="35"/>
        <v>1</v>
      </c>
    </row>
    <row r="542" spans="1:12" x14ac:dyDescent="0.35">
      <c r="A542" s="10">
        <v>541</v>
      </c>
      <c r="B542" s="11">
        <f>INDEX('Combined_Data'!B:B, MATCH(Derived_Data!A542, 'Combined_Data'!A:A, 0))</f>
        <v>40567</v>
      </c>
      <c r="C542" s="12" t="str">
        <f>INDEX('Combined_Data'!G:G, MATCH(A542, 'Combined_Data'!A:A, 0))</f>
        <v>Monday</v>
      </c>
      <c r="D542" s="12" t="b">
        <f>INDEX('Combined_Data'!F:F, MATCH(A542, 'Combined_Data'!A:A, 0))</f>
        <v>0</v>
      </c>
      <c r="E542" s="12">
        <f>INDEX('Combined_Data'!O:O, MATCH(A542, 'Combined_Data'!A:A, 0))</f>
        <v>70</v>
      </c>
      <c r="F542" s="12">
        <f>INDEX('Combined_Data'!M:M, MATCH(A542, 'Combined_Data'!A:A, 0))</f>
        <v>4</v>
      </c>
      <c r="G542" s="12">
        <f>INDEX('Combined_Data'!N:N, MATCH(A542, 'Combined_Data'!A:A, 0))</f>
        <v>66</v>
      </c>
      <c r="H542" s="12" t="str">
        <f t="shared" si="32"/>
        <v>Weekday</v>
      </c>
      <c r="I542" s="12" t="str">
        <f t="shared" si="33"/>
        <v>Working Day</v>
      </c>
      <c r="J542" s="12" t="str">
        <f t="shared" si="34"/>
        <v>Low</v>
      </c>
      <c r="K542" s="12" t="str">
        <f>INDEX('Combined_Data'!H:H, MATCH(A542, 'Combined_Data'!A:A, 0))</f>
        <v>Clear</v>
      </c>
      <c r="L542" s="13">
        <f t="shared" si="35"/>
        <v>1</v>
      </c>
    </row>
    <row r="543" spans="1:12" x14ac:dyDescent="0.35">
      <c r="A543" s="10">
        <v>542</v>
      </c>
      <c r="B543" s="11">
        <f>INDEX('Combined_Data'!B:B, MATCH(Derived_Data!A543, 'Combined_Data'!A:A, 0))</f>
        <v>40567</v>
      </c>
      <c r="C543" s="12" t="str">
        <f>INDEX('Combined_Data'!G:G, MATCH(A543, 'Combined_Data'!A:A, 0))</f>
        <v>Monday</v>
      </c>
      <c r="D543" s="12" t="b">
        <f>INDEX('Combined_Data'!F:F, MATCH(A543, 'Combined_Data'!A:A, 0))</f>
        <v>0</v>
      </c>
      <c r="E543" s="12">
        <f>INDEX('Combined_Data'!O:O, MATCH(A543, 'Combined_Data'!A:A, 0))</f>
        <v>184</v>
      </c>
      <c r="F543" s="12">
        <f>INDEX('Combined_Data'!M:M, MATCH(A543, 'Combined_Data'!A:A, 0))</f>
        <v>6</v>
      </c>
      <c r="G543" s="12">
        <f>INDEX('Combined_Data'!N:N, MATCH(A543, 'Combined_Data'!A:A, 0))</f>
        <v>178</v>
      </c>
      <c r="H543" s="12" t="str">
        <f t="shared" si="32"/>
        <v>Weekday</v>
      </c>
      <c r="I543" s="12" t="str">
        <f t="shared" si="33"/>
        <v>Working Day</v>
      </c>
      <c r="J543" s="12" t="str">
        <f t="shared" si="34"/>
        <v>High</v>
      </c>
      <c r="K543" s="12" t="str">
        <f>INDEX('Combined_Data'!H:H, MATCH(A543, 'Combined_Data'!A:A, 0))</f>
        <v>Clear</v>
      </c>
      <c r="L543" s="13">
        <f t="shared" si="35"/>
        <v>1</v>
      </c>
    </row>
    <row r="544" spans="1:12" x14ac:dyDescent="0.35">
      <c r="A544" s="10">
        <v>543</v>
      </c>
      <c r="B544" s="11">
        <f>INDEX('Combined_Data'!B:B, MATCH(Derived_Data!A544, 'Combined_Data'!A:A, 0))</f>
        <v>40567</v>
      </c>
      <c r="C544" s="12" t="str">
        <f>INDEX('Combined_Data'!G:G, MATCH(A544, 'Combined_Data'!A:A, 0))</f>
        <v>Monday</v>
      </c>
      <c r="D544" s="12" t="b">
        <f>INDEX('Combined_Data'!F:F, MATCH(A544, 'Combined_Data'!A:A, 0))</f>
        <v>0</v>
      </c>
      <c r="E544" s="12">
        <f>INDEX('Combined_Data'!O:O, MATCH(A544, 'Combined_Data'!A:A, 0))</f>
        <v>153</v>
      </c>
      <c r="F544" s="12">
        <f>INDEX('Combined_Data'!M:M, MATCH(A544, 'Combined_Data'!A:A, 0))</f>
        <v>8</v>
      </c>
      <c r="G544" s="12">
        <f>INDEX('Combined_Data'!N:N, MATCH(A544, 'Combined_Data'!A:A, 0))</f>
        <v>145</v>
      </c>
      <c r="H544" s="12" t="str">
        <f t="shared" si="32"/>
        <v>Weekday</v>
      </c>
      <c r="I544" s="12" t="str">
        <f t="shared" si="33"/>
        <v>Working Day</v>
      </c>
      <c r="J544" s="12" t="str">
        <f t="shared" si="34"/>
        <v>High</v>
      </c>
      <c r="K544" s="12" t="str">
        <f>INDEX('Combined_Data'!H:H, MATCH(A544, 'Combined_Data'!A:A, 0))</f>
        <v>Clear</v>
      </c>
      <c r="L544" s="13">
        <f t="shared" si="35"/>
        <v>1</v>
      </c>
    </row>
    <row r="545" spans="1:12" x14ac:dyDescent="0.35">
      <c r="A545" s="10">
        <v>544</v>
      </c>
      <c r="B545" s="11">
        <f>INDEX('Combined_Data'!B:B, MATCH(Derived_Data!A545, 'Combined_Data'!A:A, 0))</f>
        <v>40567</v>
      </c>
      <c r="C545" s="12" t="str">
        <f>INDEX('Combined_Data'!G:G, MATCH(A545, 'Combined_Data'!A:A, 0))</f>
        <v>Monday</v>
      </c>
      <c r="D545" s="12" t="b">
        <f>INDEX('Combined_Data'!F:F, MATCH(A545, 'Combined_Data'!A:A, 0))</f>
        <v>0</v>
      </c>
      <c r="E545" s="12">
        <f>INDEX('Combined_Data'!O:O, MATCH(A545, 'Combined_Data'!A:A, 0))</f>
        <v>106</v>
      </c>
      <c r="F545" s="12">
        <f>INDEX('Combined_Data'!M:M, MATCH(A545, 'Combined_Data'!A:A, 0))</f>
        <v>5</v>
      </c>
      <c r="G545" s="12">
        <f>INDEX('Combined_Data'!N:N, MATCH(A545, 'Combined_Data'!A:A, 0))</f>
        <v>101</v>
      </c>
      <c r="H545" s="12" t="str">
        <f t="shared" si="32"/>
        <v>Weekday</v>
      </c>
      <c r="I545" s="12" t="str">
        <f t="shared" si="33"/>
        <v>Working Day</v>
      </c>
      <c r="J545" s="12" t="str">
        <f t="shared" si="34"/>
        <v>Medium</v>
      </c>
      <c r="K545" s="12" t="str">
        <f>INDEX('Combined_Data'!H:H, MATCH(A545, 'Combined_Data'!A:A, 0))</f>
        <v>Clear</v>
      </c>
      <c r="L545" s="13">
        <f t="shared" si="35"/>
        <v>1</v>
      </c>
    </row>
    <row r="546" spans="1:12" x14ac:dyDescent="0.35">
      <c r="A546" s="10">
        <v>545</v>
      </c>
      <c r="B546" s="11">
        <f>INDEX('Combined_Data'!B:B, MATCH(Derived_Data!A546, 'Combined_Data'!A:A, 0))</f>
        <v>40567</v>
      </c>
      <c r="C546" s="12" t="str">
        <f>INDEX('Combined_Data'!G:G, MATCH(A546, 'Combined_Data'!A:A, 0))</f>
        <v>Monday</v>
      </c>
      <c r="D546" s="12" t="b">
        <f>INDEX('Combined_Data'!F:F, MATCH(A546, 'Combined_Data'!A:A, 0))</f>
        <v>0</v>
      </c>
      <c r="E546" s="12">
        <f>INDEX('Combined_Data'!O:O, MATCH(A546, 'Combined_Data'!A:A, 0))</f>
        <v>81</v>
      </c>
      <c r="F546" s="12">
        <f>INDEX('Combined_Data'!M:M, MATCH(A546, 'Combined_Data'!A:A, 0))</f>
        <v>1</v>
      </c>
      <c r="G546" s="12">
        <f>INDEX('Combined_Data'!N:N, MATCH(A546, 'Combined_Data'!A:A, 0))</f>
        <v>80</v>
      </c>
      <c r="H546" s="12" t="str">
        <f t="shared" si="32"/>
        <v>Weekday</v>
      </c>
      <c r="I546" s="12" t="str">
        <f t="shared" si="33"/>
        <v>Working Day</v>
      </c>
      <c r="J546" s="12" t="str">
        <f t="shared" si="34"/>
        <v>Low</v>
      </c>
      <c r="K546" s="12" t="str">
        <f>INDEX('Combined_Data'!H:H, MATCH(A546, 'Combined_Data'!A:A, 0))</f>
        <v>Clear</v>
      </c>
      <c r="L546" s="13">
        <f t="shared" si="35"/>
        <v>1</v>
      </c>
    </row>
    <row r="547" spans="1:12" x14ac:dyDescent="0.35">
      <c r="A547" s="10">
        <v>546</v>
      </c>
      <c r="B547" s="11">
        <f>INDEX('Combined_Data'!B:B, MATCH(Derived_Data!A547, 'Combined_Data'!A:A, 0))</f>
        <v>40567</v>
      </c>
      <c r="C547" s="12" t="str">
        <f>INDEX('Combined_Data'!G:G, MATCH(A547, 'Combined_Data'!A:A, 0))</f>
        <v>Monday</v>
      </c>
      <c r="D547" s="12" t="b">
        <f>INDEX('Combined_Data'!F:F, MATCH(A547, 'Combined_Data'!A:A, 0))</f>
        <v>0</v>
      </c>
      <c r="E547" s="12">
        <f>INDEX('Combined_Data'!O:O, MATCH(A547, 'Combined_Data'!A:A, 0))</f>
        <v>59</v>
      </c>
      <c r="F547" s="12">
        <f>INDEX('Combined_Data'!M:M, MATCH(A547, 'Combined_Data'!A:A, 0))</f>
        <v>6</v>
      </c>
      <c r="G547" s="12">
        <f>INDEX('Combined_Data'!N:N, MATCH(A547, 'Combined_Data'!A:A, 0))</f>
        <v>53</v>
      </c>
      <c r="H547" s="12" t="str">
        <f t="shared" si="32"/>
        <v>Weekday</v>
      </c>
      <c r="I547" s="12" t="str">
        <f t="shared" si="33"/>
        <v>Working Day</v>
      </c>
      <c r="J547" s="12" t="str">
        <f t="shared" si="34"/>
        <v>Low</v>
      </c>
      <c r="K547" s="12" t="str">
        <f>INDEX('Combined_Data'!H:H, MATCH(A547, 'Combined_Data'!A:A, 0))</f>
        <v>Clear</v>
      </c>
      <c r="L547" s="13">
        <f t="shared" si="35"/>
        <v>1</v>
      </c>
    </row>
    <row r="548" spans="1:12" x14ac:dyDescent="0.35">
      <c r="A548" s="10">
        <v>547</v>
      </c>
      <c r="B548" s="11">
        <f>INDEX('Combined_Data'!B:B, MATCH(Derived_Data!A548, 'Combined_Data'!A:A, 0))</f>
        <v>40567</v>
      </c>
      <c r="C548" s="12" t="str">
        <f>INDEX('Combined_Data'!G:G, MATCH(A548, 'Combined_Data'!A:A, 0))</f>
        <v>Monday</v>
      </c>
      <c r="D548" s="12" t="b">
        <f>INDEX('Combined_Data'!F:F, MATCH(A548, 'Combined_Data'!A:A, 0))</f>
        <v>0</v>
      </c>
      <c r="E548" s="12">
        <f>INDEX('Combined_Data'!O:O, MATCH(A548, 'Combined_Data'!A:A, 0))</f>
        <v>35</v>
      </c>
      <c r="F548" s="12">
        <f>INDEX('Combined_Data'!M:M, MATCH(A548, 'Combined_Data'!A:A, 0))</f>
        <v>3</v>
      </c>
      <c r="G548" s="12">
        <f>INDEX('Combined_Data'!N:N, MATCH(A548, 'Combined_Data'!A:A, 0))</f>
        <v>32</v>
      </c>
      <c r="H548" s="12" t="str">
        <f t="shared" si="32"/>
        <v>Weekday</v>
      </c>
      <c r="I548" s="12" t="str">
        <f t="shared" si="33"/>
        <v>Working Day</v>
      </c>
      <c r="J548" s="12" t="str">
        <f t="shared" si="34"/>
        <v>Low</v>
      </c>
      <c r="K548" s="12" t="str">
        <f>INDEX('Combined_Data'!H:H, MATCH(A548, 'Combined_Data'!A:A, 0))</f>
        <v>Mist</v>
      </c>
      <c r="L548" s="13">
        <f t="shared" si="35"/>
        <v>2</v>
      </c>
    </row>
    <row r="549" spans="1:12" x14ac:dyDescent="0.35">
      <c r="A549" s="10">
        <v>548</v>
      </c>
      <c r="B549" s="11">
        <f>INDEX('Combined_Data'!B:B, MATCH(Derived_Data!A549, 'Combined_Data'!A:A, 0))</f>
        <v>40567</v>
      </c>
      <c r="C549" s="12" t="str">
        <f>INDEX('Combined_Data'!G:G, MATCH(A549, 'Combined_Data'!A:A, 0))</f>
        <v>Monday</v>
      </c>
      <c r="D549" s="12" t="b">
        <f>INDEX('Combined_Data'!F:F, MATCH(A549, 'Combined_Data'!A:A, 0))</f>
        <v>0</v>
      </c>
      <c r="E549" s="12">
        <f>INDEX('Combined_Data'!O:O, MATCH(A549, 'Combined_Data'!A:A, 0))</f>
        <v>24</v>
      </c>
      <c r="F549" s="12">
        <f>INDEX('Combined_Data'!M:M, MATCH(A549, 'Combined_Data'!A:A, 0))</f>
        <v>3</v>
      </c>
      <c r="G549" s="12">
        <f>INDEX('Combined_Data'!N:N, MATCH(A549, 'Combined_Data'!A:A, 0))</f>
        <v>21</v>
      </c>
      <c r="H549" s="12" t="str">
        <f t="shared" si="32"/>
        <v>Weekday</v>
      </c>
      <c r="I549" s="12" t="str">
        <f t="shared" si="33"/>
        <v>Working Day</v>
      </c>
      <c r="J549" s="12" t="str">
        <f t="shared" si="34"/>
        <v>Low</v>
      </c>
      <c r="K549" s="12" t="str">
        <f>INDEX('Combined_Data'!H:H, MATCH(A549, 'Combined_Data'!A:A, 0))</f>
        <v>Mist</v>
      </c>
      <c r="L549" s="13">
        <f t="shared" si="35"/>
        <v>2</v>
      </c>
    </row>
    <row r="550" spans="1:12" x14ac:dyDescent="0.35">
      <c r="A550" s="10">
        <v>549</v>
      </c>
      <c r="B550" s="11">
        <f>INDEX('Combined_Data'!B:B, MATCH(Derived_Data!A550, 'Combined_Data'!A:A, 0))</f>
        <v>40568</v>
      </c>
      <c r="C550" s="12" t="str">
        <f>INDEX('Combined_Data'!G:G, MATCH(A550, 'Combined_Data'!A:A, 0))</f>
        <v>Tuesday</v>
      </c>
      <c r="D550" s="12" t="b">
        <f>INDEX('Combined_Data'!F:F, MATCH(A550, 'Combined_Data'!A:A, 0))</f>
        <v>0</v>
      </c>
      <c r="E550" s="12">
        <f>INDEX('Combined_Data'!O:O, MATCH(A550, 'Combined_Data'!A:A, 0))</f>
        <v>9</v>
      </c>
      <c r="F550" s="12">
        <f>INDEX('Combined_Data'!M:M, MATCH(A550, 'Combined_Data'!A:A, 0))</f>
        <v>3</v>
      </c>
      <c r="G550" s="12">
        <f>INDEX('Combined_Data'!N:N, MATCH(A550, 'Combined_Data'!A:A, 0))</f>
        <v>6</v>
      </c>
      <c r="H550" s="12" t="str">
        <f t="shared" si="32"/>
        <v>Weekday</v>
      </c>
      <c r="I550" s="12" t="str">
        <f t="shared" si="33"/>
        <v>Working Day</v>
      </c>
      <c r="J550" s="12" t="str">
        <f t="shared" si="34"/>
        <v>Low</v>
      </c>
      <c r="K550" s="12" t="str">
        <f>INDEX('Combined_Data'!H:H, MATCH(A550, 'Combined_Data'!A:A, 0))</f>
        <v>Mist</v>
      </c>
      <c r="L550" s="13">
        <f t="shared" si="35"/>
        <v>2</v>
      </c>
    </row>
    <row r="551" spans="1:12" x14ac:dyDescent="0.35">
      <c r="A551" s="10">
        <v>550</v>
      </c>
      <c r="B551" s="11">
        <f>INDEX('Combined_Data'!B:B, MATCH(Derived_Data!A551, 'Combined_Data'!A:A, 0))</f>
        <v>40568</v>
      </c>
      <c r="C551" s="12" t="str">
        <f>INDEX('Combined_Data'!G:G, MATCH(A551, 'Combined_Data'!A:A, 0))</f>
        <v>Tuesday</v>
      </c>
      <c r="D551" s="12" t="b">
        <f>INDEX('Combined_Data'!F:F, MATCH(A551, 'Combined_Data'!A:A, 0))</f>
        <v>0</v>
      </c>
      <c r="E551" s="12">
        <f>INDEX('Combined_Data'!O:O, MATCH(A551, 'Combined_Data'!A:A, 0))</f>
        <v>5</v>
      </c>
      <c r="F551" s="12">
        <f>INDEX('Combined_Data'!M:M, MATCH(A551, 'Combined_Data'!A:A, 0))</f>
        <v>0</v>
      </c>
      <c r="G551" s="12">
        <f>INDEX('Combined_Data'!N:N, MATCH(A551, 'Combined_Data'!A:A, 0))</f>
        <v>5</v>
      </c>
      <c r="H551" s="12" t="str">
        <f t="shared" si="32"/>
        <v>Weekday</v>
      </c>
      <c r="I551" s="12" t="str">
        <f t="shared" si="33"/>
        <v>Working Day</v>
      </c>
      <c r="J551" s="12" t="str">
        <f t="shared" si="34"/>
        <v>Low</v>
      </c>
      <c r="K551" s="12" t="str">
        <f>INDEX('Combined_Data'!H:H, MATCH(A551, 'Combined_Data'!A:A, 0))</f>
        <v>Mist</v>
      </c>
      <c r="L551" s="13">
        <f t="shared" si="35"/>
        <v>2</v>
      </c>
    </row>
    <row r="552" spans="1:12" x14ac:dyDescent="0.35">
      <c r="A552" s="10">
        <v>551</v>
      </c>
      <c r="B552" s="11">
        <f>INDEX('Combined_Data'!B:B, MATCH(Derived_Data!A552, 'Combined_Data'!A:A, 0))</f>
        <v>40568</v>
      </c>
      <c r="C552" s="12" t="str">
        <f>INDEX('Combined_Data'!G:G, MATCH(A552, 'Combined_Data'!A:A, 0))</f>
        <v>Tuesday</v>
      </c>
      <c r="D552" s="12" t="b">
        <f>INDEX('Combined_Data'!F:F, MATCH(A552, 'Combined_Data'!A:A, 0))</f>
        <v>0</v>
      </c>
      <c r="E552" s="12">
        <f>INDEX('Combined_Data'!O:O, MATCH(A552, 'Combined_Data'!A:A, 0))</f>
        <v>2</v>
      </c>
      <c r="F552" s="12">
        <f>INDEX('Combined_Data'!M:M, MATCH(A552, 'Combined_Data'!A:A, 0))</f>
        <v>0</v>
      </c>
      <c r="G552" s="12">
        <f>INDEX('Combined_Data'!N:N, MATCH(A552, 'Combined_Data'!A:A, 0))</f>
        <v>2</v>
      </c>
      <c r="H552" s="12" t="str">
        <f t="shared" si="32"/>
        <v>Weekday</v>
      </c>
      <c r="I552" s="12" t="str">
        <f t="shared" si="33"/>
        <v>Working Day</v>
      </c>
      <c r="J552" s="12" t="str">
        <f t="shared" si="34"/>
        <v>Low</v>
      </c>
      <c r="K552" s="12" t="str">
        <f>INDEX('Combined_Data'!H:H, MATCH(A552, 'Combined_Data'!A:A, 0))</f>
        <v>Clear</v>
      </c>
      <c r="L552" s="13">
        <f t="shared" si="35"/>
        <v>1</v>
      </c>
    </row>
    <row r="553" spans="1:12" x14ac:dyDescent="0.35">
      <c r="A553" s="10">
        <v>552</v>
      </c>
      <c r="B553" s="11">
        <f>INDEX('Combined_Data'!B:B, MATCH(Derived_Data!A553, 'Combined_Data'!A:A, 0))</f>
        <v>40568</v>
      </c>
      <c r="C553" s="12" t="str">
        <f>INDEX('Combined_Data'!G:G, MATCH(A553, 'Combined_Data'!A:A, 0))</f>
        <v>Tuesday</v>
      </c>
      <c r="D553" s="12" t="b">
        <f>INDEX('Combined_Data'!F:F, MATCH(A553, 'Combined_Data'!A:A, 0))</f>
        <v>0</v>
      </c>
      <c r="E553" s="12">
        <f>INDEX('Combined_Data'!O:O, MATCH(A553, 'Combined_Data'!A:A, 0))</f>
        <v>1</v>
      </c>
      <c r="F553" s="12">
        <f>INDEX('Combined_Data'!M:M, MATCH(A553, 'Combined_Data'!A:A, 0))</f>
        <v>0</v>
      </c>
      <c r="G553" s="12">
        <f>INDEX('Combined_Data'!N:N, MATCH(A553, 'Combined_Data'!A:A, 0))</f>
        <v>1</v>
      </c>
      <c r="H553" s="12" t="str">
        <f t="shared" si="32"/>
        <v>Weekday</v>
      </c>
      <c r="I553" s="12" t="str">
        <f t="shared" si="33"/>
        <v>Working Day</v>
      </c>
      <c r="J553" s="12" t="str">
        <f t="shared" si="34"/>
        <v>Low</v>
      </c>
      <c r="K553" s="12" t="str">
        <f>INDEX('Combined_Data'!H:H, MATCH(A553, 'Combined_Data'!A:A, 0))</f>
        <v>Clear</v>
      </c>
      <c r="L553" s="13">
        <f t="shared" si="35"/>
        <v>1</v>
      </c>
    </row>
    <row r="554" spans="1:12" x14ac:dyDescent="0.35">
      <c r="A554" s="10">
        <v>553</v>
      </c>
      <c r="B554" s="11">
        <f>INDEX('Combined_Data'!B:B, MATCH(Derived_Data!A554, 'Combined_Data'!A:A, 0))</f>
        <v>40568</v>
      </c>
      <c r="C554" s="12" t="str">
        <f>INDEX('Combined_Data'!G:G, MATCH(A554, 'Combined_Data'!A:A, 0))</f>
        <v>Tuesday</v>
      </c>
      <c r="D554" s="12" t="b">
        <f>INDEX('Combined_Data'!F:F, MATCH(A554, 'Combined_Data'!A:A, 0))</f>
        <v>0</v>
      </c>
      <c r="E554" s="12">
        <f>INDEX('Combined_Data'!O:O, MATCH(A554, 'Combined_Data'!A:A, 0))</f>
        <v>9</v>
      </c>
      <c r="F554" s="12">
        <f>INDEX('Combined_Data'!M:M, MATCH(A554, 'Combined_Data'!A:A, 0))</f>
        <v>0</v>
      </c>
      <c r="G554" s="12">
        <f>INDEX('Combined_Data'!N:N, MATCH(A554, 'Combined_Data'!A:A, 0))</f>
        <v>9</v>
      </c>
      <c r="H554" s="12" t="str">
        <f t="shared" si="32"/>
        <v>Weekday</v>
      </c>
      <c r="I554" s="12" t="str">
        <f t="shared" si="33"/>
        <v>Working Day</v>
      </c>
      <c r="J554" s="12" t="str">
        <f t="shared" si="34"/>
        <v>Low</v>
      </c>
      <c r="K554" s="12" t="str">
        <f>INDEX('Combined_Data'!H:H, MATCH(A554, 'Combined_Data'!A:A, 0))</f>
        <v>Clear</v>
      </c>
      <c r="L554" s="13">
        <f t="shared" si="35"/>
        <v>1</v>
      </c>
    </row>
    <row r="555" spans="1:12" x14ac:dyDescent="0.35">
      <c r="A555" s="10">
        <v>554</v>
      </c>
      <c r="B555" s="11">
        <f>INDEX('Combined_Data'!B:B, MATCH(Derived_Data!A555, 'Combined_Data'!A:A, 0))</f>
        <v>40568</v>
      </c>
      <c r="C555" s="12" t="str">
        <f>INDEX('Combined_Data'!G:G, MATCH(A555, 'Combined_Data'!A:A, 0))</f>
        <v>Tuesday</v>
      </c>
      <c r="D555" s="12" t="b">
        <f>INDEX('Combined_Data'!F:F, MATCH(A555, 'Combined_Data'!A:A, 0))</f>
        <v>0</v>
      </c>
      <c r="E555" s="12">
        <f>INDEX('Combined_Data'!O:O, MATCH(A555, 'Combined_Data'!A:A, 0))</f>
        <v>36</v>
      </c>
      <c r="F555" s="12">
        <f>INDEX('Combined_Data'!M:M, MATCH(A555, 'Combined_Data'!A:A, 0))</f>
        <v>1</v>
      </c>
      <c r="G555" s="12">
        <f>INDEX('Combined_Data'!N:N, MATCH(A555, 'Combined_Data'!A:A, 0))</f>
        <v>35</v>
      </c>
      <c r="H555" s="12" t="str">
        <f t="shared" si="32"/>
        <v>Weekday</v>
      </c>
      <c r="I555" s="12" t="str">
        <f t="shared" si="33"/>
        <v>Working Day</v>
      </c>
      <c r="J555" s="12" t="str">
        <f t="shared" si="34"/>
        <v>Low</v>
      </c>
      <c r="K555" s="12" t="str">
        <f>INDEX('Combined_Data'!H:H, MATCH(A555, 'Combined_Data'!A:A, 0))</f>
        <v>Clear</v>
      </c>
      <c r="L555" s="13">
        <f t="shared" si="35"/>
        <v>1</v>
      </c>
    </row>
    <row r="556" spans="1:12" x14ac:dyDescent="0.35">
      <c r="A556" s="10">
        <v>555</v>
      </c>
      <c r="B556" s="11">
        <f>INDEX('Combined_Data'!B:B, MATCH(Derived_Data!A556, 'Combined_Data'!A:A, 0))</f>
        <v>40568</v>
      </c>
      <c r="C556" s="12" t="str">
        <f>INDEX('Combined_Data'!G:G, MATCH(A556, 'Combined_Data'!A:A, 0))</f>
        <v>Tuesday</v>
      </c>
      <c r="D556" s="12" t="b">
        <f>INDEX('Combined_Data'!F:F, MATCH(A556, 'Combined_Data'!A:A, 0))</f>
        <v>0</v>
      </c>
      <c r="E556" s="12">
        <f>INDEX('Combined_Data'!O:O, MATCH(A556, 'Combined_Data'!A:A, 0))</f>
        <v>108</v>
      </c>
      <c r="F556" s="12">
        <f>INDEX('Combined_Data'!M:M, MATCH(A556, 'Combined_Data'!A:A, 0))</f>
        <v>5</v>
      </c>
      <c r="G556" s="12">
        <f>INDEX('Combined_Data'!N:N, MATCH(A556, 'Combined_Data'!A:A, 0))</f>
        <v>103</v>
      </c>
      <c r="H556" s="12" t="str">
        <f t="shared" si="32"/>
        <v>Weekday</v>
      </c>
      <c r="I556" s="12" t="str">
        <f t="shared" si="33"/>
        <v>Working Day</v>
      </c>
      <c r="J556" s="12" t="str">
        <f t="shared" si="34"/>
        <v>Medium</v>
      </c>
      <c r="K556" s="12" t="str">
        <f>INDEX('Combined_Data'!H:H, MATCH(A556, 'Combined_Data'!A:A, 0))</f>
        <v>Clear</v>
      </c>
      <c r="L556" s="13">
        <f t="shared" si="35"/>
        <v>1</v>
      </c>
    </row>
    <row r="557" spans="1:12" x14ac:dyDescent="0.35">
      <c r="A557" s="10">
        <v>556</v>
      </c>
      <c r="B557" s="11">
        <f>INDEX('Combined_Data'!B:B, MATCH(Derived_Data!A557, 'Combined_Data'!A:A, 0))</f>
        <v>40568</v>
      </c>
      <c r="C557" s="12" t="str">
        <f>INDEX('Combined_Data'!G:G, MATCH(A557, 'Combined_Data'!A:A, 0))</f>
        <v>Tuesday</v>
      </c>
      <c r="D557" s="12" t="b">
        <f>INDEX('Combined_Data'!F:F, MATCH(A557, 'Combined_Data'!A:A, 0))</f>
        <v>0</v>
      </c>
      <c r="E557" s="12">
        <f>INDEX('Combined_Data'!O:O, MATCH(A557, 'Combined_Data'!A:A, 0))</f>
        <v>238</v>
      </c>
      <c r="F557" s="12">
        <f>INDEX('Combined_Data'!M:M, MATCH(A557, 'Combined_Data'!A:A, 0))</f>
        <v>5</v>
      </c>
      <c r="G557" s="12">
        <f>INDEX('Combined_Data'!N:N, MATCH(A557, 'Combined_Data'!A:A, 0))</f>
        <v>233</v>
      </c>
      <c r="H557" s="12" t="str">
        <f t="shared" si="32"/>
        <v>Weekday</v>
      </c>
      <c r="I557" s="12" t="str">
        <f t="shared" si="33"/>
        <v>Working Day</v>
      </c>
      <c r="J557" s="12" t="str">
        <f t="shared" si="34"/>
        <v>High</v>
      </c>
      <c r="K557" s="12" t="str">
        <f>INDEX('Combined_Data'!H:H, MATCH(A557, 'Combined_Data'!A:A, 0))</f>
        <v>Mist</v>
      </c>
      <c r="L557" s="13">
        <f t="shared" si="35"/>
        <v>2</v>
      </c>
    </row>
    <row r="558" spans="1:12" x14ac:dyDescent="0.35">
      <c r="A558" s="10">
        <v>557</v>
      </c>
      <c r="B558" s="11">
        <f>INDEX('Combined_Data'!B:B, MATCH(Derived_Data!A558, 'Combined_Data'!A:A, 0))</f>
        <v>40568</v>
      </c>
      <c r="C558" s="12" t="str">
        <f>INDEX('Combined_Data'!G:G, MATCH(A558, 'Combined_Data'!A:A, 0))</f>
        <v>Tuesday</v>
      </c>
      <c r="D558" s="12" t="b">
        <f>INDEX('Combined_Data'!F:F, MATCH(A558, 'Combined_Data'!A:A, 0))</f>
        <v>0</v>
      </c>
      <c r="E558" s="12">
        <f>INDEX('Combined_Data'!O:O, MATCH(A558, 'Combined_Data'!A:A, 0))</f>
        <v>144</v>
      </c>
      <c r="F558" s="12">
        <f>INDEX('Combined_Data'!M:M, MATCH(A558, 'Combined_Data'!A:A, 0))</f>
        <v>10</v>
      </c>
      <c r="G558" s="12">
        <f>INDEX('Combined_Data'!N:N, MATCH(A558, 'Combined_Data'!A:A, 0))</f>
        <v>134</v>
      </c>
      <c r="H558" s="12" t="str">
        <f t="shared" si="32"/>
        <v>Weekday</v>
      </c>
      <c r="I558" s="12" t="str">
        <f t="shared" si="33"/>
        <v>Working Day</v>
      </c>
      <c r="J558" s="12" t="str">
        <f t="shared" si="34"/>
        <v>Medium</v>
      </c>
      <c r="K558" s="12" t="str">
        <f>INDEX('Combined_Data'!H:H, MATCH(A558, 'Combined_Data'!A:A, 0))</f>
        <v>Mist</v>
      </c>
      <c r="L558" s="13">
        <f t="shared" si="35"/>
        <v>2</v>
      </c>
    </row>
    <row r="559" spans="1:12" x14ac:dyDescent="0.35">
      <c r="A559" s="10">
        <v>558</v>
      </c>
      <c r="B559" s="11">
        <f>INDEX('Combined_Data'!B:B, MATCH(Derived_Data!A559, 'Combined_Data'!A:A, 0))</f>
        <v>40568</v>
      </c>
      <c r="C559" s="12" t="str">
        <f>INDEX('Combined_Data'!G:G, MATCH(A559, 'Combined_Data'!A:A, 0))</f>
        <v>Tuesday</v>
      </c>
      <c r="D559" s="12" t="b">
        <f>INDEX('Combined_Data'!F:F, MATCH(A559, 'Combined_Data'!A:A, 0))</f>
        <v>0</v>
      </c>
      <c r="E559" s="12">
        <f>INDEX('Combined_Data'!O:O, MATCH(A559, 'Combined_Data'!A:A, 0))</f>
        <v>55</v>
      </c>
      <c r="F559" s="12">
        <f>INDEX('Combined_Data'!M:M, MATCH(A559, 'Combined_Data'!A:A, 0))</f>
        <v>6</v>
      </c>
      <c r="G559" s="12">
        <f>INDEX('Combined_Data'!N:N, MATCH(A559, 'Combined_Data'!A:A, 0))</f>
        <v>49</v>
      </c>
      <c r="H559" s="12" t="str">
        <f t="shared" si="32"/>
        <v>Weekday</v>
      </c>
      <c r="I559" s="12" t="str">
        <f t="shared" si="33"/>
        <v>Working Day</v>
      </c>
      <c r="J559" s="12" t="str">
        <f t="shared" si="34"/>
        <v>Low</v>
      </c>
      <c r="K559" s="12" t="str">
        <f>INDEX('Combined_Data'!H:H, MATCH(A559, 'Combined_Data'!A:A, 0))</f>
        <v>Mist</v>
      </c>
      <c r="L559" s="13">
        <f t="shared" si="35"/>
        <v>2</v>
      </c>
    </row>
    <row r="560" spans="1:12" x14ac:dyDescent="0.35">
      <c r="A560" s="10">
        <v>559</v>
      </c>
      <c r="B560" s="11">
        <f>INDEX('Combined_Data'!B:B, MATCH(Derived_Data!A560, 'Combined_Data'!A:A, 0))</f>
        <v>40568</v>
      </c>
      <c r="C560" s="12" t="str">
        <f>INDEX('Combined_Data'!G:G, MATCH(A560, 'Combined_Data'!A:A, 0))</f>
        <v>Tuesday</v>
      </c>
      <c r="D560" s="12" t="b">
        <f>INDEX('Combined_Data'!F:F, MATCH(A560, 'Combined_Data'!A:A, 0))</f>
        <v>0</v>
      </c>
      <c r="E560" s="12">
        <f>INDEX('Combined_Data'!O:O, MATCH(A560, 'Combined_Data'!A:A, 0))</f>
        <v>61</v>
      </c>
      <c r="F560" s="12">
        <f>INDEX('Combined_Data'!M:M, MATCH(A560, 'Combined_Data'!A:A, 0))</f>
        <v>6</v>
      </c>
      <c r="G560" s="12">
        <f>INDEX('Combined_Data'!N:N, MATCH(A560, 'Combined_Data'!A:A, 0))</f>
        <v>55</v>
      </c>
      <c r="H560" s="12" t="str">
        <f t="shared" si="32"/>
        <v>Weekday</v>
      </c>
      <c r="I560" s="12" t="str">
        <f t="shared" si="33"/>
        <v>Working Day</v>
      </c>
      <c r="J560" s="12" t="str">
        <f t="shared" si="34"/>
        <v>Low</v>
      </c>
      <c r="K560" s="12" t="str">
        <f>INDEX('Combined_Data'!H:H, MATCH(A560, 'Combined_Data'!A:A, 0))</f>
        <v>Mist</v>
      </c>
      <c r="L560" s="13">
        <f t="shared" si="35"/>
        <v>2</v>
      </c>
    </row>
    <row r="561" spans="1:12" x14ac:dyDescent="0.35">
      <c r="A561" s="10">
        <v>560</v>
      </c>
      <c r="B561" s="11">
        <f>INDEX('Combined_Data'!B:B, MATCH(Derived_Data!A561, 'Combined_Data'!A:A, 0))</f>
        <v>40568</v>
      </c>
      <c r="C561" s="12" t="str">
        <f>INDEX('Combined_Data'!G:G, MATCH(A561, 'Combined_Data'!A:A, 0))</f>
        <v>Tuesday</v>
      </c>
      <c r="D561" s="12" t="b">
        <f>INDEX('Combined_Data'!F:F, MATCH(A561, 'Combined_Data'!A:A, 0))</f>
        <v>0</v>
      </c>
      <c r="E561" s="12">
        <f>INDEX('Combined_Data'!O:O, MATCH(A561, 'Combined_Data'!A:A, 0))</f>
        <v>106</v>
      </c>
      <c r="F561" s="12">
        <f>INDEX('Combined_Data'!M:M, MATCH(A561, 'Combined_Data'!A:A, 0))</f>
        <v>21</v>
      </c>
      <c r="G561" s="12">
        <f>INDEX('Combined_Data'!N:N, MATCH(A561, 'Combined_Data'!A:A, 0))</f>
        <v>85</v>
      </c>
      <c r="H561" s="12" t="str">
        <f t="shared" si="32"/>
        <v>Weekday</v>
      </c>
      <c r="I561" s="12" t="str">
        <f t="shared" si="33"/>
        <v>Working Day</v>
      </c>
      <c r="J561" s="12" t="str">
        <f t="shared" si="34"/>
        <v>Medium</v>
      </c>
      <c r="K561" s="12" t="str">
        <f>INDEX('Combined_Data'!H:H, MATCH(A561, 'Combined_Data'!A:A, 0))</f>
        <v>Mist</v>
      </c>
      <c r="L561" s="13">
        <f t="shared" si="35"/>
        <v>2</v>
      </c>
    </row>
    <row r="562" spans="1:12" x14ac:dyDescent="0.35">
      <c r="A562" s="10">
        <v>561</v>
      </c>
      <c r="B562" s="11">
        <f>INDEX('Combined_Data'!B:B, MATCH(Derived_Data!A562, 'Combined_Data'!A:A, 0))</f>
        <v>40568</v>
      </c>
      <c r="C562" s="12" t="str">
        <f>INDEX('Combined_Data'!G:G, MATCH(A562, 'Combined_Data'!A:A, 0))</f>
        <v>Tuesday</v>
      </c>
      <c r="D562" s="12" t="b">
        <f>INDEX('Combined_Data'!F:F, MATCH(A562, 'Combined_Data'!A:A, 0))</f>
        <v>0</v>
      </c>
      <c r="E562" s="12">
        <f>INDEX('Combined_Data'!O:O, MATCH(A562, 'Combined_Data'!A:A, 0))</f>
        <v>93</v>
      </c>
      <c r="F562" s="12">
        <f>INDEX('Combined_Data'!M:M, MATCH(A562, 'Combined_Data'!A:A, 0))</f>
        <v>21</v>
      </c>
      <c r="G562" s="12">
        <f>INDEX('Combined_Data'!N:N, MATCH(A562, 'Combined_Data'!A:A, 0))</f>
        <v>72</v>
      </c>
      <c r="H562" s="12" t="str">
        <f t="shared" si="32"/>
        <v>Weekday</v>
      </c>
      <c r="I562" s="12" t="str">
        <f t="shared" si="33"/>
        <v>Working Day</v>
      </c>
      <c r="J562" s="12" t="str">
        <f t="shared" si="34"/>
        <v>Low</v>
      </c>
      <c r="K562" s="12" t="str">
        <f>INDEX('Combined_Data'!H:H, MATCH(A562, 'Combined_Data'!A:A, 0))</f>
        <v>Mist</v>
      </c>
      <c r="L562" s="13">
        <f t="shared" si="35"/>
        <v>2</v>
      </c>
    </row>
    <row r="563" spans="1:12" x14ac:dyDescent="0.35">
      <c r="A563" s="10">
        <v>562</v>
      </c>
      <c r="B563" s="11">
        <f>INDEX('Combined_Data'!B:B, MATCH(Derived_Data!A563, 'Combined_Data'!A:A, 0))</f>
        <v>40568</v>
      </c>
      <c r="C563" s="12" t="str">
        <f>INDEX('Combined_Data'!G:G, MATCH(A563, 'Combined_Data'!A:A, 0))</f>
        <v>Tuesday</v>
      </c>
      <c r="D563" s="12" t="b">
        <f>INDEX('Combined_Data'!F:F, MATCH(A563, 'Combined_Data'!A:A, 0))</f>
        <v>0</v>
      </c>
      <c r="E563" s="12">
        <f>INDEX('Combined_Data'!O:O, MATCH(A563, 'Combined_Data'!A:A, 0))</f>
        <v>68</v>
      </c>
      <c r="F563" s="12">
        <f>INDEX('Combined_Data'!M:M, MATCH(A563, 'Combined_Data'!A:A, 0))</f>
        <v>11</v>
      </c>
      <c r="G563" s="12">
        <f>INDEX('Combined_Data'!N:N, MATCH(A563, 'Combined_Data'!A:A, 0))</f>
        <v>57</v>
      </c>
      <c r="H563" s="12" t="str">
        <f t="shared" si="32"/>
        <v>Weekday</v>
      </c>
      <c r="I563" s="12" t="str">
        <f t="shared" si="33"/>
        <v>Working Day</v>
      </c>
      <c r="J563" s="12" t="str">
        <f t="shared" si="34"/>
        <v>Low</v>
      </c>
      <c r="K563" s="12" t="str">
        <f>INDEX('Combined_Data'!H:H, MATCH(A563, 'Combined_Data'!A:A, 0))</f>
        <v>Mist</v>
      </c>
      <c r="L563" s="13">
        <f t="shared" si="35"/>
        <v>2</v>
      </c>
    </row>
    <row r="564" spans="1:12" x14ac:dyDescent="0.35">
      <c r="A564" s="10">
        <v>563</v>
      </c>
      <c r="B564" s="11">
        <f>INDEX('Combined_Data'!B:B, MATCH(Derived_Data!A564, 'Combined_Data'!A:A, 0))</f>
        <v>40568</v>
      </c>
      <c r="C564" s="12" t="str">
        <f>INDEX('Combined_Data'!G:G, MATCH(A564, 'Combined_Data'!A:A, 0))</f>
        <v>Tuesday</v>
      </c>
      <c r="D564" s="12" t="b">
        <f>INDEX('Combined_Data'!F:F, MATCH(A564, 'Combined_Data'!A:A, 0))</f>
        <v>0</v>
      </c>
      <c r="E564" s="12">
        <f>INDEX('Combined_Data'!O:O, MATCH(A564, 'Combined_Data'!A:A, 0))</f>
        <v>84</v>
      </c>
      <c r="F564" s="12">
        <f>INDEX('Combined_Data'!M:M, MATCH(A564, 'Combined_Data'!A:A, 0))</f>
        <v>21</v>
      </c>
      <c r="G564" s="12">
        <f>INDEX('Combined_Data'!N:N, MATCH(A564, 'Combined_Data'!A:A, 0))</f>
        <v>63</v>
      </c>
      <c r="H564" s="12" t="str">
        <f t="shared" si="32"/>
        <v>Weekday</v>
      </c>
      <c r="I564" s="12" t="str">
        <f t="shared" si="33"/>
        <v>Working Day</v>
      </c>
      <c r="J564" s="12" t="str">
        <f t="shared" si="34"/>
        <v>Low</v>
      </c>
      <c r="K564" s="12" t="str">
        <f>INDEX('Combined_Data'!H:H, MATCH(A564, 'Combined_Data'!A:A, 0))</f>
        <v>Mist</v>
      </c>
      <c r="L564" s="13">
        <f t="shared" si="35"/>
        <v>2</v>
      </c>
    </row>
    <row r="565" spans="1:12" x14ac:dyDescent="0.35">
      <c r="A565" s="10">
        <v>564</v>
      </c>
      <c r="B565" s="11">
        <f>INDEX('Combined_Data'!B:B, MATCH(Derived_Data!A565, 'Combined_Data'!A:A, 0))</f>
        <v>40568</v>
      </c>
      <c r="C565" s="12" t="str">
        <f>INDEX('Combined_Data'!G:G, MATCH(A565, 'Combined_Data'!A:A, 0))</f>
        <v>Tuesday</v>
      </c>
      <c r="D565" s="12" t="b">
        <f>INDEX('Combined_Data'!F:F, MATCH(A565, 'Combined_Data'!A:A, 0))</f>
        <v>0</v>
      </c>
      <c r="E565" s="12">
        <f>INDEX('Combined_Data'!O:O, MATCH(A565, 'Combined_Data'!A:A, 0))</f>
        <v>116</v>
      </c>
      <c r="F565" s="12">
        <f>INDEX('Combined_Data'!M:M, MATCH(A565, 'Combined_Data'!A:A, 0))</f>
        <v>14</v>
      </c>
      <c r="G565" s="12">
        <f>INDEX('Combined_Data'!N:N, MATCH(A565, 'Combined_Data'!A:A, 0))</f>
        <v>102</v>
      </c>
      <c r="H565" s="12" t="str">
        <f t="shared" si="32"/>
        <v>Weekday</v>
      </c>
      <c r="I565" s="12" t="str">
        <f t="shared" si="33"/>
        <v>Working Day</v>
      </c>
      <c r="J565" s="12" t="str">
        <f t="shared" si="34"/>
        <v>Medium</v>
      </c>
      <c r="K565" s="12" t="str">
        <f>INDEX('Combined_Data'!H:H, MATCH(A565, 'Combined_Data'!A:A, 0))</f>
        <v>Mist</v>
      </c>
      <c r="L565" s="13">
        <f t="shared" si="35"/>
        <v>2</v>
      </c>
    </row>
    <row r="566" spans="1:12" x14ac:dyDescent="0.35">
      <c r="A566" s="10">
        <v>565</v>
      </c>
      <c r="B566" s="11">
        <f>INDEX('Combined_Data'!B:B, MATCH(Derived_Data!A566, 'Combined_Data'!A:A, 0))</f>
        <v>40568</v>
      </c>
      <c r="C566" s="12" t="str">
        <f>INDEX('Combined_Data'!G:G, MATCH(A566, 'Combined_Data'!A:A, 0))</f>
        <v>Tuesday</v>
      </c>
      <c r="D566" s="12" t="b">
        <f>INDEX('Combined_Data'!F:F, MATCH(A566, 'Combined_Data'!A:A, 0))</f>
        <v>0</v>
      </c>
      <c r="E566" s="12">
        <f>INDEX('Combined_Data'!O:O, MATCH(A566, 'Combined_Data'!A:A, 0))</f>
        <v>222</v>
      </c>
      <c r="F566" s="12">
        <f>INDEX('Combined_Data'!M:M, MATCH(A566, 'Combined_Data'!A:A, 0))</f>
        <v>14</v>
      </c>
      <c r="G566" s="12">
        <f>INDEX('Combined_Data'!N:N, MATCH(A566, 'Combined_Data'!A:A, 0))</f>
        <v>208</v>
      </c>
      <c r="H566" s="12" t="str">
        <f t="shared" si="32"/>
        <v>Weekday</v>
      </c>
      <c r="I566" s="12" t="str">
        <f t="shared" si="33"/>
        <v>Working Day</v>
      </c>
      <c r="J566" s="12" t="str">
        <f t="shared" si="34"/>
        <v>High</v>
      </c>
      <c r="K566" s="12" t="str">
        <f>INDEX('Combined_Data'!H:H, MATCH(A566, 'Combined_Data'!A:A, 0))</f>
        <v>Clear</v>
      </c>
      <c r="L566" s="13">
        <f t="shared" si="35"/>
        <v>1</v>
      </c>
    </row>
    <row r="567" spans="1:12" x14ac:dyDescent="0.35">
      <c r="A567" s="10">
        <v>566</v>
      </c>
      <c r="B567" s="11">
        <f>INDEX('Combined_Data'!B:B, MATCH(Derived_Data!A567, 'Combined_Data'!A:A, 0))</f>
        <v>40568</v>
      </c>
      <c r="C567" s="12" t="str">
        <f>INDEX('Combined_Data'!G:G, MATCH(A567, 'Combined_Data'!A:A, 0))</f>
        <v>Tuesday</v>
      </c>
      <c r="D567" s="12" t="b">
        <f>INDEX('Combined_Data'!F:F, MATCH(A567, 'Combined_Data'!A:A, 0))</f>
        <v>0</v>
      </c>
      <c r="E567" s="12">
        <f>INDEX('Combined_Data'!O:O, MATCH(A567, 'Combined_Data'!A:A, 0))</f>
        <v>225</v>
      </c>
      <c r="F567" s="12">
        <f>INDEX('Combined_Data'!M:M, MATCH(A567, 'Combined_Data'!A:A, 0))</f>
        <v>7</v>
      </c>
      <c r="G567" s="12">
        <f>INDEX('Combined_Data'!N:N, MATCH(A567, 'Combined_Data'!A:A, 0))</f>
        <v>218</v>
      </c>
      <c r="H567" s="12" t="str">
        <f t="shared" si="32"/>
        <v>Weekday</v>
      </c>
      <c r="I567" s="12" t="str">
        <f t="shared" si="33"/>
        <v>Working Day</v>
      </c>
      <c r="J567" s="12" t="str">
        <f t="shared" si="34"/>
        <v>High</v>
      </c>
      <c r="K567" s="12" t="str">
        <f>INDEX('Combined_Data'!H:H, MATCH(A567, 'Combined_Data'!A:A, 0))</f>
        <v>Mist</v>
      </c>
      <c r="L567" s="13">
        <f t="shared" si="35"/>
        <v>2</v>
      </c>
    </row>
    <row r="568" spans="1:12" x14ac:dyDescent="0.35">
      <c r="A568" s="10">
        <v>567</v>
      </c>
      <c r="B568" s="11">
        <f>INDEX('Combined_Data'!B:B, MATCH(Derived_Data!A568, 'Combined_Data'!A:A, 0))</f>
        <v>40568</v>
      </c>
      <c r="C568" s="12" t="str">
        <f>INDEX('Combined_Data'!G:G, MATCH(A568, 'Combined_Data'!A:A, 0))</f>
        <v>Tuesday</v>
      </c>
      <c r="D568" s="12" t="b">
        <f>INDEX('Combined_Data'!F:F, MATCH(A568, 'Combined_Data'!A:A, 0))</f>
        <v>0</v>
      </c>
      <c r="E568" s="12">
        <f>INDEX('Combined_Data'!O:O, MATCH(A568, 'Combined_Data'!A:A, 0))</f>
        <v>146</v>
      </c>
      <c r="F568" s="12">
        <f>INDEX('Combined_Data'!M:M, MATCH(A568, 'Combined_Data'!A:A, 0))</f>
        <v>13</v>
      </c>
      <c r="G568" s="12">
        <f>INDEX('Combined_Data'!N:N, MATCH(A568, 'Combined_Data'!A:A, 0))</f>
        <v>133</v>
      </c>
      <c r="H568" s="12" t="str">
        <f t="shared" si="32"/>
        <v>Weekday</v>
      </c>
      <c r="I568" s="12" t="str">
        <f t="shared" si="33"/>
        <v>Working Day</v>
      </c>
      <c r="J568" s="12" t="str">
        <f t="shared" si="34"/>
        <v>Medium</v>
      </c>
      <c r="K568" s="12" t="str">
        <f>INDEX('Combined_Data'!H:H, MATCH(A568, 'Combined_Data'!A:A, 0))</f>
        <v>Mist</v>
      </c>
      <c r="L568" s="13">
        <f t="shared" si="35"/>
        <v>2</v>
      </c>
    </row>
    <row r="569" spans="1:12" x14ac:dyDescent="0.35">
      <c r="A569" s="10">
        <v>568</v>
      </c>
      <c r="B569" s="11">
        <f>INDEX('Combined_Data'!B:B, MATCH(Derived_Data!A569, 'Combined_Data'!A:A, 0))</f>
        <v>40568</v>
      </c>
      <c r="C569" s="12" t="str">
        <f>INDEX('Combined_Data'!G:G, MATCH(A569, 'Combined_Data'!A:A, 0))</f>
        <v>Tuesday</v>
      </c>
      <c r="D569" s="12" t="b">
        <f>INDEX('Combined_Data'!F:F, MATCH(A569, 'Combined_Data'!A:A, 0))</f>
        <v>0</v>
      </c>
      <c r="E569" s="12">
        <f>INDEX('Combined_Data'!O:O, MATCH(A569, 'Combined_Data'!A:A, 0))</f>
        <v>119</v>
      </c>
      <c r="F569" s="12">
        <f>INDEX('Combined_Data'!M:M, MATCH(A569, 'Combined_Data'!A:A, 0))</f>
        <v>16</v>
      </c>
      <c r="G569" s="12">
        <f>INDEX('Combined_Data'!N:N, MATCH(A569, 'Combined_Data'!A:A, 0))</f>
        <v>103</v>
      </c>
      <c r="H569" s="12" t="str">
        <f t="shared" si="32"/>
        <v>Weekday</v>
      </c>
      <c r="I569" s="12" t="str">
        <f t="shared" si="33"/>
        <v>Working Day</v>
      </c>
      <c r="J569" s="12" t="str">
        <f t="shared" si="34"/>
        <v>Medium</v>
      </c>
      <c r="K569" s="12" t="str">
        <f>INDEX('Combined_Data'!H:H, MATCH(A569, 'Combined_Data'!A:A, 0))</f>
        <v>Clear</v>
      </c>
      <c r="L569" s="13">
        <f t="shared" si="35"/>
        <v>1</v>
      </c>
    </row>
    <row r="570" spans="1:12" x14ac:dyDescent="0.35">
      <c r="A570" s="10">
        <v>569</v>
      </c>
      <c r="B570" s="11">
        <f>INDEX('Combined_Data'!B:B, MATCH(Derived_Data!A570, 'Combined_Data'!A:A, 0))</f>
        <v>40568</v>
      </c>
      <c r="C570" s="12" t="str">
        <f>INDEX('Combined_Data'!G:G, MATCH(A570, 'Combined_Data'!A:A, 0))</f>
        <v>Tuesday</v>
      </c>
      <c r="D570" s="12" t="b">
        <f>INDEX('Combined_Data'!F:F, MATCH(A570, 'Combined_Data'!A:A, 0))</f>
        <v>0</v>
      </c>
      <c r="E570" s="12">
        <f>INDEX('Combined_Data'!O:O, MATCH(A570, 'Combined_Data'!A:A, 0))</f>
        <v>45</v>
      </c>
      <c r="F570" s="12">
        <f>INDEX('Combined_Data'!M:M, MATCH(A570, 'Combined_Data'!A:A, 0))</f>
        <v>5</v>
      </c>
      <c r="G570" s="12">
        <f>INDEX('Combined_Data'!N:N, MATCH(A570, 'Combined_Data'!A:A, 0))</f>
        <v>40</v>
      </c>
      <c r="H570" s="12" t="str">
        <f t="shared" si="32"/>
        <v>Weekday</v>
      </c>
      <c r="I570" s="12" t="str">
        <f t="shared" si="33"/>
        <v>Working Day</v>
      </c>
      <c r="J570" s="12" t="str">
        <f t="shared" si="34"/>
        <v>Low</v>
      </c>
      <c r="K570" s="12" t="str">
        <f>INDEX('Combined_Data'!H:H, MATCH(A570, 'Combined_Data'!A:A, 0))</f>
        <v>Clear</v>
      </c>
      <c r="L570" s="13">
        <f t="shared" si="35"/>
        <v>1</v>
      </c>
    </row>
    <row r="571" spans="1:12" x14ac:dyDescent="0.35">
      <c r="A571" s="10">
        <v>570</v>
      </c>
      <c r="B571" s="11">
        <f>INDEX('Combined_Data'!B:B, MATCH(Derived_Data!A571, 'Combined_Data'!A:A, 0))</f>
        <v>40568</v>
      </c>
      <c r="C571" s="12" t="str">
        <f>INDEX('Combined_Data'!G:G, MATCH(A571, 'Combined_Data'!A:A, 0))</f>
        <v>Tuesday</v>
      </c>
      <c r="D571" s="12" t="b">
        <f>INDEX('Combined_Data'!F:F, MATCH(A571, 'Combined_Data'!A:A, 0))</f>
        <v>0</v>
      </c>
      <c r="E571" s="12">
        <f>INDEX('Combined_Data'!O:O, MATCH(A571, 'Combined_Data'!A:A, 0))</f>
        <v>53</v>
      </c>
      <c r="F571" s="12">
        <f>INDEX('Combined_Data'!M:M, MATCH(A571, 'Combined_Data'!A:A, 0))</f>
        <v>4</v>
      </c>
      <c r="G571" s="12">
        <f>INDEX('Combined_Data'!N:N, MATCH(A571, 'Combined_Data'!A:A, 0))</f>
        <v>49</v>
      </c>
      <c r="H571" s="12" t="str">
        <f t="shared" si="32"/>
        <v>Weekday</v>
      </c>
      <c r="I571" s="12" t="str">
        <f t="shared" si="33"/>
        <v>Working Day</v>
      </c>
      <c r="J571" s="12" t="str">
        <f t="shared" si="34"/>
        <v>Low</v>
      </c>
      <c r="K571" s="12" t="str">
        <f>INDEX('Combined_Data'!H:H, MATCH(A571, 'Combined_Data'!A:A, 0))</f>
        <v>Clear</v>
      </c>
      <c r="L571" s="13">
        <f t="shared" si="35"/>
        <v>1</v>
      </c>
    </row>
    <row r="572" spans="1:12" x14ac:dyDescent="0.35">
      <c r="A572" s="10">
        <v>571</v>
      </c>
      <c r="B572" s="11">
        <f>INDEX('Combined_Data'!B:B, MATCH(Derived_Data!A572, 'Combined_Data'!A:A, 0))</f>
        <v>40568</v>
      </c>
      <c r="C572" s="12" t="str">
        <f>INDEX('Combined_Data'!G:G, MATCH(A572, 'Combined_Data'!A:A, 0))</f>
        <v>Tuesday</v>
      </c>
      <c r="D572" s="12" t="b">
        <f>INDEX('Combined_Data'!F:F, MATCH(A572, 'Combined_Data'!A:A, 0))</f>
        <v>0</v>
      </c>
      <c r="E572" s="12">
        <f>INDEX('Combined_Data'!O:O, MATCH(A572, 'Combined_Data'!A:A, 0))</f>
        <v>40</v>
      </c>
      <c r="F572" s="12">
        <f>INDEX('Combined_Data'!M:M, MATCH(A572, 'Combined_Data'!A:A, 0))</f>
        <v>3</v>
      </c>
      <c r="G572" s="12">
        <f>INDEX('Combined_Data'!N:N, MATCH(A572, 'Combined_Data'!A:A, 0))</f>
        <v>37</v>
      </c>
      <c r="H572" s="12" t="str">
        <f t="shared" si="32"/>
        <v>Weekday</v>
      </c>
      <c r="I572" s="12" t="str">
        <f t="shared" si="33"/>
        <v>Working Day</v>
      </c>
      <c r="J572" s="12" t="str">
        <f t="shared" si="34"/>
        <v>Low</v>
      </c>
      <c r="K572" s="12" t="str">
        <f>INDEX('Combined_Data'!H:H, MATCH(A572, 'Combined_Data'!A:A, 0))</f>
        <v>Mist</v>
      </c>
      <c r="L572" s="13">
        <f t="shared" si="35"/>
        <v>2</v>
      </c>
    </row>
    <row r="573" spans="1:12" x14ac:dyDescent="0.35">
      <c r="A573" s="10">
        <v>572</v>
      </c>
      <c r="B573" s="11">
        <f>INDEX('Combined_Data'!B:B, MATCH(Derived_Data!A573, 'Combined_Data'!A:A, 0))</f>
        <v>40569</v>
      </c>
      <c r="C573" s="12" t="str">
        <f>INDEX('Combined_Data'!G:G, MATCH(A573, 'Combined_Data'!A:A, 0))</f>
        <v>Wednesday</v>
      </c>
      <c r="D573" s="12" t="b">
        <f>INDEX('Combined_Data'!F:F, MATCH(A573, 'Combined_Data'!A:A, 0))</f>
        <v>0</v>
      </c>
      <c r="E573" s="12">
        <f>INDEX('Combined_Data'!O:O, MATCH(A573, 'Combined_Data'!A:A, 0))</f>
        <v>17</v>
      </c>
      <c r="F573" s="12">
        <f>INDEX('Combined_Data'!M:M, MATCH(A573, 'Combined_Data'!A:A, 0))</f>
        <v>3</v>
      </c>
      <c r="G573" s="12">
        <f>INDEX('Combined_Data'!N:N, MATCH(A573, 'Combined_Data'!A:A, 0))</f>
        <v>14</v>
      </c>
      <c r="H573" s="12" t="str">
        <f t="shared" si="32"/>
        <v>Weekday</v>
      </c>
      <c r="I573" s="12" t="str">
        <f t="shared" si="33"/>
        <v>Working Day</v>
      </c>
      <c r="J573" s="12" t="str">
        <f t="shared" si="34"/>
        <v>Low</v>
      </c>
      <c r="K573" s="12" t="str">
        <f>INDEX('Combined_Data'!H:H, MATCH(A573, 'Combined_Data'!A:A, 0))</f>
        <v>Mist</v>
      </c>
      <c r="L573" s="13">
        <f t="shared" si="35"/>
        <v>2</v>
      </c>
    </row>
    <row r="574" spans="1:12" x14ac:dyDescent="0.35">
      <c r="A574" s="10">
        <v>573</v>
      </c>
      <c r="B574" s="11">
        <f>INDEX('Combined_Data'!B:B, MATCH(Derived_Data!A574, 'Combined_Data'!A:A, 0))</f>
        <v>40569</v>
      </c>
      <c r="C574" s="12" t="str">
        <f>INDEX('Combined_Data'!G:G, MATCH(A574, 'Combined_Data'!A:A, 0))</f>
        <v>Wednesday</v>
      </c>
      <c r="D574" s="12" t="b">
        <f>INDEX('Combined_Data'!F:F, MATCH(A574, 'Combined_Data'!A:A, 0))</f>
        <v>0</v>
      </c>
      <c r="E574" s="12">
        <f>INDEX('Combined_Data'!O:O, MATCH(A574, 'Combined_Data'!A:A, 0))</f>
        <v>5</v>
      </c>
      <c r="F574" s="12">
        <f>INDEX('Combined_Data'!M:M, MATCH(A574, 'Combined_Data'!A:A, 0))</f>
        <v>0</v>
      </c>
      <c r="G574" s="12">
        <f>INDEX('Combined_Data'!N:N, MATCH(A574, 'Combined_Data'!A:A, 0))</f>
        <v>5</v>
      </c>
      <c r="H574" s="12" t="str">
        <f t="shared" si="32"/>
        <v>Weekday</v>
      </c>
      <c r="I574" s="12" t="str">
        <f t="shared" si="33"/>
        <v>Working Day</v>
      </c>
      <c r="J574" s="12" t="str">
        <f t="shared" si="34"/>
        <v>Low</v>
      </c>
      <c r="K574" s="12" t="str">
        <f>INDEX('Combined_Data'!H:H, MATCH(A574, 'Combined_Data'!A:A, 0))</f>
        <v>Mist</v>
      </c>
      <c r="L574" s="13">
        <f t="shared" si="35"/>
        <v>2</v>
      </c>
    </row>
    <row r="575" spans="1:12" x14ac:dyDescent="0.35">
      <c r="A575" s="10">
        <v>574</v>
      </c>
      <c r="B575" s="11">
        <f>INDEX('Combined_Data'!B:B, MATCH(Derived_Data!A575, 'Combined_Data'!A:A, 0))</f>
        <v>40569</v>
      </c>
      <c r="C575" s="12" t="str">
        <f>INDEX('Combined_Data'!G:G, MATCH(A575, 'Combined_Data'!A:A, 0))</f>
        <v>Wednesday</v>
      </c>
      <c r="D575" s="12" t="b">
        <f>INDEX('Combined_Data'!F:F, MATCH(A575, 'Combined_Data'!A:A, 0))</f>
        <v>0</v>
      </c>
      <c r="E575" s="12">
        <f>INDEX('Combined_Data'!O:O, MATCH(A575, 'Combined_Data'!A:A, 0))</f>
        <v>10</v>
      </c>
      <c r="F575" s="12">
        <f>INDEX('Combined_Data'!M:M, MATCH(A575, 'Combined_Data'!A:A, 0))</f>
        <v>3</v>
      </c>
      <c r="G575" s="12">
        <f>INDEX('Combined_Data'!N:N, MATCH(A575, 'Combined_Data'!A:A, 0))</f>
        <v>7</v>
      </c>
      <c r="H575" s="12" t="str">
        <f t="shared" si="32"/>
        <v>Weekday</v>
      </c>
      <c r="I575" s="12" t="str">
        <f t="shared" si="33"/>
        <v>Working Day</v>
      </c>
      <c r="J575" s="12" t="str">
        <f t="shared" si="34"/>
        <v>Low</v>
      </c>
      <c r="K575" s="12" t="str">
        <f>INDEX('Combined_Data'!H:H, MATCH(A575, 'Combined_Data'!A:A, 0))</f>
        <v>Light Snow</v>
      </c>
      <c r="L575" s="13">
        <f t="shared" si="35"/>
        <v>3</v>
      </c>
    </row>
    <row r="576" spans="1:12" x14ac:dyDescent="0.35">
      <c r="A576" s="10">
        <v>575</v>
      </c>
      <c r="B576" s="11">
        <f>INDEX('Combined_Data'!B:B, MATCH(Derived_Data!A576, 'Combined_Data'!A:A, 0))</f>
        <v>40569</v>
      </c>
      <c r="C576" s="12" t="str">
        <f>INDEX('Combined_Data'!G:G, MATCH(A576, 'Combined_Data'!A:A, 0))</f>
        <v>Wednesday</v>
      </c>
      <c r="D576" s="12" t="b">
        <f>INDEX('Combined_Data'!F:F, MATCH(A576, 'Combined_Data'!A:A, 0))</f>
        <v>0</v>
      </c>
      <c r="E576" s="12">
        <f>INDEX('Combined_Data'!O:O, MATCH(A576, 'Combined_Data'!A:A, 0))</f>
        <v>1</v>
      </c>
      <c r="F576" s="12">
        <f>INDEX('Combined_Data'!M:M, MATCH(A576, 'Combined_Data'!A:A, 0))</f>
        <v>0</v>
      </c>
      <c r="G576" s="12">
        <f>INDEX('Combined_Data'!N:N, MATCH(A576, 'Combined_Data'!A:A, 0))</f>
        <v>1</v>
      </c>
      <c r="H576" s="12" t="str">
        <f t="shared" si="32"/>
        <v>Weekday</v>
      </c>
      <c r="I576" s="12" t="str">
        <f t="shared" si="33"/>
        <v>Working Day</v>
      </c>
      <c r="J576" s="12" t="str">
        <f t="shared" si="34"/>
        <v>Low</v>
      </c>
      <c r="K576" s="12" t="str">
        <f>INDEX('Combined_Data'!H:H, MATCH(A576, 'Combined_Data'!A:A, 0))</f>
        <v>Light Snow</v>
      </c>
      <c r="L576" s="13">
        <f t="shared" si="35"/>
        <v>3</v>
      </c>
    </row>
    <row r="577" spans="1:12" x14ac:dyDescent="0.35">
      <c r="A577" s="10">
        <v>576</v>
      </c>
      <c r="B577" s="11">
        <f>INDEX('Combined_Data'!B:B, MATCH(Derived_Data!A577, 'Combined_Data'!A:A, 0))</f>
        <v>40569</v>
      </c>
      <c r="C577" s="12" t="str">
        <f>INDEX('Combined_Data'!G:G, MATCH(A577, 'Combined_Data'!A:A, 0))</f>
        <v>Wednesday</v>
      </c>
      <c r="D577" s="12" t="b">
        <f>INDEX('Combined_Data'!F:F, MATCH(A577, 'Combined_Data'!A:A, 0))</f>
        <v>0</v>
      </c>
      <c r="E577" s="12">
        <f>INDEX('Combined_Data'!O:O, MATCH(A577, 'Combined_Data'!A:A, 0))</f>
        <v>8</v>
      </c>
      <c r="F577" s="12">
        <f>INDEX('Combined_Data'!M:M, MATCH(A577, 'Combined_Data'!A:A, 0))</f>
        <v>0</v>
      </c>
      <c r="G577" s="12">
        <f>INDEX('Combined_Data'!N:N, MATCH(A577, 'Combined_Data'!A:A, 0))</f>
        <v>8</v>
      </c>
      <c r="H577" s="12" t="str">
        <f t="shared" si="32"/>
        <v>Weekday</v>
      </c>
      <c r="I577" s="12" t="str">
        <f t="shared" si="33"/>
        <v>Working Day</v>
      </c>
      <c r="J577" s="12" t="str">
        <f t="shared" si="34"/>
        <v>Low</v>
      </c>
      <c r="K577" s="12" t="str">
        <f>INDEX('Combined_Data'!H:H, MATCH(A577, 'Combined_Data'!A:A, 0))</f>
        <v>Light Snow</v>
      </c>
      <c r="L577" s="13">
        <f t="shared" si="35"/>
        <v>3</v>
      </c>
    </row>
    <row r="578" spans="1:12" x14ac:dyDescent="0.35">
      <c r="A578" s="10">
        <v>577</v>
      </c>
      <c r="B578" s="11">
        <f>INDEX('Combined_Data'!B:B, MATCH(Derived_Data!A578, 'Combined_Data'!A:A, 0))</f>
        <v>40569</v>
      </c>
      <c r="C578" s="12" t="str">
        <f>INDEX('Combined_Data'!G:G, MATCH(A578, 'Combined_Data'!A:A, 0))</f>
        <v>Wednesday</v>
      </c>
      <c r="D578" s="12" t="b">
        <f>INDEX('Combined_Data'!F:F, MATCH(A578, 'Combined_Data'!A:A, 0))</f>
        <v>0</v>
      </c>
      <c r="E578" s="12">
        <f>INDEX('Combined_Data'!O:O, MATCH(A578, 'Combined_Data'!A:A, 0))</f>
        <v>30</v>
      </c>
      <c r="F578" s="12">
        <f>INDEX('Combined_Data'!M:M, MATCH(A578, 'Combined_Data'!A:A, 0))</f>
        <v>1</v>
      </c>
      <c r="G578" s="12">
        <f>INDEX('Combined_Data'!N:N, MATCH(A578, 'Combined_Data'!A:A, 0))</f>
        <v>29</v>
      </c>
      <c r="H578" s="12" t="str">
        <f t="shared" si="32"/>
        <v>Weekday</v>
      </c>
      <c r="I578" s="12" t="str">
        <f t="shared" si="33"/>
        <v>Working Day</v>
      </c>
      <c r="J578" s="12" t="str">
        <f t="shared" si="34"/>
        <v>Low</v>
      </c>
      <c r="K578" s="12" t="str">
        <f>INDEX('Combined_Data'!H:H, MATCH(A578, 'Combined_Data'!A:A, 0))</f>
        <v>Light Snow</v>
      </c>
      <c r="L578" s="13">
        <f t="shared" si="35"/>
        <v>3</v>
      </c>
    </row>
    <row r="579" spans="1:12" x14ac:dyDescent="0.35">
      <c r="A579" s="10">
        <v>578</v>
      </c>
      <c r="B579" s="11">
        <f>INDEX('Combined_Data'!B:B, MATCH(Derived_Data!A579, 'Combined_Data'!A:A, 0))</f>
        <v>40569</v>
      </c>
      <c r="C579" s="12" t="str">
        <f>INDEX('Combined_Data'!G:G, MATCH(A579, 'Combined_Data'!A:A, 0))</f>
        <v>Wednesday</v>
      </c>
      <c r="D579" s="12" t="b">
        <f>INDEX('Combined_Data'!F:F, MATCH(A579, 'Combined_Data'!A:A, 0))</f>
        <v>0</v>
      </c>
      <c r="E579" s="12">
        <f>INDEX('Combined_Data'!O:O, MATCH(A579, 'Combined_Data'!A:A, 0))</f>
        <v>72</v>
      </c>
      <c r="F579" s="12">
        <f>INDEX('Combined_Data'!M:M, MATCH(A579, 'Combined_Data'!A:A, 0))</f>
        <v>3</v>
      </c>
      <c r="G579" s="12">
        <f>INDEX('Combined_Data'!N:N, MATCH(A579, 'Combined_Data'!A:A, 0))</f>
        <v>69</v>
      </c>
      <c r="H579" s="12" t="str">
        <f t="shared" ref="H579:H611" si="36">IF(OR(TRIM(C579)="Saturday",TRIM(C579)="Sunday"),"Weekend","Weekday")</f>
        <v>Weekday</v>
      </c>
      <c r="I579" s="12" t="str">
        <f t="shared" ref="I579:I611" si="37">IF(D579=TRUE,"Holiday","Working Day")</f>
        <v>Working Day</v>
      </c>
      <c r="J579" s="12" t="str">
        <f t="shared" ref="J579:J611" si="38">IF(E579&lt;100,"Low",IF(E579&lt;=150,"Medium","High"))</f>
        <v>Low</v>
      </c>
      <c r="K579" s="12" t="str">
        <f>INDEX('Combined_Data'!H:H, MATCH(A579, 'Combined_Data'!A:A, 0))</f>
        <v>Light Snow</v>
      </c>
      <c r="L579" s="13">
        <f t="shared" ref="L579:L611" si="39">VLOOKUP(TRIM(K579), $T$2:$U$5, 2, FALSE)</f>
        <v>3</v>
      </c>
    </row>
    <row r="580" spans="1:12" x14ac:dyDescent="0.35">
      <c r="A580" s="10">
        <v>579</v>
      </c>
      <c r="B580" s="11">
        <f>INDEX('Combined_Data'!B:B, MATCH(Derived_Data!A580, 'Combined_Data'!A:A, 0))</f>
        <v>40569</v>
      </c>
      <c r="C580" s="12" t="str">
        <f>INDEX('Combined_Data'!G:G, MATCH(A580, 'Combined_Data'!A:A, 0))</f>
        <v>Wednesday</v>
      </c>
      <c r="D580" s="12" t="b">
        <f>INDEX('Combined_Data'!F:F, MATCH(A580, 'Combined_Data'!A:A, 0))</f>
        <v>0</v>
      </c>
      <c r="E580" s="12">
        <f>INDEX('Combined_Data'!O:O, MATCH(A580, 'Combined_Data'!A:A, 0))</f>
        <v>58</v>
      </c>
      <c r="F580" s="12">
        <f>INDEX('Combined_Data'!M:M, MATCH(A580, 'Combined_Data'!A:A, 0))</f>
        <v>3</v>
      </c>
      <c r="G580" s="12">
        <f>INDEX('Combined_Data'!N:N, MATCH(A580, 'Combined_Data'!A:A, 0))</f>
        <v>55</v>
      </c>
      <c r="H580" s="12" t="str">
        <f t="shared" si="36"/>
        <v>Weekday</v>
      </c>
      <c r="I580" s="12" t="str">
        <f t="shared" si="37"/>
        <v>Working Day</v>
      </c>
      <c r="J580" s="12" t="str">
        <f t="shared" si="38"/>
        <v>Low</v>
      </c>
      <c r="K580" s="12" t="str">
        <f>INDEX('Combined_Data'!H:H, MATCH(A580, 'Combined_Data'!A:A, 0))</f>
        <v>Light Snow</v>
      </c>
      <c r="L580" s="13">
        <f t="shared" si="39"/>
        <v>3</v>
      </c>
    </row>
    <row r="581" spans="1:12" x14ac:dyDescent="0.35">
      <c r="A581" s="10">
        <v>580</v>
      </c>
      <c r="B581" s="11">
        <f>INDEX('Combined_Data'!B:B, MATCH(Derived_Data!A581, 'Combined_Data'!A:A, 0))</f>
        <v>40569</v>
      </c>
      <c r="C581" s="12" t="str">
        <f>INDEX('Combined_Data'!G:G, MATCH(A581, 'Combined_Data'!A:A, 0))</f>
        <v>Wednesday</v>
      </c>
      <c r="D581" s="12" t="b">
        <f>INDEX('Combined_Data'!F:F, MATCH(A581, 'Combined_Data'!A:A, 0))</f>
        <v>0</v>
      </c>
      <c r="E581" s="12">
        <f>INDEX('Combined_Data'!O:O, MATCH(A581, 'Combined_Data'!A:A, 0))</f>
        <v>28</v>
      </c>
      <c r="F581" s="12">
        <f>INDEX('Combined_Data'!M:M, MATCH(A581, 'Combined_Data'!A:A, 0))</f>
        <v>2</v>
      </c>
      <c r="G581" s="12">
        <f>INDEX('Combined_Data'!N:N, MATCH(A581, 'Combined_Data'!A:A, 0))</f>
        <v>26</v>
      </c>
      <c r="H581" s="12" t="str">
        <f t="shared" si="36"/>
        <v>Weekday</v>
      </c>
      <c r="I581" s="12" t="str">
        <f t="shared" si="37"/>
        <v>Working Day</v>
      </c>
      <c r="J581" s="12" t="str">
        <f t="shared" si="38"/>
        <v>Low</v>
      </c>
      <c r="K581" s="12" t="str">
        <f>INDEX('Combined_Data'!H:H, MATCH(A581, 'Combined_Data'!A:A, 0))</f>
        <v>Light Snow</v>
      </c>
      <c r="L581" s="13">
        <f t="shared" si="39"/>
        <v>3</v>
      </c>
    </row>
    <row r="582" spans="1:12" x14ac:dyDescent="0.35">
      <c r="A582" s="10">
        <v>581</v>
      </c>
      <c r="B582" s="11">
        <f>INDEX('Combined_Data'!B:B, MATCH(Derived_Data!A582, 'Combined_Data'!A:A, 0))</f>
        <v>40569</v>
      </c>
      <c r="C582" s="12" t="str">
        <f>INDEX('Combined_Data'!G:G, MATCH(A582, 'Combined_Data'!A:A, 0))</f>
        <v>Wednesday</v>
      </c>
      <c r="D582" s="12" t="b">
        <f>INDEX('Combined_Data'!F:F, MATCH(A582, 'Combined_Data'!A:A, 0))</f>
        <v>0</v>
      </c>
      <c r="E582" s="12">
        <f>INDEX('Combined_Data'!O:O, MATCH(A582, 'Combined_Data'!A:A, 0))</f>
        <v>41</v>
      </c>
      <c r="F582" s="12">
        <f>INDEX('Combined_Data'!M:M, MATCH(A582, 'Combined_Data'!A:A, 0))</f>
        <v>6</v>
      </c>
      <c r="G582" s="12">
        <f>INDEX('Combined_Data'!N:N, MATCH(A582, 'Combined_Data'!A:A, 0))</f>
        <v>35</v>
      </c>
      <c r="H582" s="12" t="str">
        <f t="shared" si="36"/>
        <v>Weekday</v>
      </c>
      <c r="I582" s="12" t="str">
        <f t="shared" si="37"/>
        <v>Working Day</v>
      </c>
      <c r="J582" s="12" t="str">
        <f t="shared" si="38"/>
        <v>Low</v>
      </c>
      <c r="K582" s="12" t="str">
        <f>INDEX('Combined_Data'!H:H, MATCH(A582, 'Combined_Data'!A:A, 0))</f>
        <v>Light Snow</v>
      </c>
      <c r="L582" s="13">
        <f t="shared" si="39"/>
        <v>3</v>
      </c>
    </row>
    <row r="583" spans="1:12" x14ac:dyDescent="0.35">
      <c r="A583" s="10">
        <v>582</v>
      </c>
      <c r="B583" s="11">
        <f>INDEX('Combined_Data'!B:B, MATCH(Derived_Data!A583, 'Combined_Data'!A:A, 0))</f>
        <v>40569</v>
      </c>
      <c r="C583" s="12" t="str">
        <f>INDEX('Combined_Data'!G:G, MATCH(A583, 'Combined_Data'!A:A, 0))</f>
        <v>Wednesday</v>
      </c>
      <c r="D583" s="12" t="b">
        <f>INDEX('Combined_Data'!F:F, MATCH(A583, 'Combined_Data'!A:A, 0))</f>
        <v>0</v>
      </c>
      <c r="E583" s="12">
        <f>INDEX('Combined_Data'!O:O, MATCH(A583, 'Combined_Data'!A:A, 0))</f>
        <v>48</v>
      </c>
      <c r="F583" s="12">
        <f>INDEX('Combined_Data'!M:M, MATCH(A583, 'Combined_Data'!A:A, 0))</f>
        <v>7</v>
      </c>
      <c r="G583" s="12">
        <f>INDEX('Combined_Data'!N:N, MATCH(A583, 'Combined_Data'!A:A, 0))</f>
        <v>41</v>
      </c>
      <c r="H583" s="12" t="str">
        <f t="shared" si="36"/>
        <v>Weekday</v>
      </c>
      <c r="I583" s="12" t="str">
        <f t="shared" si="37"/>
        <v>Working Day</v>
      </c>
      <c r="J583" s="12" t="str">
        <f t="shared" si="38"/>
        <v>Low</v>
      </c>
      <c r="K583" s="12" t="str">
        <f>INDEX('Combined_Data'!H:H, MATCH(A583, 'Combined_Data'!A:A, 0))</f>
        <v>Light Snow</v>
      </c>
      <c r="L583" s="13">
        <f t="shared" si="39"/>
        <v>3</v>
      </c>
    </row>
    <row r="584" spans="1:12" x14ac:dyDescent="0.35">
      <c r="A584" s="10">
        <v>583</v>
      </c>
      <c r="B584" s="11">
        <f>INDEX('Combined_Data'!B:B, MATCH(Derived_Data!A584, 'Combined_Data'!A:A, 0))</f>
        <v>40569</v>
      </c>
      <c r="C584" s="12" t="str">
        <f>INDEX('Combined_Data'!G:G, MATCH(A584, 'Combined_Data'!A:A, 0))</f>
        <v>Wednesday</v>
      </c>
      <c r="D584" s="12" t="b">
        <f>INDEX('Combined_Data'!F:F, MATCH(A584, 'Combined_Data'!A:A, 0))</f>
        <v>0</v>
      </c>
      <c r="E584" s="12">
        <f>INDEX('Combined_Data'!O:O, MATCH(A584, 'Combined_Data'!A:A, 0))</f>
        <v>47</v>
      </c>
      <c r="F584" s="12">
        <f>INDEX('Combined_Data'!M:M, MATCH(A584, 'Combined_Data'!A:A, 0))</f>
        <v>4</v>
      </c>
      <c r="G584" s="12">
        <f>INDEX('Combined_Data'!N:N, MATCH(A584, 'Combined_Data'!A:A, 0))</f>
        <v>43</v>
      </c>
      <c r="H584" s="12" t="str">
        <f t="shared" si="36"/>
        <v>Weekday</v>
      </c>
      <c r="I584" s="12" t="str">
        <f t="shared" si="37"/>
        <v>Working Day</v>
      </c>
      <c r="J584" s="12" t="str">
        <f t="shared" si="38"/>
        <v>Low</v>
      </c>
      <c r="K584" s="12" t="str">
        <f>INDEX('Combined_Data'!H:H, MATCH(A584, 'Combined_Data'!A:A, 0))</f>
        <v>Light Snow</v>
      </c>
      <c r="L584" s="13">
        <f t="shared" si="39"/>
        <v>3</v>
      </c>
    </row>
    <row r="585" spans="1:12" x14ac:dyDescent="0.35">
      <c r="A585" s="10">
        <v>584</v>
      </c>
      <c r="B585" s="11">
        <f>INDEX('Combined_Data'!B:B, MATCH(Derived_Data!A585, 'Combined_Data'!A:A, 0))</f>
        <v>40569</v>
      </c>
      <c r="C585" s="12" t="str">
        <f>INDEX('Combined_Data'!G:G, MATCH(A585, 'Combined_Data'!A:A, 0))</f>
        <v>Wednesday</v>
      </c>
      <c r="D585" s="12" t="b">
        <f>INDEX('Combined_Data'!F:F, MATCH(A585, 'Combined_Data'!A:A, 0))</f>
        <v>0</v>
      </c>
      <c r="E585" s="12">
        <f>INDEX('Combined_Data'!O:O, MATCH(A585, 'Combined_Data'!A:A, 0))</f>
        <v>36</v>
      </c>
      <c r="F585" s="12">
        <f>INDEX('Combined_Data'!M:M, MATCH(A585, 'Combined_Data'!A:A, 0))</f>
        <v>0</v>
      </c>
      <c r="G585" s="12">
        <f>INDEX('Combined_Data'!N:N, MATCH(A585, 'Combined_Data'!A:A, 0))</f>
        <v>36</v>
      </c>
      <c r="H585" s="12" t="str">
        <f t="shared" si="36"/>
        <v>Weekday</v>
      </c>
      <c r="I585" s="12" t="str">
        <f t="shared" si="37"/>
        <v>Working Day</v>
      </c>
      <c r="J585" s="12" t="str">
        <f t="shared" si="38"/>
        <v>Low</v>
      </c>
      <c r="K585" s="12" t="str">
        <f>INDEX('Combined_Data'!H:H, MATCH(A585, 'Combined_Data'!A:A, 0))</f>
        <v>Light Snow</v>
      </c>
      <c r="L585" s="13">
        <f t="shared" si="39"/>
        <v>3</v>
      </c>
    </row>
    <row r="586" spans="1:12" x14ac:dyDescent="0.35">
      <c r="A586" s="10">
        <v>585</v>
      </c>
      <c r="B586" s="11">
        <f>INDEX('Combined_Data'!B:B, MATCH(Derived_Data!A586, 'Combined_Data'!A:A, 0))</f>
        <v>40569</v>
      </c>
      <c r="C586" s="12" t="str">
        <f>INDEX('Combined_Data'!G:G, MATCH(A586, 'Combined_Data'!A:A, 0))</f>
        <v>Wednesday</v>
      </c>
      <c r="D586" s="12" t="b">
        <f>INDEX('Combined_Data'!F:F, MATCH(A586, 'Combined_Data'!A:A, 0))</f>
        <v>0</v>
      </c>
      <c r="E586" s="12">
        <f>INDEX('Combined_Data'!O:O, MATCH(A586, 'Combined_Data'!A:A, 0))</f>
        <v>43</v>
      </c>
      <c r="F586" s="12">
        <f>INDEX('Combined_Data'!M:M, MATCH(A586, 'Combined_Data'!A:A, 0))</f>
        <v>1</v>
      </c>
      <c r="G586" s="12">
        <f>INDEX('Combined_Data'!N:N, MATCH(A586, 'Combined_Data'!A:A, 0))</f>
        <v>42</v>
      </c>
      <c r="H586" s="12" t="str">
        <f t="shared" si="36"/>
        <v>Weekday</v>
      </c>
      <c r="I586" s="12" t="str">
        <f t="shared" si="37"/>
        <v>Working Day</v>
      </c>
      <c r="J586" s="12" t="str">
        <f t="shared" si="38"/>
        <v>Low</v>
      </c>
      <c r="K586" s="12" t="str">
        <f>INDEX('Combined_Data'!H:H, MATCH(A586, 'Combined_Data'!A:A, 0))</f>
        <v>Light Snow</v>
      </c>
      <c r="L586" s="13">
        <f t="shared" si="39"/>
        <v>3</v>
      </c>
    </row>
    <row r="587" spans="1:12" x14ac:dyDescent="0.35">
      <c r="A587" s="10">
        <v>586</v>
      </c>
      <c r="B587" s="11">
        <f>INDEX('Combined_Data'!B:B, MATCH(Derived_Data!A587, 'Combined_Data'!A:A, 0))</f>
        <v>40569</v>
      </c>
      <c r="C587" s="12" t="str">
        <f>INDEX('Combined_Data'!G:G, MATCH(A587, 'Combined_Data'!A:A, 0))</f>
        <v>Wednesday</v>
      </c>
      <c r="D587" s="12" t="b">
        <f>INDEX('Combined_Data'!F:F, MATCH(A587, 'Combined_Data'!A:A, 0))</f>
        <v>0</v>
      </c>
      <c r="E587" s="12">
        <f>INDEX('Combined_Data'!O:O, MATCH(A587, 'Combined_Data'!A:A, 0))</f>
        <v>36</v>
      </c>
      <c r="F587" s="12">
        <f>INDEX('Combined_Data'!M:M, MATCH(A587, 'Combined_Data'!A:A, 0))</f>
        <v>1</v>
      </c>
      <c r="G587" s="12">
        <f>INDEX('Combined_Data'!N:N, MATCH(A587, 'Combined_Data'!A:A, 0))</f>
        <v>35</v>
      </c>
      <c r="H587" s="12" t="str">
        <f t="shared" si="36"/>
        <v>Weekday</v>
      </c>
      <c r="I587" s="12" t="str">
        <f t="shared" si="37"/>
        <v>Working Day</v>
      </c>
      <c r="J587" s="12" t="str">
        <f t="shared" si="38"/>
        <v>Low</v>
      </c>
      <c r="K587" s="12" t="str">
        <f>INDEX('Combined_Data'!H:H, MATCH(A587, 'Combined_Data'!A:A, 0))</f>
        <v>Heavy Snow</v>
      </c>
      <c r="L587" s="13">
        <f t="shared" si="39"/>
        <v>4</v>
      </c>
    </row>
    <row r="588" spans="1:12" x14ac:dyDescent="0.35">
      <c r="A588" s="10">
        <v>587</v>
      </c>
      <c r="B588" s="11">
        <f>INDEX('Combined_Data'!B:B, MATCH(Derived_Data!A588, 'Combined_Data'!A:A, 0))</f>
        <v>40569</v>
      </c>
      <c r="C588" s="12" t="str">
        <f>INDEX('Combined_Data'!G:G, MATCH(A588, 'Combined_Data'!A:A, 0))</f>
        <v>Wednesday</v>
      </c>
      <c r="D588" s="12" t="b">
        <f>INDEX('Combined_Data'!F:F, MATCH(A588, 'Combined_Data'!A:A, 0))</f>
        <v>0</v>
      </c>
      <c r="E588" s="12">
        <f>INDEX('Combined_Data'!O:O, MATCH(A588, 'Combined_Data'!A:A, 0))</f>
        <v>26</v>
      </c>
      <c r="F588" s="12">
        <f>INDEX('Combined_Data'!M:M, MATCH(A588, 'Combined_Data'!A:A, 0))</f>
        <v>0</v>
      </c>
      <c r="G588" s="12">
        <f>INDEX('Combined_Data'!N:N, MATCH(A588, 'Combined_Data'!A:A, 0))</f>
        <v>26</v>
      </c>
      <c r="H588" s="12" t="str">
        <f t="shared" si="36"/>
        <v>Weekday</v>
      </c>
      <c r="I588" s="12" t="str">
        <f t="shared" si="37"/>
        <v>Working Day</v>
      </c>
      <c r="J588" s="12" t="str">
        <f t="shared" si="38"/>
        <v>Low</v>
      </c>
      <c r="K588" s="12" t="str">
        <f>INDEX('Combined_Data'!H:H, MATCH(A588, 'Combined_Data'!A:A, 0))</f>
        <v>Light Snow</v>
      </c>
      <c r="L588" s="13">
        <f t="shared" si="39"/>
        <v>3</v>
      </c>
    </row>
    <row r="589" spans="1:12" x14ac:dyDescent="0.35">
      <c r="A589" s="10">
        <v>588</v>
      </c>
      <c r="B589" s="11">
        <f>INDEX('Combined_Data'!B:B, MATCH(Derived_Data!A589, 'Combined_Data'!A:A, 0))</f>
        <v>40570</v>
      </c>
      <c r="C589" s="12" t="str">
        <f>INDEX('Combined_Data'!G:G, MATCH(A589, 'Combined_Data'!A:A, 0))</f>
        <v>Thursday</v>
      </c>
      <c r="D589" s="12" t="b">
        <f>INDEX('Combined_Data'!F:F, MATCH(A589, 'Combined_Data'!A:A, 0))</f>
        <v>0</v>
      </c>
      <c r="E589" s="12">
        <f>INDEX('Combined_Data'!O:O, MATCH(A589, 'Combined_Data'!A:A, 0))</f>
        <v>24</v>
      </c>
      <c r="F589" s="12">
        <f>INDEX('Combined_Data'!M:M, MATCH(A589, 'Combined_Data'!A:A, 0))</f>
        <v>1</v>
      </c>
      <c r="G589" s="12">
        <f>INDEX('Combined_Data'!N:N, MATCH(A589, 'Combined_Data'!A:A, 0))</f>
        <v>23</v>
      </c>
      <c r="H589" s="12" t="str">
        <f t="shared" si="36"/>
        <v>Weekday</v>
      </c>
      <c r="I589" s="12" t="str">
        <f t="shared" si="37"/>
        <v>Working Day</v>
      </c>
      <c r="J589" s="12" t="str">
        <f t="shared" si="38"/>
        <v>Low</v>
      </c>
      <c r="K589" s="12" t="str">
        <f>INDEX('Combined_Data'!H:H, MATCH(A589, 'Combined_Data'!A:A, 0))</f>
        <v>Clear</v>
      </c>
      <c r="L589" s="13">
        <f t="shared" si="39"/>
        <v>1</v>
      </c>
    </row>
    <row r="590" spans="1:12" x14ac:dyDescent="0.35">
      <c r="A590" s="10">
        <v>589</v>
      </c>
      <c r="B590" s="11">
        <f>INDEX('Combined_Data'!B:B, MATCH(Derived_Data!A590, 'Combined_Data'!A:A, 0))</f>
        <v>40570</v>
      </c>
      <c r="C590" s="12" t="str">
        <f>INDEX('Combined_Data'!G:G, MATCH(A590, 'Combined_Data'!A:A, 0))</f>
        <v>Thursday</v>
      </c>
      <c r="D590" s="12" t="b">
        <f>INDEX('Combined_Data'!F:F, MATCH(A590, 'Combined_Data'!A:A, 0))</f>
        <v>0</v>
      </c>
      <c r="E590" s="12">
        <f>INDEX('Combined_Data'!O:O, MATCH(A590, 'Combined_Data'!A:A, 0))</f>
        <v>84</v>
      </c>
      <c r="F590" s="12">
        <f>INDEX('Combined_Data'!M:M, MATCH(A590, 'Combined_Data'!A:A, 0))</f>
        <v>2</v>
      </c>
      <c r="G590" s="12">
        <f>INDEX('Combined_Data'!N:N, MATCH(A590, 'Combined_Data'!A:A, 0))</f>
        <v>82</v>
      </c>
      <c r="H590" s="12" t="str">
        <f t="shared" si="36"/>
        <v>Weekday</v>
      </c>
      <c r="I590" s="12" t="str">
        <f t="shared" si="37"/>
        <v>Working Day</v>
      </c>
      <c r="J590" s="12" t="str">
        <f t="shared" si="38"/>
        <v>Low</v>
      </c>
      <c r="K590" s="12" t="str">
        <f>INDEX('Combined_Data'!H:H, MATCH(A590, 'Combined_Data'!A:A, 0))</f>
        <v>Clear</v>
      </c>
      <c r="L590" s="13">
        <f t="shared" si="39"/>
        <v>1</v>
      </c>
    </row>
    <row r="591" spans="1:12" x14ac:dyDescent="0.35">
      <c r="A591" s="10">
        <v>590</v>
      </c>
      <c r="B591" s="11">
        <f>INDEX('Combined_Data'!B:B, MATCH(Derived_Data!A591, 'Combined_Data'!A:A, 0))</f>
        <v>40570</v>
      </c>
      <c r="C591" s="12" t="str">
        <f>INDEX('Combined_Data'!G:G, MATCH(A591, 'Combined_Data'!A:A, 0))</f>
        <v>Thursday</v>
      </c>
      <c r="D591" s="12" t="b">
        <f>INDEX('Combined_Data'!F:F, MATCH(A591, 'Combined_Data'!A:A, 0))</f>
        <v>0</v>
      </c>
      <c r="E591" s="12">
        <f>INDEX('Combined_Data'!O:O, MATCH(A591, 'Combined_Data'!A:A, 0))</f>
        <v>104</v>
      </c>
      <c r="F591" s="12">
        <f>INDEX('Combined_Data'!M:M, MATCH(A591, 'Combined_Data'!A:A, 0))</f>
        <v>3</v>
      </c>
      <c r="G591" s="12">
        <f>INDEX('Combined_Data'!N:N, MATCH(A591, 'Combined_Data'!A:A, 0))</f>
        <v>101</v>
      </c>
      <c r="H591" s="12" t="str">
        <f t="shared" si="36"/>
        <v>Weekday</v>
      </c>
      <c r="I591" s="12" t="str">
        <f t="shared" si="37"/>
        <v>Working Day</v>
      </c>
      <c r="J591" s="12" t="str">
        <f t="shared" si="38"/>
        <v>Medium</v>
      </c>
      <c r="K591" s="12" t="str">
        <f>INDEX('Combined_Data'!H:H, MATCH(A591, 'Combined_Data'!A:A, 0))</f>
        <v>Clear</v>
      </c>
      <c r="L591" s="13">
        <f t="shared" si="39"/>
        <v>1</v>
      </c>
    </row>
    <row r="592" spans="1:12" x14ac:dyDescent="0.35">
      <c r="A592" s="10">
        <v>591</v>
      </c>
      <c r="B592" s="11">
        <f>INDEX('Combined_Data'!B:B, MATCH(Derived_Data!A592, 'Combined_Data'!A:A, 0))</f>
        <v>40570</v>
      </c>
      <c r="C592" s="12" t="str">
        <f>INDEX('Combined_Data'!G:G, MATCH(A592, 'Combined_Data'!A:A, 0))</f>
        <v>Thursday</v>
      </c>
      <c r="D592" s="12" t="b">
        <f>INDEX('Combined_Data'!F:F, MATCH(A592, 'Combined_Data'!A:A, 0))</f>
        <v>0</v>
      </c>
      <c r="E592" s="12">
        <f>INDEX('Combined_Data'!O:O, MATCH(A592, 'Combined_Data'!A:A, 0))</f>
        <v>79</v>
      </c>
      <c r="F592" s="12">
        <f>INDEX('Combined_Data'!M:M, MATCH(A592, 'Combined_Data'!A:A, 0))</f>
        <v>3</v>
      </c>
      <c r="G592" s="12">
        <f>INDEX('Combined_Data'!N:N, MATCH(A592, 'Combined_Data'!A:A, 0))</f>
        <v>76</v>
      </c>
      <c r="H592" s="12" t="str">
        <f t="shared" si="36"/>
        <v>Weekday</v>
      </c>
      <c r="I592" s="12" t="str">
        <f t="shared" si="37"/>
        <v>Working Day</v>
      </c>
      <c r="J592" s="12" t="str">
        <f t="shared" si="38"/>
        <v>Low</v>
      </c>
      <c r="K592" s="12" t="str">
        <f>INDEX('Combined_Data'!H:H, MATCH(A592, 'Combined_Data'!A:A, 0))</f>
        <v>Clear</v>
      </c>
      <c r="L592" s="13">
        <f t="shared" si="39"/>
        <v>1</v>
      </c>
    </row>
    <row r="593" spans="1:12" x14ac:dyDescent="0.35">
      <c r="A593" s="10">
        <v>592</v>
      </c>
      <c r="B593" s="11">
        <f>INDEX('Combined_Data'!B:B, MATCH(Derived_Data!A593, 'Combined_Data'!A:A, 0))</f>
        <v>40570</v>
      </c>
      <c r="C593" s="12" t="str">
        <f>INDEX('Combined_Data'!G:G, MATCH(A593, 'Combined_Data'!A:A, 0))</f>
        <v>Thursday</v>
      </c>
      <c r="D593" s="12" t="b">
        <f>INDEX('Combined_Data'!F:F, MATCH(A593, 'Combined_Data'!A:A, 0))</f>
        <v>0</v>
      </c>
      <c r="E593" s="12">
        <f>INDEX('Combined_Data'!O:O, MATCH(A593, 'Combined_Data'!A:A, 0))</f>
        <v>59</v>
      </c>
      <c r="F593" s="12">
        <f>INDEX('Combined_Data'!M:M, MATCH(A593, 'Combined_Data'!A:A, 0))</f>
        <v>4</v>
      </c>
      <c r="G593" s="12">
        <f>INDEX('Combined_Data'!N:N, MATCH(A593, 'Combined_Data'!A:A, 0))</f>
        <v>55</v>
      </c>
      <c r="H593" s="12" t="str">
        <f t="shared" si="36"/>
        <v>Weekday</v>
      </c>
      <c r="I593" s="12" t="str">
        <f t="shared" si="37"/>
        <v>Working Day</v>
      </c>
      <c r="J593" s="12" t="str">
        <f t="shared" si="38"/>
        <v>Low</v>
      </c>
      <c r="K593" s="12" t="str">
        <f>INDEX('Combined_Data'!H:H, MATCH(A593, 'Combined_Data'!A:A, 0))</f>
        <v>Clear</v>
      </c>
      <c r="L593" s="13">
        <f t="shared" si="39"/>
        <v>1</v>
      </c>
    </row>
    <row r="594" spans="1:12" x14ac:dyDescent="0.35">
      <c r="A594" s="10">
        <v>593</v>
      </c>
      <c r="B594" s="11">
        <f>INDEX('Combined_Data'!B:B, MATCH(Derived_Data!A594, 'Combined_Data'!A:A, 0))</f>
        <v>40570</v>
      </c>
      <c r="C594" s="12" t="str">
        <f>INDEX('Combined_Data'!G:G, MATCH(A594, 'Combined_Data'!A:A, 0))</f>
        <v>Thursday</v>
      </c>
      <c r="D594" s="12" t="b">
        <f>INDEX('Combined_Data'!F:F, MATCH(A594, 'Combined_Data'!A:A, 0))</f>
        <v>0</v>
      </c>
      <c r="E594" s="12">
        <f>INDEX('Combined_Data'!O:O, MATCH(A594, 'Combined_Data'!A:A, 0))</f>
        <v>38</v>
      </c>
      <c r="F594" s="12">
        <f>INDEX('Combined_Data'!M:M, MATCH(A594, 'Combined_Data'!A:A, 0))</f>
        <v>2</v>
      </c>
      <c r="G594" s="12">
        <f>INDEX('Combined_Data'!N:N, MATCH(A594, 'Combined_Data'!A:A, 0))</f>
        <v>36</v>
      </c>
      <c r="H594" s="12" t="str">
        <f t="shared" si="36"/>
        <v>Weekday</v>
      </c>
      <c r="I594" s="12" t="str">
        <f t="shared" si="37"/>
        <v>Working Day</v>
      </c>
      <c r="J594" s="12" t="str">
        <f t="shared" si="38"/>
        <v>Low</v>
      </c>
      <c r="K594" s="12" t="str">
        <f>INDEX('Combined_Data'!H:H, MATCH(A594, 'Combined_Data'!A:A, 0))</f>
        <v>Clear</v>
      </c>
      <c r="L594" s="13">
        <f t="shared" si="39"/>
        <v>1</v>
      </c>
    </row>
    <row r="595" spans="1:12" x14ac:dyDescent="0.35">
      <c r="A595" s="10">
        <v>594</v>
      </c>
      <c r="B595" s="11">
        <f>INDEX('Combined_Data'!B:B, MATCH(Derived_Data!A595, 'Combined_Data'!A:A, 0))</f>
        <v>40570</v>
      </c>
      <c r="C595" s="12" t="str">
        <f>INDEX('Combined_Data'!G:G, MATCH(A595, 'Combined_Data'!A:A, 0))</f>
        <v>Thursday</v>
      </c>
      <c r="D595" s="12" t="b">
        <f>INDEX('Combined_Data'!F:F, MATCH(A595, 'Combined_Data'!A:A, 0))</f>
        <v>0</v>
      </c>
      <c r="E595" s="12">
        <f>INDEX('Combined_Data'!O:O, MATCH(A595, 'Combined_Data'!A:A, 0))</f>
        <v>27</v>
      </c>
      <c r="F595" s="12">
        <f>INDEX('Combined_Data'!M:M, MATCH(A595, 'Combined_Data'!A:A, 0))</f>
        <v>0</v>
      </c>
      <c r="G595" s="12">
        <f>INDEX('Combined_Data'!N:N, MATCH(A595, 'Combined_Data'!A:A, 0))</f>
        <v>27</v>
      </c>
      <c r="H595" s="12" t="str">
        <f t="shared" si="36"/>
        <v>Weekday</v>
      </c>
      <c r="I595" s="12" t="str">
        <f t="shared" si="37"/>
        <v>Working Day</v>
      </c>
      <c r="J595" s="12" t="str">
        <f t="shared" si="38"/>
        <v>Low</v>
      </c>
      <c r="K595" s="12" t="str">
        <f>INDEX('Combined_Data'!H:H, MATCH(A595, 'Combined_Data'!A:A, 0))</f>
        <v>Clear</v>
      </c>
      <c r="L595" s="13">
        <f t="shared" si="39"/>
        <v>1</v>
      </c>
    </row>
    <row r="596" spans="1:12" x14ac:dyDescent="0.35">
      <c r="A596" s="10">
        <v>595</v>
      </c>
      <c r="B596" s="11">
        <f>INDEX('Combined_Data'!B:B, MATCH(Derived_Data!A596, 'Combined_Data'!A:A, 0))</f>
        <v>40570</v>
      </c>
      <c r="C596" s="12" t="str">
        <f>INDEX('Combined_Data'!G:G, MATCH(A596, 'Combined_Data'!A:A, 0))</f>
        <v>Thursday</v>
      </c>
      <c r="D596" s="12" t="b">
        <f>INDEX('Combined_Data'!F:F, MATCH(A596, 'Combined_Data'!A:A, 0))</f>
        <v>0</v>
      </c>
      <c r="E596" s="12">
        <f>INDEX('Combined_Data'!O:O, MATCH(A596, 'Combined_Data'!A:A, 0))</f>
        <v>16</v>
      </c>
      <c r="F596" s="12">
        <f>INDEX('Combined_Data'!M:M, MATCH(A596, 'Combined_Data'!A:A, 0))</f>
        <v>0</v>
      </c>
      <c r="G596" s="12">
        <f>INDEX('Combined_Data'!N:N, MATCH(A596, 'Combined_Data'!A:A, 0))</f>
        <v>16</v>
      </c>
      <c r="H596" s="12" t="str">
        <f t="shared" si="36"/>
        <v>Weekday</v>
      </c>
      <c r="I596" s="12" t="str">
        <f t="shared" si="37"/>
        <v>Working Day</v>
      </c>
      <c r="J596" s="12" t="str">
        <f t="shared" si="38"/>
        <v>Low</v>
      </c>
      <c r="K596" s="12" t="str">
        <f>INDEX('Combined_Data'!H:H, MATCH(A596, 'Combined_Data'!A:A, 0))</f>
        <v>Clear</v>
      </c>
      <c r="L596" s="13">
        <f t="shared" si="39"/>
        <v>1</v>
      </c>
    </row>
    <row r="597" spans="1:12" x14ac:dyDescent="0.35">
      <c r="A597" s="10">
        <v>596</v>
      </c>
      <c r="B597" s="11">
        <f>INDEX('Combined_Data'!B:B, MATCH(Derived_Data!A597, 'Combined_Data'!A:A, 0))</f>
        <v>40571</v>
      </c>
      <c r="C597" s="12" t="str">
        <f>INDEX('Combined_Data'!G:G, MATCH(A597, 'Combined_Data'!A:A, 0))</f>
        <v>Friday</v>
      </c>
      <c r="D597" s="12" t="b">
        <f>INDEX('Combined_Data'!F:F, MATCH(A597, 'Combined_Data'!A:A, 0))</f>
        <v>0</v>
      </c>
      <c r="E597" s="12">
        <f>INDEX('Combined_Data'!O:O, MATCH(A597, 'Combined_Data'!A:A, 0))</f>
        <v>9</v>
      </c>
      <c r="F597" s="12">
        <f>INDEX('Combined_Data'!M:M, MATCH(A597, 'Combined_Data'!A:A, 0))</f>
        <v>0</v>
      </c>
      <c r="G597" s="12">
        <f>INDEX('Combined_Data'!N:N, MATCH(A597, 'Combined_Data'!A:A, 0))</f>
        <v>9</v>
      </c>
      <c r="H597" s="12" t="str">
        <f t="shared" si="36"/>
        <v>Weekday</v>
      </c>
      <c r="I597" s="12" t="str">
        <f t="shared" si="37"/>
        <v>Working Day</v>
      </c>
      <c r="J597" s="12" t="str">
        <f t="shared" si="38"/>
        <v>Low</v>
      </c>
      <c r="K597" s="12" t="str">
        <f>INDEX('Combined_Data'!H:H, MATCH(A597, 'Combined_Data'!A:A, 0))</f>
        <v>Mist</v>
      </c>
      <c r="L597" s="13">
        <f t="shared" si="39"/>
        <v>2</v>
      </c>
    </row>
    <row r="598" spans="1:12" x14ac:dyDescent="0.35">
      <c r="A598" s="10">
        <v>597</v>
      </c>
      <c r="B598" s="11">
        <f>INDEX('Combined_Data'!B:B, MATCH(Derived_Data!A598, 'Combined_Data'!A:A, 0))</f>
        <v>40571</v>
      </c>
      <c r="C598" s="12" t="str">
        <f>INDEX('Combined_Data'!G:G, MATCH(A598, 'Combined_Data'!A:A, 0))</f>
        <v>Friday</v>
      </c>
      <c r="D598" s="12" t="b">
        <f>INDEX('Combined_Data'!F:F, MATCH(A598, 'Combined_Data'!A:A, 0))</f>
        <v>0</v>
      </c>
      <c r="E598" s="12">
        <f>INDEX('Combined_Data'!O:O, MATCH(A598, 'Combined_Data'!A:A, 0))</f>
        <v>3</v>
      </c>
      <c r="F598" s="12">
        <f>INDEX('Combined_Data'!M:M, MATCH(A598, 'Combined_Data'!A:A, 0))</f>
        <v>1</v>
      </c>
      <c r="G598" s="12">
        <f>INDEX('Combined_Data'!N:N, MATCH(A598, 'Combined_Data'!A:A, 0))</f>
        <v>2</v>
      </c>
      <c r="H598" s="12" t="str">
        <f t="shared" si="36"/>
        <v>Weekday</v>
      </c>
      <c r="I598" s="12" t="str">
        <f t="shared" si="37"/>
        <v>Working Day</v>
      </c>
      <c r="J598" s="12" t="str">
        <f t="shared" si="38"/>
        <v>Low</v>
      </c>
      <c r="K598" s="12" t="str">
        <f>INDEX('Combined_Data'!H:H, MATCH(A598, 'Combined_Data'!A:A, 0))</f>
        <v>Mist</v>
      </c>
      <c r="L598" s="13">
        <f t="shared" si="39"/>
        <v>2</v>
      </c>
    </row>
    <row r="599" spans="1:12" x14ac:dyDescent="0.35">
      <c r="A599" s="10">
        <v>598</v>
      </c>
      <c r="B599" s="11">
        <f>INDEX('Combined_Data'!B:B, MATCH(Derived_Data!A599, 'Combined_Data'!A:A, 0))</f>
        <v>40571</v>
      </c>
      <c r="C599" s="12" t="str">
        <f>INDEX('Combined_Data'!G:G, MATCH(A599, 'Combined_Data'!A:A, 0))</f>
        <v>Friday</v>
      </c>
      <c r="D599" s="12" t="b">
        <f>INDEX('Combined_Data'!F:F, MATCH(A599, 'Combined_Data'!A:A, 0))</f>
        <v>0</v>
      </c>
      <c r="E599" s="12">
        <f>INDEX('Combined_Data'!O:O, MATCH(A599, 'Combined_Data'!A:A, 0))</f>
        <v>2</v>
      </c>
      <c r="F599" s="12">
        <f>INDEX('Combined_Data'!M:M, MATCH(A599, 'Combined_Data'!A:A, 0))</f>
        <v>0</v>
      </c>
      <c r="G599" s="12">
        <f>INDEX('Combined_Data'!N:N, MATCH(A599, 'Combined_Data'!A:A, 0))</f>
        <v>2</v>
      </c>
      <c r="H599" s="12" t="str">
        <f t="shared" si="36"/>
        <v>Weekday</v>
      </c>
      <c r="I599" s="12" t="str">
        <f t="shared" si="37"/>
        <v>Working Day</v>
      </c>
      <c r="J599" s="12" t="str">
        <f t="shared" si="38"/>
        <v>Low</v>
      </c>
      <c r="K599" s="12" t="str">
        <f>INDEX('Combined_Data'!H:H, MATCH(A599, 'Combined_Data'!A:A, 0))</f>
        <v>Mist</v>
      </c>
      <c r="L599" s="13">
        <f t="shared" si="39"/>
        <v>2</v>
      </c>
    </row>
    <row r="600" spans="1:12" x14ac:dyDescent="0.35">
      <c r="A600" s="10">
        <v>599</v>
      </c>
      <c r="B600" s="11">
        <f>INDEX('Combined_Data'!B:B, MATCH(Derived_Data!A600, 'Combined_Data'!A:A, 0))</f>
        <v>40571</v>
      </c>
      <c r="C600" s="12" t="str">
        <f>INDEX('Combined_Data'!G:G, MATCH(A600, 'Combined_Data'!A:A, 0))</f>
        <v>Friday</v>
      </c>
      <c r="D600" s="12" t="b">
        <f>INDEX('Combined_Data'!F:F, MATCH(A600, 'Combined_Data'!A:A, 0))</f>
        <v>0</v>
      </c>
      <c r="E600" s="12">
        <f>INDEX('Combined_Data'!O:O, MATCH(A600, 'Combined_Data'!A:A, 0))</f>
        <v>1</v>
      </c>
      <c r="F600" s="12">
        <f>INDEX('Combined_Data'!M:M, MATCH(A600, 'Combined_Data'!A:A, 0))</f>
        <v>1</v>
      </c>
      <c r="G600" s="12">
        <f>INDEX('Combined_Data'!N:N, MATCH(A600, 'Combined_Data'!A:A, 0))</f>
        <v>0</v>
      </c>
      <c r="H600" s="12" t="str">
        <f t="shared" si="36"/>
        <v>Weekday</v>
      </c>
      <c r="I600" s="12" t="str">
        <f t="shared" si="37"/>
        <v>Working Day</v>
      </c>
      <c r="J600" s="12" t="str">
        <f t="shared" si="38"/>
        <v>Low</v>
      </c>
      <c r="K600" s="12" t="str">
        <f>INDEX('Combined_Data'!H:H, MATCH(A600, 'Combined_Data'!A:A, 0))</f>
        <v>Mist</v>
      </c>
      <c r="L600" s="13">
        <f t="shared" si="39"/>
        <v>2</v>
      </c>
    </row>
    <row r="601" spans="1:12" x14ac:dyDescent="0.35">
      <c r="A601" s="10">
        <v>600</v>
      </c>
      <c r="B601" s="11">
        <f>INDEX('Combined_Data'!B:B, MATCH(Derived_Data!A601, 'Combined_Data'!A:A, 0))</f>
        <v>40571</v>
      </c>
      <c r="C601" s="12" t="str">
        <f>INDEX('Combined_Data'!G:G, MATCH(A601, 'Combined_Data'!A:A, 0))</f>
        <v>Friday</v>
      </c>
      <c r="D601" s="12" t="b">
        <f>INDEX('Combined_Data'!F:F, MATCH(A601, 'Combined_Data'!A:A, 0))</f>
        <v>0</v>
      </c>
      <c r="E601" s="12">
        <f>INDEX('Combined_Data'!O:O, MATCH(A601, 'Combined_Data'!A:A, 0))</f>
        <v>4</v>
      </c>
      <c r="F601" s="12">
        <f>INDEX('Combined_Data'!M:M, MATCH(A601, 'Combined_Data'!A:A, 0))</f>
        <v>0</v>
      </c>
      <c r="G601" s="12">
        <f>INDEX('Combined_Data'!N:N, MATCH(A601, 'Combined_Data'!A:A, 0))</f>
        <v>4</v>
      </c>
      <c r="H601" s="12" t="str">
        <f t="shared" si="36"/>
        <v>Weekday</v>
      </c>
      <c r="I601" s="12" t="str">
        <f t="shared" si="37"/>
        <v>Working Day</v>
      </c>
      <c r="J601" s="12" t="str">
        <f t="shared" si="38"/>
        <v>Low</v>
      </c>
      <c r="K601" s="12" t="str">
        <f>INDEX('Combined_Data'!H:H, MATCH(A601, 'Combined_Data'!A:A, 0))</f>
        <v>Mist</v>
      </c>
      <c r="L601" s="13">
        <f t="shared" si="39"/>
        <v>2</v>
      </c>
    </row>
    <row r="602" spans="1:12" x14ac:dyDescent="0.35">
      <c r="A602" s="10">
        <v>601</v>
      </c>
      <c r="B602" s="11">
        <f>INDEX('Combined_Data'!B:B, MATCH(Derived_Data!A602, 'Combined_Data'!A:A, 0))</f>
        <v>40571</v>
      </c>
      <c r="C602" s="12" t="str">
        <f>INDEX('Combined_Data'!G:G, MATCH(A602, 'Combined_Data'!A:A, 0))</f>
        <v>Friday</v>
      </c>
      <c r="D602" s="12" t="b">
        <f>INDEX('Combined_Data'!F:F, MATCH(A602, 'Combined_Data'!A:A, 0))</f>
        <v>0</v>
      </c>
      <c r="E602" s="12">
        <f>INDEX('Combined_Data'!O:O, MATCH(A602, 'Combined_Data'!A:A, 0))</f>
        <v>16</v>
      </c>
      <c r="F602" s="12">
        <f>INDEX('Combined_Data'!M:M, MATCH(A602, 'Combined_Data'!A:A, 0))</f>
        <v>0</v>
      </c>
      <c r="G602" s="12">
        <f>INDEX('Combined_Data'!N:N, MATCH(A602, 'Combined_Data'!A:A, 0))</f>
        <v>16</v>
      </c>
      <c r="H602" s="12" t="str">
        <f t="shared" si="36"/>
        <v>Weekday</v>
      </c>
      <c r="I602" s="12" t="str">
        <f t="shared" si="37"/>
        <v>Working Day</v>
      </c>
      <c r="J602" s="12" t="str">
        <f t="shared" si="38"/>
        <v>Low</v>
      </c>
      <c r="K602" s="12" t="str">
        <f>INDEX('Combined_Data'!H:H, MATCH(A602, 'Combined_Data'!A:A, 0))</f>
        <v>Mist</v>
      </c>
      <c r="L602" s="13">
        <f t="shared" si="39"/>
        <v>2</v>
      </c>
    </row>
    <row r="603" spans="1:12" x14ac:dyDescent="0.35">
      <c r="A603" s="10">
        <v>602</v>
      </c>
      <c r="B603" s="11">
        <f>INDEX('Combined_Data'!B:B, MATCH(Derived_Data!A603, 'Combined_Data'!A:A, 0))</f>
        <v>40571</v>
      </c>
      <c r="C603" s="12" t="str">
        <f>INDEX('Combined_Data'!G:G, MATCH(A603, 'Combined_Data'!A:A, 0))</f>
        <v>Friday</v>
      </c>
      <c r="D603" s="12" t="b">
        <f>INDEX('Combined_Data'!F:F, MATCH(A603, 'Combined_Data'!A:A, 0))</f>
        <v>0</v>
      </c>
      <c r="E603" s="12">
        <f>INDEX('Combined_Data'!O:O, MATCH(A603, 'Combined_Data'!A:A, 0))</f>
        <v>60</v>
      </c>
      <c r="F603" s="12">
        <f>INDEX('Combined_Data'!M:M, MATCH(A603, 'Combined_Data'!A:A, 0))</f>
        <v>2</v>
      </c>
      <c r="G603" s="12">
        <f>INDEX('Combined_Data'!N:N, MATCH(A603, 'Combined_Data'!A:A, 0))</f>
        <v>58</v>
      </c>
      <c r="H603" s="12" t="str">
        <f t="shared" si="36"/>
        <v>Weekday</v>
      </c>
      <c r="I603" s="12" t="str">
        <f t="shared" si="37"/>
        <v>Working Day</v>
      </c>
      <c r="J603" s="12" t="str">
        <f t="shared" si="38"/>
        <v>Low</v>
      </c>
      <c r="K603" s="12" t="str">
        <f>INDEX('Combined_Data'!H:H, MATCH(A603, 'Combined_Data'!A:A, 0))</f>
        <v>Mist</v>
      </c>
      <c r="L603" s="13">
        <f t="shared" si="39"/>
        <v>2</v>
      </c>
    </row>
    <row r="604" spans="1:12" x14ac:dyDescent="0.35">
      <c r="A604" s="10">
        <v>603</v>
      </c>
      <c r="B604" s="11">
        <f>INDEX('Combined_Data'!B:B, MATCH(Derived_Data!A604, 'Combined_Data'!A:A, 0))</f>
        <v>40571</v>
      </c>
      <c r="C604" s="12" t="str">
        <f>INDEX('Combined_Data'!G:G, MATCH(A604, 'Combined_Data'!A:A, 0))</f>
        <v>Friday</v>
      </c>
      <c r="D604" s="12" t="b">
        <f>INDEX('Combined_Data'!F:F, MATCH(A604, 'Combined_Data'!A:A, 0))</f>
        <v>0</v>
      </c>
      <c r="E604" s="12">
        <f>INDEX('Combined_Data'!O:O, MATCH(A604, 'Combined_Data'!A:A, 0))</f>
        <v>157</v>
      </c>
      <c r="F604" s="12">
        <f>INDEX('Combined_Data'!M:M, MATCH(A604, 'Combined_Data'!A:A, 0))</f>
        <v>2</v>
      </c>
      <c r="G604" s="12">
        <f>INDEX('Combined_Data'!N:N, MATCH(A604, 'Combined_Data'!A:A, 0))</f>
        <v>155</v>
      </c>
      <c r="H604" s="12" t="str">
        <f t="shared" si="36"/>
        <v>Weekday</v>
      </c>
      <c r="I604" s="12" t="str">
        <f t="shared" si="37"/>
        <v>Working Day</v>
      </c>
      <c r="J604" s="12" t="str">
        <f t="shared" si="38"/>
        <v>High</v>
      </c>
      <c r="K604" s="12" t="str">
        <f>INDEX('Combined_Data'!H:H, MATCH(A604, 'Combined_Data'!A:A, 0))</f>
        <v>Mist</v>
      </c>
      <c r="L604" s="13">
        <f t="shared" si="39"/>
        <v>2</v>
      </c>
    </row>
    <row r="605" spans="1:12" x14ac:dyDescent="0.35">
      <c r="A605" s="10">
        <v>604</v>
      </c>
      <c r="B605" s="11">
        <f>INDEX('Combined_Data'!B:B, MATCH(Derived_Data!A605, 'Combined_Data'!A:A, 0))</f>
        <v>40571</v>
      </c>
      <c r="C605" s="12" t="str">
        <f>INDEX('Combined_Data'!G:G, MATCH(A605, 'Combined_Data'!A:A, 0))</f>
        <v>Friday</v>
      </c>
      <c r="D605" s="12" t="b">
        <f>INDEX('Combined_Data'!F:F, MATCH(A605, 'Combined_Data'!A:A, 0))</f>
        <v>0</v>
      </c>
      <c r="E605" s="12">
        <f>INDEX('Combined_Data'!O:O, MATCH(A605, 'Combined_Data'!A:A, 0))</f>
        <v>101</v>
      </c>
      <c r="F605" s="12">
        <f>INDEX('Combined_Data'!M:M, MATCH(A605, 'Combined_Data'!A:A, 0))</f>
        <v>6</v>
      </c>
      <c r="G605" s="12">
        <f>INDEX('Combined_Data'!N:N, MATCH(A605, 'Combined_Data'!A:A, 0))</f>
        <v>95</v>
      </c>
      <c r="H605" s="12" t="str">
        <f t="shared" si="36"/>
        <v>Weekday</v>
      </c>
      <c r="I605" s="12" t="str">
        <f t="shared" si="37"/>
        <v>Working Day</v>
      </c>
      <c r="J605" s="12" t="str">
        <f t="shared" si="38"/>
        <v>Medium</v>
      </c>
      <c r="K605" s="12" t="str">
        <f>INDEX('Combined_Data'!H:H, MATCH(A605, 'Combined_Data'!A:A, 0))</f>
        <v>Light Snow</v>
      </c>
      <c r="L605" s="13">
        <f t="shared" si="39"/>
        <v>3</v>
      </c>
    </row>
    <row r="606" spans="1:12" x14ac:dyDescent="0.35">
      <c r="A606" s="10">
        <v>605</v>
      </c>
      <c r="B606" s="11">
        <f>INDEX('Combined_Data'!B:B, MATCH(Derived_Data!A606, 'Combined_Data'!A:A, 0))</f>
        <v>40571</v>
      </c>
      <c r="C606" s="12" t="str">
        <f>INDEX('Combined_Data'!G:G, MATCH(A606, 'Combined_Data'!A:A, 0))</f>
        <v>Friday</v>
      </c>
      <c r="D606" s="12" t="b">
        <f>INDEX('Combined_Data'!F:F, MATCH(A606, 'Combined_Data'!A:A, 0))</f>
        <v>0</v>
      </c>
      <c r="E606" s="12">
        <f>INDEX('Combined_Data'!O:O, MATCH(A606, 'Combined_Data'!A:A, 0))</f>
        <v>49</v>
      </c>
      <c r="F606" s="12">
        <f>INDEX('Combined_Data'!M:M, MATCH(A606, 'Combined_Data'!A:A, 0))</f>
        <v>0</v>
      </c>
      <c r="G606" s="12">
        <f>INDEX('Combined_Data'!N:N, MATCH(A606, 'Combined_Data'!A:A, 0))</f>
        <v>49</v>
      </c>
      <c r="H606" s="12" t="str">
        <f t="shared" si="36"/>
        <v>Weekday</v>
      </c>
      <c r="I606" s="12" t="str">
        <f t="shared" si="37"/>
        <v>Working Day</v>
      </c>
      <c r="J606" s="12" t="str">
        <f t="shared" si="38"/>
        <v>Low</v>
      </c>
      <c r="K606" s="12" t="str">
        <f>INDEX('Combined_Data'!H:H, MATCH(A606, 'Combined_Data'!A:A, 0))</f>
        <v>Light Snow</v>
      </c>
      <c r="L606" s="13">
        <f t="shared" si="39"/>
        <v>3</v>
      </c>
    </row>
    <row r="607" spans="1:12" x14ac:dyDescent="0.35">
      <c r="A607" s="10">
        <v>606</v>
      </c>
      <c r="B607" s="11">
        <f>INDEX('Combined_Data'!B:B, MATCH(Derived_Data!A607, 'Combined_Data'!A:A, 0))</f>
        <v>40571</v>
      </c>
      <c r="C607" s="12" t="str">
        <f>INDEX('Combined_Data'!G:G, MATCH(A607, 'Combined_Data'!A:A, 0))</f>
        <v>Friday</v>
      </c>
      <c r="D607" s="12" t="b">
        <f>INDEX('Combined_Data'!F:F, MATCH(A607, 'Combined_Data'!A:A, 0))</f>
        <v>0</v>
      </c>
      <c r="E607" s="12">
        <f>INDEX('Combined_Data'!O:O, MATCH(A607, 'Combined_Data'!A:A, 0))</f>
        <v>30</v>
      </c>
      <c r="F607" s="12">
        <f>INDEX('Combined_Data'!M:M, MATCH(A607, 'Combined_Data'!A:A, 0))</f>
        <v>0</v>
      </c>
      <c r="G607" s="12">
        <f>INDEX('Combined_Data'!N:N, MATCH(A607, 'Combined_Data'!A:A, 0))</f>
        <v>30</v>
      </c>
      <c r="H607" s="12" t="str">
        <f t="shared" si="36"/>
        <v>Weekday</v>
      </c>
      <c r="I607" s="12" t="str">
        <f t="shared" si="37"/>
        <v>Working Day</v>
      </c>
      <c r="J607" s="12" t="str">
        <f t="shared" si="38"/>
        <v>Low</v>
      </c>
      <c r="K607" s="12" t="str">
        <f>INDEX('Combined_Data'!H:H, MATCH(A607, 'Combined_Data'!A:A, 0))</f>
        <v>Light Snow</v>
      </c>
      <c r="L607" s="13">
        <f t="shared" si="39"/>
        <v>3</v>
      </c>
    </row>
    <row r="608" spans="1:12" x14ac:dyDescent="0.35">
      <c r="A608" s="10">
        <v>607</v>
      </c>
      <c r="B608" s="11">
        <f>INDEX('Combined_Data'!B:B, MATCH(Derived_Data!A608, 'Combined_Data'!A:A, 0))</f>
        <v>40571</v>
      </c>
      <c r="C608" s="12" t="str">
        <f>INDEX('Combined_Data'!G:G, MATCH(A608, 'Combined_Data'!A:A, 0))</f>
        <v>Friday</v>
      </c>
      <c r="D608" s="12" t="b">
        <f>INDEX('Combined_Data'!F:F, MATCH(A608, 'Combined_Data'!A:A, 0))</f>
        <v>0</v>
      </c>
      <c r="E608" s="12">
        <f>INDEX('Combined_Data'!O:O, MATCH(A608, 'Combined_Data'!A:A, 0))</f>
        <v>29</v>
      </c>
      <c r="F608" s="12">
        <f>INDEX('Combined_Data'!M:M, MATCH(A608, 'Combined_Data'!A:A, 0))</f>
        <v>1</v>
      </c>
      <c r="G608" s="12">
        <f>INDEX('Combined_Data'!N:N, MATCH(A608, 'Combined_Data'!A:A, 0))</f>
        <v>28</v>
      </c>
      <c r="H608" s="12" t="str">
        <f t="shared" si="36"/>
        <v>Weekday</v>
      </c>
      <c r="I608" s="12" t="str">
        <f t="shared" si="37"/>
        <v>Working Day</v>
      </c>
      <c r="J608" s="12" t="str">
        <f t="shared" si="38"/>
        <v>Low</v>
      </c>
      <c r="K608" s="12" t="str">
        <f>INDEX('Combined_Data'!H:H, MATCH(A608, 'Combined_Data'!A:A, 0))</f>
        <v>Light Snow</v>
      </c>
      <c r="L608" s="13">
        <f t="shared" si="39"/>
        <v>3</v>
      </c>
    </row>
    <row r="609" spans="1:12" x14ac:dyDescent="0.35">
      <c r="A609" s="10">
        <v>608</v>
      </c>
      <c r="B609" s="11">
        <f>INDEX('Combined_Data'!B:B, MATCH(Derived_Data!A609, 'Combined_Data'!A:A, 0))</f>
        <v>40571</v>
      </c>
      <c r="C609" s="12" t="str">
        <f>INDEX('Combined_Data'!G:G, MATCH(A609, 'Combined_Data'!A:A, 0))</f>
        <v>Friday</v>
      </c>
      <c r="D609" s="12" t="b">
        <f>INDEX('Combined_Data'!F:F, MATCH(A609, 'Combined_Data'!A:A, 0))</f>
        <v>0</v>
      </c>
      <c r="E609" s="12">
        <f>INDEX('Combined_Data'!O:O, MATCH(A609, 'Combined_Data'!A:A, 0))</f>
        <v>31</v>
      </c>
      <c r="F609" s="12">
        <f>INDEX('Combined_Data'!M:M, MATCH(A609, 'Combined_Data'!A:A, 0))</f>
        <v>0</v>
      </c>
      <c r="G609" s="12">
        <f>INDEX('Combined_Data'!N:N, MATCH(A609, 'Combined_Data'!A:A, 0))</f>
        <v>31</v>
      </c>
      <c r="H609" s="12" t="str">
        <f t="shared" si="36"/>
        <v>Weekday</v>
      </c>
      <c r="I609" s="12" t="str">
        <f t="shared" si="37"/>
        <v>Working Day</v>
      </c>
      <c r="J609" s="12" t="str">
        <f t="shared" si="38"/>
        <v>Low</v>
      </c>
      <c r="K609" s="12" t="str">
        <f>INDEX('Combined_Data'!H:H, MATCH(A609, 'Combined_Data'!A:A, 0))</f>
        <v>Light Snow</v>
      </c>
      <c r="L609" s="13">
        <f t="shared" si="39"/>
        <v>3</v>
      </c>
    </row>
    <row r="610" spans="1:12" x14ac:dyDescent="0.35">
      <c r="A610" s="10">
        <v>609</v>
      </c>
      <c r="B610" s="11">
        <f>INDEX('Combined_Data'!B:B, MATCH(Derived_Data!A610, 'Combined_Data'!A:A, 0))</f>
        <v>40571</v>
      </c>
      <c r="C610" s="12" t="str">
        <f>INDEX('Combined_Data'!G:G, MATCH(A610, 'Combined_Data'!A:A, 0))</f>
        <v>Friday</v>
      </c>
      <c r="D610" s="12" t="b">
        <f>INDEX('Combined_Data'!F:F, MATCH(A610, 'Combined_Data'!A:A, 0))</f>
        <v>0</v>
      </c>
      <c r="E610" s="12">
        <f>INDEX('Combined_Data'!O:O, MATCH(A610, 'Combined_Data'!A:A, 0))</f>
        <v>38</v>
      </c>
      <c r="F610" s="12">
        <f>INDEX('Combined_Data'!M:M, MATCH(A610, 'Combined_Data'!A:A, 0))</f>
        <v>2</v>
      </c>
      <c r="G610" s="12">
        <f>INDEX('Combined_Data'!N:N, MATCH(A610, 'Combined_Data'!A:A, 0))</f>
        <v>36</v>
      </c>
      <c r="H610" s="12" t="str">
        <f t="shared" si="36"/>
        <v>Weekday</v>
      </c>
      <c r="I610" s="12" t="str">
        <f t="shared" si="37"/>
        <v>Working Day</v>
      </c>
      <c r="J610" s="12" t="str">
        <f t="shared" si="38"/>
        <v>Low</v>
      </c>
      <c r="K610" s="12" t="str">
        <f>INDEX('Combined_Data'!H:H, MATCH(A610, 'Combined_Data'!A:A, 0))</f>
        <v>Light Snow</v>
      </c>
      <c r="L610" s="13">
        <f t="shared" si="39"/>
        <v>3</v>
      </c>
    </row>
    <row r="611" spans="1:12" x14ac:dyDescent="0.35">
      <c r="A611" s="14">
        <v>610</v>
      </c>
      <c r="B611" s="15">
        <f>INDEX('Combined_Data'!B:B, MATCH(Derived_Data!A611, 'Combined_Data'!A:A, 0))</f>
        <v>40571</v>
      </c>
      <c r="C611" s="16" t="str">
        <f>INDEX('Combined_Data'!G:G, MATCH(A611, 'Combined_Data'!A:A, 0))</f>
        <v>Friday</v>
      </c>
      <c r="D611" s="16" t="b">
        <f>INDEX('Combined_Data'!F:F, MATCH(A611, 'Combined_Data'!A:A, 0))</f>
        <v>0</v>
      </c>
      <c r="E611" s="16">
        <f>INDEX('Combined_Data'!O:O, MATCH(A611, 'Combined_Data'!A:A, 0))</f>
        <v>41</v>
      </c>
      <c r="F611" s="16">
        <f>INDEX('Combined_Data'!M:M, MATCH(A611, 'Combined_Data'!A:A, 0))</f>
        <v>1</v>
      </c>
      <c r="G611" s="16">
        <f>INDEX('Combined_Data'!N:N, MATCH(A611, 'Combined_Data'!A:A, 0))</f>
        <v>40</v>
      </c>
      <c r="H611" s="16" t="str">
        <f t="shared" si="36"/>
        <v>Weekday</v>
      </c>
      <c r="I611" s="16" t="str">
        <f t="shared" si="37"/>
        <v>Working Day</v>
      </c>
      <c r="J611" s="16" t="str">
        <f t="shared" si="38"/>
        <v>Low</v>
      </c>
      <c r="K611" s="16" t="str">
        <f>INDEX('Combined_Data'!H:H, MATCH(A611, 'Combined_Data'!A:A, 0))</f>
        <v>Mist</v>
      </c>
      <c r="L611" s="17">
        <f t="shared" si="39"/>
        <v>2</v>
      </c>
    </row>
  </sheetData>
  <conditionalFormatting sqref="D2:D611">
    <cfRule type="containsText" dxfId="34" priority="10" operator="containsText" text="True">
      <formula>NOT(ISERROR(SEARCH("True",D2)))</formula>
    </cfRule>
  </conditionalFormatting>
  <conditionalFormatting sqref="H2:H611">
    <cfRule type="containsText" dxfId="33" priority="8" operator="containsText" text="Weekend">
      <formula>NOT(ISERROR(SEARCH("Weekend",H2)))</formula>
    </cfRule>
    <cfRule type="containsText" dxfId="32" priority="9" operator="containsText" text="Weekend">
      <formula>NOT(ISERROR(SEARCH("Weekend",H2)))</formula>
    </cfRule>
  </conditionalFormatting>
  <conditionalFormatting sqref="I2:I611">
    <cfRule type="containsText" dxfId="31" priority="7" operator="containsText" text="Holiday">
      <formula>NOT(ISERROR(SEARCH("Holiday",I2)))</formula>
    </cfRule>
  </conditionalFormatting>
  <conditionalFormatting sqref="J2:J611">
    <cfRule type="containsText" dxfId="30" priority="1" operator="containsText" text="Low">
      <formula>NOT(ISERROR(SEARCH("Low",J2)))</formula>
    </cfRule>
    <cfRule type="containsText" dxfId="29" priority="6" operator="containsText" text="High">
      <formula>NOT(ISERROR(SEARCH("High",J2)))</formula>
    </cfRule>
  </conditionalFormatting>
  <conditionalFormatting sqref="K2:K611">
    <cfRule type="containsText" dxfId="28" priority="2" operator="containsText" text="Mist">
      <formula>NOT(ISERROR(SEARCH("Mist",K2)))</formula>
    </cfRule>
    <cfRule type="containsText" dxfId="27" priority="3" operator="containsText" text="Mist">
      <formula>NOT(ISERROR(SEARCH("Mist",K2)))</formula>
    </cfRule>
    <cfRule type="containsText" dxfId="26" priority="4" operator="containsText" text="Light Snow">
      <formula>NOT(ISERROR(SEARCH("Light Snow",K2)))</formula>
    </cfRule>
    <cfRule type="containsText" dxfId="25" priority="5" operator="containsText" text="Heavy Snow">
      <formula>NOT(ISERROR(SEARCH("Heavy Snow",K2)))</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96FE8-C3FC-47BB-8F02-D1D478B76E79}">
  <dimension ref="A1:M44"/>
  <sheetViews>
    <sheetView tabSelected="1" zoomScale="87" workbookViewId="0">
      <selection activeCell="K6" sqref="K6"/>
    </sheetView>
  </sheetViews>
  <sheetFormatPr defaultRowHeight="14.5" x14ac:dyDescent="0.35"/>
  <cols>
    <col min="1" max="1" width="12.81640625" bestFit="1" customWidth="1"/>
    <col min="2" max="2" width="15" customWidth="1"/>
    <col min="3" max="3" width="11.453125" bestFit="1" customWidth="1"/>
    <col min="4" max="4" width="12.81640625" bestFit="1" customWidth="1"/>
    <col min="5" max="5" width="13.1796875" bestFit="1" customWidth="1"/>
    <col min="6" max="6" width="15.7265625" bestFit="1" customWidth="1"/>
    <col min="7" max="7" width="19.54296875" bestFit="1" customWidth="1"/>
    <col min="8" max="8" width="16.453125" bestFit="1" customWidth="1"/>
    <col min="9" max="9" width="21.54296875" bestFit="1" customWidth="1"/>
    <col min="10" max="10" width="18.1796875" bestFit="1" customWidth="1"/>
    <col min="11" max="11" width="16.453125" bestFit="1" customWidth="1"/>
    <col min="12" max="12" width="12.81640625" bestFit="1" customWidth="1"/>
    <col min="13" max="13" width="14.54296875" bestFit="1" customWidth="1"/>
    <col min="14" max="14" width="13.7265625" bestFit="1" customWidth="1"/>
    <col min="15" max="16" width="11" bestFit="1" customWidth="1"/>
    <col min="17" max="17" width="13.26953125" bestFit="1" customWidth="1"/>
    <col min="18" max="18" width="5.54296875" bestFit="1" customWidth="1"/>
    <col min="19" max="19" width="6.7265625" bestFit="1" customWidth="1"/>
    <col min="20" max="21" width="13.26953125" bestFit="1" customWidth="1"/>
    <col min="22" max="22" width="6.7265625" bestFit="1" customWidth="1"/>
    <col min="23" max="23" width="3.453125" bestFit="1" customWidth="1"/>
    <col min="24" max="25" width="5.54296875" bestFit="1" customWidth="1"/>
    <col min="26" max="26" width="13.26953125" bestFit="1" customWidth="1"/>
    <col min="27" max="27" width="6.7265625" bestFit="1" customWidth="1"/>
    <col min="28" max="28" width="13.26953125" bestFit="1" customWidth="1"/>
    <col min="29" max="29" width="3.453125" bestFit="1" customWidth="1"/>
    <col min="30" max="30" width="5.54296875" bestFit="1" customWidth="1"/>
    <col min="31" max="31" width="13.26953125" bestFit="1" customWidth="1"/>
    <col min="32" max="32" width="5.54296875" bestFit="1" customWidth="1"/>
    <col min="33" max="33" width="13.26953125" bestFit="1" customWidth="1"/>
    <col min="34" max="35" width="3.453125" bestFit="1" customWidth="1"/>
    <col min="36" max="36" width="13.26953125" bestFit="1" customWidth="1"/>
    <col min="37" max="37" width="6.7265625" bestFit="1" customWidth="1"/>
    <col min="38" max="38" width="5.54296875" bestFit="1" customWidth="1"/>
    <col min="39" max="41" width="13.26953125" bestFit="1" customWidth="1"/>
    <col min="42" max="42" width="5.54296875" bestFit="1" customWidth="1"/>
    <col min="43" max="43" width="13.26953125" bestFit="1" customWidth="1"/>
    <col min="44" max="46" width="3.453125" bestFit="1" customWidth="1"/>
    <col min="47" max="48" width="13.26953125" bestFit="1" customWidth="1"/>
    <col min="49" max="49" width="5.54296875" bestFit="1" customWidth="1"/>
    <col min="50" max="50" width="3.453125" bestFit="1" customWidth="1"/>
    <col min="51" max="51" width="13.26953125" bestFit="1" customWidth="1"/>
    <col min="52" max="53" width="5.54296875" bestFit="1" customWidth="1"/>
    <col min="54" max="54" width="13.26953125" bestFit="1" customWidth="1"/>
    <col min="55" max="55" width="7.81640625" bestFit="1" customWidth="1"/>
    <col min="56" max="56" width="13.26953125" bestFit="1" customWidth="1"/>
    <col min="57" max="57" width="7.81640625" bestFit="1" customWidth="1"/>
    <col min="58" max="58" width="13.26953125" bestFit="1" customWidth="1"/>
    <col min="59" max="59" width="5.54296875" bestFit="1" customWidth="1"/>
    <col min="60" max="60" width="3.453125" bestFit="1" customWidth="1"/>
    <col min="61" max="61" width="13.26953125" bestFit="1" customWidth="1"/>
    <col min="62" max="62" width="5.54296875" bestFit="1" customWidth="1"/>
    <col min="63" max="64" width="13.26953125" bestFit="1" customWidth="1"/>
    <col min="65" max="65" width="5.54296875" bestFit="1" customWidth="1"/>
    <col min="66" max="66" width="6.7265625" bestFit="1" customWidth="1"/>
    <col min="67" max="67" width="3.453125" bestFit="1" customWidth="1"/>
    <col min="68" max="68" width="6.7265625" bestFit="1" customWidth="1"/>
    <col min="69" max="70" width="3.453125" bestFit="1" customWidth="1"/>
    <col min="71" max="71" width="5.54296875" bestFit="1" customWidth="1"/>
    <col min="72" max="73" width="13.26953125" bestFit="1" customWidth="1"/>
    <col min="74" max="80" width="5.54296875" bestFit="1" customWidth="1"/>
    <col min="81" max="81" width="13.26953125" bestFit="1" customWidth="1"/>
    <col min="82" max="82" width="5.54296875" bestFit="1" customWidth="1"/>
    <col min="83" max="84" width="6.7265625" bestFit="1" customWidth="1"/>
    <col min="85" max="87" width="3.453125" bestFit="1" customWidth="1"/>
    <col min="88" max="88" width="13.26953125" bestFit="1" customWidth="1"/>
    <col min="89" max="90" width="5.54296875" bestFit="1" customWidth="1"/>
    <col min="91" max="92" width="13.26953125" bestFit="1" customWidth="1"/>
    <col min="93" max="96" width="3.453125" bestFit="1" customWidth="1"/>
    <col min="97" max="98" width="4.54296875" bestFit="1" customWidth="1"/>
    <col min="99" max="99" width="5.54296875" bestFit="1" customWidth="1"/>
    <col min="100" max="100" width="6.7265625" bestFit="1" customWidth="1"/>
    <col min="101" max="101" width="3.453125" bestFit="1" customWidth="1"/>
    <col min="102" max="105" width="4.54296875" bestFit="1" customWidth="1"/>
    <col min="106" max="106" width="6.7265625" bestFit="1" customWidth="1"/>
    <col min="107" max="107" width="4.54296875" bestFit="1" customWidth="1"/>
    <col min="108" max="109" width="6.7265625" bestFit="1" customWidth="1"/>
    <col min="110" max="110" width="4.54296875" bestFit="1" customWidth="1"/>
    <col min="111" max="111" width="6.7265625" bestFit="1" customWidth="1"/>
    <col min="112" max="113" width="4.54296875" bestFit="1" customWidth="1"/>
    <col min="114" max="114" width="6.7265625" bestFit="1" customWidth="1"/>
    <col min="115" max="119" width="4.54296875" bestFit="1" customWidth="1"/>
    <col min="120" max="120" width="6.7265625" bestFit="1" customWidth="1"/>
    <col min="121" max="126" width="4.54296875" bestFit="1" customWidth="1"/>
    <col min="127" max="127" width="6.7265625" bestFit="1" customWidth="1"/>
    <col min="128" max="132" width="4.54296875" bestFit="1" customWidth="1"/>
    <col min="133" max="134" width="6.7265625" bestFit="1" customWidth="1"/>
    <col min="135" max="140" width="4.54296875" bestFit="1" customWidth="1"/>
    <col min="141" max="141" width="6.7265625" bestFit="1" customWidth="1"/>
    <col min="142" max="142" width="4.54296875" bestFit="1" customWidth="1"/>
    <col min="143" max="143" width="6.7265625" bestFit="1" customWidth="1"/>
    <col min="144" max="144" width="4.54296875" bestFit="1" customWidth="1"/>
    <col min="145" max="145" width="6.7265625" bestFit="1" customWidth="1"/>
    <col min="146" max="157" width="4.54296875" bestFit="1" customWidth="1"/>
    <col min="158" max="158" width="12.26953125" bestFit="1" customWidth="1"/>
  </cols>
  <sheetData>
    <row r="1" spans="1:13" x14ac:dyDescent="0.35">
      <c r="A1" s="27" t="s">
        <v>42</v>
      </c>
      <c r="B1" s="27"/>
      <c r="D1" s="25" t="s">
        <v>58</v>
      </c>
      <c r="E1" s="25"/>
      <c r="F1" s="25"/>
      <c r="G1" s="25"/>
      <c r="H1" s="22"/>
      <c r="I1" s="27" t="s">
        <v>59</v>
      </c>
      <c r="J1" s="27"/>
      <c r="K1" s="22"/>
      <c r="L1" s="24" t="s">
        <v>60</v>
      </c>
      <c r="M1" s="24"/>
    </row>
    <row r="2" spans="1:13" x14ac:dyDescent="0.35">
      <c r="A2" s="27"/>
      <c r="B2" s="27"/>
      <c r="D2" s="25"/>
      <c r="E2" s="25"/>
      <c r="F2" s="25"/>
      <c r="G2" s="25"/>
      <c r="H2" s="22"/>
      <c r="I2" s="27"/>
      <c r="J2" s="27"/>
      <c r="K2" s="22"/>
      <c r="L2" s="24"/>
      <c r="M2" s="24"/>
    </row>
    <row r="3" spans="1:13" x14ac:dyDescent="0.35">
      <c r="A3" s="2" t="s">
        <v>24</v>
      </c>
      <c r="B3" t="s">
        <v>33</v>
      </c>
      <c r="D3" s="2" t="s">
        <v>24</v>
      </c>
      <c r="E3" t="s">
        <v>37</v>
      </c>
      <c r="F3" t="s">
        <v>56</v>
      </c>
      <c r="G3" t="s">
        <v>55</v>
      </c>
      <c r="I3" s="2" t="s">
        <v>24</v>
      </c>
      <c r="J3" t="s">
        <v>43</v>
      </c>
      <c r="L3" s="2" t="s">
        <v>24</v>
      </c>
      <c r="M3" t="s">
        <v>34</v>
      </c>
    </row>
    <row r="4" spans="1:13" x14ac:dyDescent="0.35">
      <c r="A4" s="3" t="s">
        <v>25</v>
      </c>
      <c r="B4">
        <v>0.15483870967741931</v>
      </c>
      <c r="D4" s="3" t="s">
        <v>0</v>
      </c>
      <c r="E4">
        <v>59.709239130434781</v>
      </c>
      <c r="F4">
        <v>4.4646739130434785</v>
      </c>
      <c r="G4">
        <v>55.244565217391305</v>
      </c>
      <c r="I4" s="3" t="s">
        <v>0</v>
      </c>
      <c r="J4">
        <v>66.48</v>
      </c>
      <c r="L4" s="3" t="s">
        <v>0</v>
      </c>
      <c r="M4">
        <v>368</v>
      </c>
    </row>
    <row r="5" spans="1:13" x14ac:dyDescent="0.35">
      <c r="A5" s="3" t="s">
        <v>26</v>
      </c>
      <c r="B5">
        <v>0.20075000000000012</v>
      </c>
      <c r="D5" s="3" t="s">
        <v>3</v>
      </c>
      <c r="E5">
        <v>36</v>
      </c>
      <c r="F5">
        <v>1</v>
      </c>
      <c r="G5">
        <v>35</v>
      </c>
      <c r="I5" s="3" t="s">
        <v>3</v>
      </c>
      <c r="J5">
        <v>0.22</v>
      </c>
      <c r="L5" s="3" t="s">
        <v>3</v>
      </c>
      <c r="M5">
        <v>1</v>
      </c>
    </row>
    <row r="6" spans="1:13" x14ac:dyDescent="0.35">
      <c r="A6" s="3" t="s">
        <v>27</v>
      </c>
      <c r="B6">
        <v>0.22880952380952371</v>
      </c>
      <c r="D6" s="3" t="s">
        <v>2</v>
      </c>
      <c r="E6">
        <v>31.127659574468087</v>
      </c>
      <c r="F6">
        <v>2.1489361702127661</v>
      </c>
      <c r="G6">
        <v>28.978723404255319</v>
      </c>
      <c r="I6" s="3" t="s">
        <v>2</v>
      </c>
      <c r="J6">
        <v>10.4</v>
      </c>
      <c r="L6" s="3" t="s">
        <v>2</v>
      </c>
      <c r="M6">
        <v>47</v>
      </c>
    </row>
    <row r="7" spans="1:13" x14ac:dyDescent="0.35">
      <c r="A7" s="3" t="s">
        <v>28</v>
      </c>
      <c r="B7">
        <v>0.20886075949367089</v>
      </c>
      <c r="D7" s="3" t="s">
        <v>1</v>
      </c>
      <c r="E7">
        <v>53.742268041237111</v>
      </c>
      <c r="F7">
        <v>5.15979381443299</v>
      </c>
      <c r="G7">
        <v>48.582474226804123</v>
      </c>
      <c r="I7" s="3" t="s">
        <v>1</v>
      </c>
      <c r="J7">
        <v>42.99999999999995</v>
      </c>
      <c r="L7" s="3" t="s">
        <v>1</v>
      </c>
      <c r="M7">
        <v>194</v>
      </c>
    </row>
    <row r="8" spans="1:13" x14ac:dyDescent="0.35">
      <c r="A8" s="3" t="s">
        <v>29</v>
      </c>
      <c r="B8">
        <v>0.17976470588235285</v>
      </c>
      <c r="D8" s="3" t="s">
        <v>32</v>
      </c>
      <c r="E8">
        <v>55.570491803278685</v>
      </c>
      <c r="F8">
        <v>4.5016393442622951</v>
      </c>
      <c r="G8">
        <v>51.068852459016391</v>
      </c>
      <c r="I8" s="3" t="s">
        <v>32</v>
      </c>
      <c r="J8">
        <v>120.09999999999997</v>
      </c>
      <c r="L8" s="3" t="s">
        <v>32</v>
      </c>
      <c r="M8">
        <v>610</v>
      </c>
    </row>
    <row r="9" spans="1:13" x14ac:dyDescent="0.35">
      <c r="A9" s="3" t="s">
        <v>30</v>
      </c>
      <c r="B9">
        <v>0.2018947368421051</v>
      </c>
    </row>
    <row r="10" spans="1:13" x14ac:dyDescent="0.35">
      <c r="A10" s="3" t="s">
        <v>31</v>
      </c>
      <c r="B10">
        <v>0.20702127659574465</v>
      </c>
      <c r="D10" s="25" t="s">
        <v>63</v>
      </c>
      <c r="E10" s="25"/>
      <c r="G10" s="26" t="s">
        <v>64</v>
      </c>
      <c r="H10" s="26"/>
    </row>
    <row r="11" spans="1:13" x14ac:dyDescent="0.35">
      <c r="A11" s="3" t="s">
        <v>32</v>
      </c>
      <c r="B11">
        <v>0.19688524590163942</v>
      </c>
      <c r="D11" s="25"/>
      <c r="E11" s="25"/>
      <c r="G11" s="26"/>
      <c r="H11" s="26"/>
      <c r="J11" t="s">
        <v>37</v>
      </c>
      <c r="L11" s="25" t="s">
        <v>61</v>
      </c>
      <c r="M11" s="25"/>
    </row>
    <row r="12" spans="1:13" x14ac:dyDescent="0.35">
      <c r="D12" s="2" t="s">
        <v>49</v>
      </c>
      <c r="E12" t="s">
        <v>45</v>
      </c>
      <c r="G12" s="2" t="s">
        <v>48</v>
      </c>
      <c r="H12" t="s">
        <v>46</v>
      </c>
      <c r="I12" t="s">
        <v>53</v>
      </c>
      <c r="J12" s="23">
        <v>55.570491803278685</v>
      </c>
      <c r="K12" t="s">
        <v>52</v>
      </c>
      <c r="L12" s="25"/>
      <c r="M12" s="25"/>
    </row>
    <row r="13" spans="1:13" x14ac:dyDescent="0.35">
      <c r="D13" s="3" t="s">
        <v>39</v>
      </c>
      <c r="E13">
        <v>39</v>
      </c>
      <c r="G13" s="3" t="s">
        <v>11</v>
      </c>
      <c r="H13">
        <v>25912</v>
      </c>
      <c r="I13" s="23">
        <v>610</v>
      </c>
      <c r="K13" s="23">
        <v>33898</v>
      </c>
      <c r="L13" s="2" t="s">
        <v>24</v>
      </c>
      <c r="M13" t="s">
        <v>46</v>
      </c>
    </row>
    <row r="14" spans="1:13" x14ac:dyDescent="0.35">
      <c r="A14" s="25" t="s">
        <v>62</v>
      </c>
      <c r="B14" s="25"/>
      <c r="D14" s="3" t="s">
        <v>40</v>
      </c>
      <c r="E14">
        <v>520</v>
      </c>
      <c r="G14" s="3" t="s">
        <v>38</v>
      </c>
      <c r="H14">
        <v>7986</v>
      </c>
      <c r="J14" t="s">
        <v>47</v>
      </c>
      <c r="L14" s="5">
        <v>40544</v>
      </c>
      <c r="M14">
        <v>985</v>
      </c>
    </row>
    <row r="15" spans="1:13" x14ac:dyDescent="0.35">
      <c r="A15" s="25"/>
      <c r="B15" s="25"/>
      <c r="D15" s="3" t="s">
        <v>41</v>
      </c>
      <c r="E15">
        <v>51</v>
      </c>
      <c r="G15" s="3" t="s">
        <v>32</v>
      </c>
      <c r="H15">
        <v>33898</v>
      </c>
      <c r="J15" s="23">
        <v>249</v>
      </c>
      <c r="L15" s="5">
        <v>40545</v>
      </c>
      <c r="M15">
        <v>801</v>
      </c>
    </row>
    <row r="16" spans="1:13" x14ac:dyDescent="0.35">
      <c r="A16" s="2" t="s">
        <v>24</v>
      </c>
      <c r="B16" t="s">
        <v>37</v>
      </c>
      <c r="D16" s="3" t="s">
        <v>32</v>
      </c>
      <c r="E16">
        <v>610</v>
      </c>
      <c r="L16" s="5">
        <v>40546</v>
      </c>
      <c r="M16">
        <v>1349</v>
      </c>
    </row>
    <row r="17" spans="1:13" x14ac:dyDescent="0.35">
      <c r="A17" s="3">
        <v>0</v>
      </c>
      <c r="B17">
        <v>14.23076923076923</v>
      </c>
      <c r="I17" s="25" t="s">
        <v>69</v>
      </c>
      <c r="J17" s="25"/>
      <c r="L17" s="5">
        <v>40547</v>
      </c>
      <c r="M17">
        <v>1562</v>
      </c>
    </row>
    <row r="18" spans="1:13" x14ac:dyDescent="0.35">
      <c r="A18" s="3">
        <v>1</v>
      </c>
      <c r="B18">
        <v>9.1923076923076916</v>
      </c>
      <c r="D18" s="25" t="s">
        <v>68</v>
      </c>
      <c r="E18" s="25"/>
      <c r="F18" s="25"/>
      <c r="G18" s="25"/>
      <c r="I18" s="25"/>
      <c r="J18" s="25"/>
      <c r="L18" s="5">
        <v>40548</v>
      </c>
      <c r="M18">
        <v>1600</v>
      </c>
    </row>
    <row r="19" spans="1:13" x14ac:dyDescent="0.35">
      <c r="A19" s="3">
        <v>2</v>
      </c>
      <c r="B19">
        <v>7.083333333333333</v>
      </c>
      <c r="D19" s="25"/>
      <c r="E19" s="25"/>
      <c r="F19" s="25"/>
      <c r="G19" s="25"/>
      <c r="I19" s="2" t="s">
        <v>51</v>
      </c>
      <c r="J19" t="s">
        <v>50</v>
      </c>
      <c r="L19" s="5">
        <v>40549</v>
      </c>
      <c r="M19">
        <v>1606</v>
      </c>
    </row>
    <row r="20" spans="1:13" x14ac:dyDescent="0.35">
      <c r="A20" s="3">
        <v>3</v>
      </c>
      <c r="B20">
        <v>4.75</v>
      </c>
      <c r="D20" s="2" t="s">
        <v>24</v>
      </c>
      <c r="E20" t="s">
        <v>36</v>
      </c>
      <c r="F20" t="s">
        <v>35</v>
      </c>
      <c r="G20" t="s">
        <v>33</v>
      </c>
      <c r="I20" s="3" t="s">
        <v>39</v>
      </c>
      <c r="J20">
        <v>39</v>
      </c>
      <c r="L20" s="5">
        <v>40550</v>
      </c>
      <c r="M20">
        <v>1510</v>
      </c>
    </row>
    <row r="21" spans="1:13" x14ac:dyDescent="0.35">
      <c r="A21" s="3">
        <v>4</v>
      </c>
      <c r="B21">
        <v>1.9</v>
      </c>
      <c r="D21" s="3" t="s">
        <v>25</v>
      </c>
      <c r="E21">
        <v>0.20558279569892474</v>
      </c>
      <c r="F21">
        <v>0.15836559139784953</v>
      </c>
      <c r="G21">
        <v>0.15483870967741931</v>
      </c>
      <c r="I21" s="3" t="s">
        <v>40</v>
      </c>
      <c r="J21">
        <v>520</v>
      </c>
      <c r="L21" s="5">
        <v>40551</v>
      </c>
      <c r="M21">
        <v>959</v>
      </c>
    </row>
    <row r="22" spans="1:13" x14ac:dyDescent="0.35">
      <c r="A22" s="3">
        <v>5</v>
      </c>
      <c r="B22">
        <v>3.9583333333333335</v>
      </c>
      <c r="D22" s="3" t="s">
        <v>26</v>
      </c>
      <c r="E22">
        <v>0.13900374999999998</v>
      </c>
      <c r="F22">
        <v>0.21610374999999998</v>
      </c>
      <c r="G22">
        <v>0.20075000000000012</v>
      </c>
      <c r="I22" s="3" t="s">
        <v>41</v>
      </c>
      <c r="J22">
        <v>51</v>
      </c>
      <c r="L22" s="5">
        <v>40552</v>
      </c>
      <c r="M22">
        <v>822</v>
      </c>
    </row>
    <row r="23" spans="1:13" x14ac:dyDescent="0.35">
      <c r="A23" s="3">
        <v>6</v>
      </c>
      <c r="B23">
        <v>18.307692307692307</v>
      </c>
      <c r="D23" s="3" t="s">
        <v>27</v>
      </c>
      <c r="E23">
        <v>0.24396904761904756</v>
      </c>
      <c r="F23">
        <v>0.22529642857142854</v>
      </c>
      <c r="G23">
        <v>0.22880952380952371</v>
      </c>
      <c r="I23" s="3" t="s">
        <v>32</v>
      </c>
      <c r="J23">
        <v>610</v>
      </c>
      <c r="L23" s="5">
        <v>40553</v>
      </c>
      <c r="M23">
        <v>1321</v>
      </c>
    </row>
    <row r="24" spans="1:13" x14ac:dyDescent="0.35">
      <c r="A24" s="3">
        <v>7</v>
      </c>
      <c r="B24">
        <v>53.57692307692308</v>
      </c>
      <c r="D24" s="3" t="s">
        <v>28</v>
      </c>
      <c r="E24">
        <v>0.18856202531645577</v>
      </c>
      <c r="F24">
        <v>0.21346582278481011</v>
      </c>
      <c r="G24">
        <v>0.20886075949367089</v>
      </c>
      <c r="L24" s="5">
        <v>40554</v>
      </c>
      <c r="M24">
        <v>1263</v>
      </c>
    </row>
    <row r="25" spans="1:13" x14ac:dyDescent="0.35">
      <c r="A25" s="3">
        <v>8</v>
      </c>
      <c r="B25">
        <v>127.61538461538461</v>
      </c>
      <c r="D25" s="3" t="s">
        <v>29</v>
      </c>
      <c r="E25">
        <v>0.19684705882352949</v>
      </c>
      <c r="F25">
        <v>0.19037999999999988</v>
      </c>
      <c r="G25">
        <v>0.17976470588235285</v>
      </c>
      <c r="L25" s="5">
        <v>40555</v>
      </c>
      <c r="M25">
        <v>1162</v>
      </c>
    </row>
    <row r="26" spans="1:13" x14ac:dyDescent="0.35">
      <c r="A26" s="3">
        <v>9</v>
      </c>
      <c r="B26">
        <v>84.461538461538467</v>
      </c>
      <c r="D26" s="3" t="s">
        <v>30</v>
      </c>
      <c r="E26">
        <v>0.18947789473684218</v>
      </c>
      <c r="F26">
        <v>0.20845894736842113</v>
      </c>
      <c r="G26">
        <v>0.2018947368421051</v>
      </c>
      <c r="I26" s="25" t="s">
        <v>65</v>
      </c>
      <c r="J26" s="25"/>
      <c r="L26" s="5">
        <v>40556</v>
      </c>
      <c r="M26">
        <v>1406</v>
      </c>
    </row>
    <row r="27" spans="1:13" x14ac:dyDescent="0.35">
      <c r="A27" s="3">
        <v>10</v>
      </c>
      <c r="B27">
        <v>50.03846153846154</v>
      </c>
      <c r="D27" s="3" t="s">
        <v>31</v>
      </c>
      <c r="E27">
        <v>0.26167446808510647</v>
      </c>
      <c r="F27">
        <v>0.19294787234042565</v>
      </c>
      <c r="G27">
        <v>0.20702127659574465</v>
      </c>
      <c r="I27" s="25"/>
      <c r="J27" s="25"/>
      <c r="L27" s="5">
        <v>40557</v>
      </c>
      <c r="M27">
        <v>1421</v>
      </c>
    </row>
    <row r="28" spans="1:13" x14ac:dyDescent="0.35">
      <c r="A28" s="3">
        <v>11</v>
      </c>
      <c r="B28">
        <v>55.96153846153846</v>
      </c>
      <c r="D28" s="3" t="s">
        <v>32</v>
      </c>
      <c r="E28">
        <v>0.20485098360655746</v>
      </c>
      <c r="F28">
        <v>0.19988196721311488</v>
      </c>
      <c r="G28">
        <v>0.19688524590163942</v>
      </c>
      <c r="I28" s="2" t="s">
        <v>24</v>
      </c>
      <c r="J28" t="s">
        <v>45</v>
      </c>
      <c r="L28" s="5">
        <v>40558</v>
      </c>
      <c r="M28">
        <v>1248</v>
      </c>
    </row>
    <row r="29" spans="1:13" x14ac:dyDescent="0.35">
      <c r="A29" s="3">
        <v>12</v>
      </c>
      <c r="B29">
        <v>71.703703703703709</v>
      </c>
      <c r="I29" s="3" t="s">
        <v>39</v>
      </c>
      <c r="J29">
        <v>39</v>
      </c>
      <c r="L29" s="5">
        <v>40559</v>
      </c>
      <c r="M29">
        <v>1204</v>
      </c>
    </row>
    <row r="30" spans="1:13" x14ac:dyDescent="0.35">
      <c r="A30" s="3">
        <v>13</v>
      </c>
      <c r="B30">
        <v>74.629629629629633</v>
      </c>
      <c r="I30" s="3" t="s">
        <v>40</v>
      </c>
      <c r="J30">
        <v>520</v>
      </c>
      <c r="L30" s="5">
        <v>40560</v>
      </c>
      <c r="M30">
        <v>1000</v>
      </c>
    </row>
    <row r="31" spans="1:13" x14ac:dyDescent="0.35">
      <c r="A31" s="3">
        <v>14</v>
      </c>
      <c r="B31">
        <v>67.666666666666671</v>
      </c>
      <c r="I31" s="3" t="s">
        <v>41</v>
      </c>
      <c r="J31">
        <v>51</v>
      </c>
      <c r="L31" s="5">
        <v>40561</v>
      </c>
      <c r="M31">
        <v>683</v>
      </c>
    </row>
    <row r="32" spans="1:13" x14ac:dyDescent="0.35">
      <c r="A32" s="3">
        <v>15</v>
      </c>
      <c r="B32">
        <v>71.629629629629633</v>
      </c>
      <c r="I32" s="3" t="s">
        <v>32</v>
      </c>
      <c r="J32">
        <v>610</v>
      </c>
      <c r="L32" s="5">
        <v>40562</v>
      </c>
      <c r="M32">
        <v>1650</v>
      </c>
    </row>
    <row r="33" spans="1:13" x14ac:dyDescent="0.35">
      <c r="A33" s="3">
        <v>16</v>
      </c>
      <c r="B33">
        <v>81.481481481481481</v>
      </c>
      <c r="L33" s="5">
        <v>40563</v>
      </c>
      <c r="M33">
        <v>1927</v>
      </c>
    </row>
    <row r="34" spans="1:13" x14ac:dyDescent="0.35">
      <c r="A34" s="3">
        <v>17</v>
      </c>
      <c r="B34">
        <v>131.4814814814815</v>
      </c>
      <c r="E34" s="24" t="s">
        <v>67</v>
      </c>
      <c r="F34" s="24"/>
      <c r="G34" s="24"/>
      <c r="L34" s="5">
        <v>40564</v>
      </c>
      <c r="M34">
        <v>1543</v>
      </c>
    </row>
    <row r="35" spans="1:13" x14ac:dyDescent="0.35">
      <c r="A35" s="3">
        <v>18</v>
      </c>
      <c r="B35">
        <v>118.53846153846153</v>
      </c>
      <c r="E35" s="24"/>
      <c r="F35" s="24"/>
      <c r="G35" s="24"/>
      <c r="L35" s="5">
        <v>40565</v>
      </c>
      <c r="M35">
        <v>981</v>
      </c>
    </row>
    <row r="36" spans="1:13" x14ac:dyDescent="0.35">
      <c r="A36" s="3">
        <v>19</v>
      </c>
      <c r="B36">
        <v>85.115384615384613</v>
      </c>
      <c r="E36" s="2" t="s">
        <v>24</v>
      </c>
      <c r="F36" t="s">
        <v>33</v>
      </c>
      <c r="G36" t="s">
        <v>37</v>
      </c>
      <c r="L36" s="5">
        <v>40566</v>
      </c>
      <c r="M36">
        <v>986</v>
      </c>
    </row>
    <row r="37" spans="1:13" x14ac:dyDescent="0.35">
      <c r="A37" s="3">
        <v>20</v>
      </c>
      <c r="B37">
        <v>59.269230769230766</v>
      </c>
      <c r="E37" s="3" t="s">
        <v>25</v>
      </c>
      <c r="F37">
        <v>0.15483870967741931</v>
      </c>
      <c r="G37">
        <v>54.688172043010752</v>
      </c>
      <c r="L37" s="5">
        <v>40567</v>
      </c>
      <c r="M37">
        <v>1416</v>
      </c>
    </row>
    <row r="38" spans="1:13" x14ac:dyDescent="0.35">
      <c r="A38" s="3">
        <v>21</v>
      </c>
      <c r="B38">
        <v>41.346153846153847</v>
      </c>
      <c r="E38" s="3" t="s">
        <v>26</v>
      </c>
      <c r="F38">
        <v>0.20075000000000012</v>
      </c>
      <c r="G38">
        <v>68.662499999999994</v>
      </c>
      <c r="I38" s="25" t="s">
        <v>66</v>
      </c>
      <c r="J38" s="25"/>
      <c r="L38" s="5">
        <v>40568</v>
      </c>
      <c r="M38">
        <v>1985</v>
      </c>
    </row>
    <row r="39" spans="1:13" x14ac:dyDescent="0.35">
      <c r="A39" s="3">
        <v>22</v>
      </c>
      <c r="B39">
        <v>32.230769230769234</v>
      </c>
      <c r="E39" s="3" t="s">
        <v>27</v>
      </c>
      <c r="F39">
        <v>0.22880952380952371</v>
      </c>
      <c r="G39">
        <v>58.547619047619051</v>
      </c>
      <c r="I39" s="25"/>
      <c r="J39" s="25"/>
      <c r="L39" s="5">
        <v>40569</v>
      </c>
      <c r="M39">
        <v>506</v>
      </c>
    </row>
    <row r="40" spans="1:13" x14ac:dyDescent="0.35">
      <c r="A40" s="3">
        <v>23</v>
      </c>
      <c r="B40">
        <v>21.53846153846154</v>
      </c>
      <c r="E40" s="3" t="s">
        <v>28</v>
      </c>
      <c r="F40">
        <v>0.20886075949367089</v>
      </c>
      <c r="G40">
        <v>67.974683544303801</v>
      </c>
      <c r="I40" s="2" t="s">
        <v>24</v>
      </c>
      <c r="J40" t="s">
        <v>44</v>
      </c>
      <c r="L40" s="5">
        <v>40570</v>
      </c>
      <c r="M40">
        <v>431</v>
      </c>
    </row>
    <row r="41" spans="1:13" x14ac:dyDescent="0.35">
      <c r="A41" s="3" t="s">
        <v>57</v>
      </c>
      <c r="E41" s="3" t="s">
        <v>29</v>
      </c>
      <c r="F41">
        <v>0.17976470588235285</v>
      </c>
      <c r="G41">
        <v>59.352941176470587</v>
      </c>
      <c r="I41" s="3" t="s">
        <v>11</v>
      </c>
      <c r="J41">
        <v>249</v>
      </c>
      <c r="L41" s="5">
        <v>40571</v>
      </c>
      <c r="M41">
        <v>571</v>
      </c>
    </row>
    <row r="42" spans="1:13" x14ac:dyDescent="0.35">
      <c r="A42" s="3" t="s">
        <v>32</v>
      </c>
      <c r="B42">
        <v>55.570491803278685</v>
      </c>
      <c r="E42" s="3" t="s">
        <v>30</v>
      </c>
      <c r="F42">
        <v>0.2018947368421051</v>
      </c>
      <c r="G42">
        <v>43.926315789473684</v>
      </c>
      <c r="I42" s="3" t="s">
        <v>38</v>
      </c>
      <c r="J42">
        <v>129</v>
      </c>
      <c r="L42" s="5" t="s">
        <v>32</v>
      </c>
      <c r="M42">
        <v>33898</v>
      </c>
    </row>
    <row r="43" spans="1:13" x14ac:dyDescent="0.35">
      <c r="E43" s="3" t="s">
        <v>31</v>
      </c>
      <c r="F43">
        <v>0.20702127659574465</v>
      </c>
      <c r="G43">
        <v>40.563829787234042</v>
      </c>
      <c r="I43" s="3" t="s">
        <v>32</v>
      </c>
      <c r="J43">
        <v>249</v>
      </c>
    </row>
    <row r="44" spans="1:13" x14ac:dyDescent="0.35">
      <c r="E44" s="3" t="s">
        <v>32</v>
      </c>
      <c r="F44">
        <v>0.19688524590163942</v>
      </c>
      <c r="G44">
        <v>55.570491803278685</v>
      </c>
    </row>
  </sheetData>
  <mergeCells count="13">
    <mergeCell ref="I26:J27"/>
    <mergeCell ref="I38:J39"/>
    <mergeCell ref="E34:G35"/>
    <mergeCell ref="D18:G19"/>
    <mergeCell ref="I17:J18"/>
    <mergeCell ref="L1:M2"/>
    <mergeCell ref="L11:M12"/>
    <mergeCell ref="A14:B15"/>
    <mergeCell ref="D10:E11"/>
    <mergeCell ref="G10:H11"/>
    <mergeCell ref="A1:B2"/>
    <mergeCell ref="D1:G2"/>
    <mergeCell ref="I1: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583A-3E1C-47E0-8EE2-53F153545BD7}">
  <sheetPr>
    <pageSetUpPr fitToPage="1"/>
  </sheetPr>
  <dimension ref="O12"/>
  <sheetViews>
    <sheetView zoomScale="75" zoomScaleNormal="75" workbookViewId="0">
      <selection activeCell="L33" sqref="L33"/>
    </sheetView>
  </sheetViews>
  <sheetFormatPr defaultColWidth="9.1796875" defaultRowHeight="14.5" x14ac:dyDescent="0.35"/>
  <cols>
    <col min="1" max="16384" width="9.1796875" style="4"/>
  </cols>
  <sheetData>
    <row r="12" spans="15:15" x14ac:dyDescent="0.35">
      <c r="O12" s="4" t="s">
        <v>54</v>
      </c>
    </row>
  </sheetData>
  <pageMargins left="0.70866141732283472" right="0.70866141732283472" top="0.74803149606299213" bottom="0.74803149606299213" header="0.31496062992125984" footer="0.31496062992125984"/>
  <pageSetup scale="35"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8A5812-4BC3-40C7-9437-E324082625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Combined_Data</vt:lpstr>
      <vt:lpstr>Derived_Data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2026-01-21T16:39:00Z</cp:lastPrinted>
  <dcterms:created xsi:type="dcterms:W3CDTF">2026-01-15T17:51:49Z</dcterms:created>
  <dcterms:modified xsi:type="dcterms:W3CDTF">2026-01-21T20:33:41Z</dcterms:modified>
</cp:coreProperties>
</file>